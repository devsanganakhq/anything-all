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dca71046e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f644bd75ea1f4396"/>
    <x:sheet xmlns:r="http://schemas.openxmlformats.org/officeDocument/2006/relationships" name="Data_Dictionary" sheetId="2" r:id="R74957e946ce94ed8"/>
    <x:sheet xmlns:r="http://schemas.openxmlformats.org/officeDocument/2006/relationships" name="Sources" sheetId="3" r:id="Ra7131cd5cfd34b2e"/>
    <x:sheet xmlns:r="http://schemas.openxmlformats.org/officeDocument/2006/relationships" name="Coverage" sheetId="4" r:id="R702624af9e4a4090"/>
    <x:sheet xmlns:r="http://schemas.openxmlformats.org/officeDocument/2006/relationships" name="README" sheetId="5" r:id="R2f806d31d9484f3b"/>
    <x:sheet xmlns:r="http://schemas.openxmlformats.org/officeDocument/2006/relationships" name="Map_Import" sheetId="6" r:id="Re755f7f8ed4b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1"/>
      <x:color rgb="FFF6E8C8"/>
      <x:name val="Carlito"/>
    </x:font>
    <x:font>
      <x:b/>
      <x:sz val="16"/>
      <x:color rgb="FFF6E8C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5efb4fca0457d" /><Relationship Type="http://schemas.openxmlformats.org/officeDocument/2006/relationships/theme" Target="/xl/theme/theme1.xml" Id="R7ba879da41b040df" /><Relationship Type="http://schemas.openxmlformats.org/officeDocument/2006/relationships/sharedStrings" Target="/xl/sharedStrings.xml" Id="R1788d15bb8f549ae" /><Relationship Type="http://schemas.openxmlformats.org/officeDocument/2006/relationships/worksheet" Target="/xl/worksheets/sheet1.xml" Id="Rf644bd75ea1f4396" /><Relationship Type="http://schemas.openxmlformats.org/officeDocument/2006/relationships/worksheet" Target="/xl/worksheets/sheet2.xml" Id="R74957e946ce94ed8" /><Relationship Type="http://schemas.openxmlformats.org/officeDocument/2006/relationships/worksheet" Target="/xl/worksheets/sheet3.xml" Id="Ra7131cd5cfd34b2e" /><Relationship Type="http://schemas.openxmlformats.org/officeDocument/2006/relationships/worksheet" Target="/xl/worksheets/sheet4.xml" Id="R702624af9e4a4090" /><Relationship Type="http://schemas.openxmlformats.org/officeDocument/2006/relationships/worksheet" Target="/xl/worksheets/sheet5.xml" Id="R2f806d31d9484f3b" /><Relationship Type="http://schemas.openxmlformats.org/officeDocument/2006/relationships/worksheet" Target="/xl/worksheets/sheet6.xml" Id="Re755f7f8ed4b49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2" hidden="0" customWidth="1"/>
    <x:col min="17" max="17" width="22" hidden="0" customWidth="1"/>
    <x:col min="18" max="18" width="22" hidden="0" customWidth="1"/>
    <x:col min="19" max="19" width="2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42" hidden="0" customWidth="1"/>
    <x:col min="26" max="26" width="42" hidden="0" customWidth="1"/>
    <x:col min="27" max="27" width="20" hidden="0" customWidth="1"/>
    <x:col min="28" max="28" width="50" hidden="0" customWidth="1"/>
    <x:col min="29" max="29" width="20" hidden="0" customWidth="1"/>
    <x:col min="30" max="30" width="34" hidden="0" customWidth="1"/>
    <x:col min="31" max="31" width="20" hidden="0" customWidth="1"/>
    <x:col min="32" max="32" width="30" hidden="0" customWidth="1"/>
    <x:col min="33" max="33" width="26" hidden="0" customWidth="1"/>
    <x:col min="34" max="34" width="20" hidden="0" customWidth="1"/>
    <x:col min="35" max="35" width="20" hidden="0" customWidth="1"/>
    <x:col min="36" max="36" width="20" hidden="0" customWidth="1"/>
    <x:col min="37" max="37" width="60" hidden="0" customWidth="1"/>
    <x:col min="38" max="38" width="46" hidden="0" customWidth="1"/>
  </x:cols>
  <x:sheetData>
    <x:row r="1">
      <x:c r="A1" s="6" t="str">
        <x:v>hl_course_id</x:v>
      </x:c>
      <x:c r="B1" s="6" t="str">
        <x:v>club_name</x:v>
      </x:c>
      <x:c r="C1" s="6" t="str">
        <x:v>course_name</x:v>
      </x:c>
      <x:c r="D1" s="6" t="str">
        <x:v>display_name</x:v>
      </x:c>
      <x:c r="E1" s="6" t="str">
        <x:v>country</x:v>
      </x:c>
      <x:c r="F1" s="6" t="str">
        <x:v>county</x:v>
      </x:c>
      <x:c r="G1" s="6" t="str">
        <x:v>region</x:v>
      </x:c>
      <x:c r="H1" s="6" t="str">
        <x:v>town_city</x:v>
      </x:c>
      <x:c r="I1" s="6" t="str">
        <x:v>postcode</x:v>
      </x:c>
      <x:c r="J1" s="6" t="str">
        <x:v>latitude</x:v>
      </x:c>
      <x:c r="K1" s="6" t="str">
        <x:v>longitude</x:v>
      </x:c>
      <x:c r="L1" s="6" t="str">
        <x:v>holes</x:v>
      </x:c>
      <x:c r="M1" s="6" t="str">
        <x:v>par</x:v>
      </x:c>
      <x:c r="N1" s="6" t="str">
        <x:v>length_yards</x:v>
      </x:c>
      <x:c r="O1" s="6" t="str">
        <x:v>length_metres</x:v>
      </x:c>
      <x:c r="P1" s="6" t="str">
        <x:v>architect_original</x:v>
      </x:c>
      <x:c r="Q1" s="6" t="str">
        <x:v>architect_redesign</x:v>
      </x:c>
      <x:c r="R1" s="6" t="str">
        <x:v>year_opened</x:v>
      </x:c>
      <x:c r="S1" s="6" t="str">
        <x:v>official_website_url</x:v>
      </x:c>
      <x:c r="T1" s="6" t="str">
        <x:v>course_status</x:v>
      </x:c>
      <x:c r="U1" s="6" t="str">
        <x:v>access_type</x:v>
      </x:c>
      <x:c r="V1" s="6" t="str">
        <x:v>map_ready</x:v>
      </x:c>
      <x:c r="W1" s="6" t="str">
        <x:v>core_data_status</x:v>
      </x:c>
      <x:c r="X1" s="6" t="str">
        <x:v>verification_status</x:v>
      </x:c>
      <x:c r="Y1" s="6" t="str">
        <x:v>primary_source</x:v>
      </x:c>
      <x:c r="Z1" s="6" t="str">
        <x:v>source_url</x:v>
      </x:c>
      <x:c r="AA1" s="6" t="str">
        <x:v>source_checked_at</x:v>
      </x:c>
      <x:c r="AB1" s="6" t="str">
        <x:v>notes</x:v>
      </x:c>
      <x:c r="AC1" s="22" t="str">
        <x:v>coordinate_system</x:v>
      </x:c>
      <x:c r="AD1" s="22" t="str">
        <x:v>coordinate_source</x:v>
      </x:c>
      <x:c r="AE1" s="22" t="str">
        <x:v>coordinate_verified_at</x:v>
      </x:c>
      <x:c r="AF1" s="22" t="str">
        <x:v>map_marker_label</x:v>
      </x:c>
      <x:c r="AG1" s="22" t="str">
        <x:v>map_subtitle</x:v>
      </x:c>
      <x:c r="AH1" s="22" t="str">
        <x:v>map_group_country</x:v>
      </x:c>
      <x:c r="AI1" s="22" t="str">
        <x:v>map_group_county</x:v>
      </x:c>
      <x:c r="AJ1" s="22" t="str">
        <x:v>map_group_region</x:v>
      </x:c>
      <x:c r="AK1" s="22" t="str">
        <x:v>map_search_text</x:v>
      </x:c>
      <x:c r="AL1" s="22" t="str">
        <x:v>map_sort_key</x:v>
      </x:c>
    </x:row>
    <x:row r="2">
      <x:c r="A2" s="12" t="str"/>
      <x:c r="B2" s="12" t="str">
        <x:v>Bexleyheath Golf Club</x:v>
      </x:c>
      <x:c r="C2" s="12" t="str"/>
      <x:c r="D2" s="12" t="str">
        <x:v>Bexleyheath Golf Club</x:v>
      </x:c>
      <x:c r="E2" s="12" t="str">
        <x:v>England</x:v>
      </x:c>
      <x:c r="F2" s="12" t="str">
        <x:v>Kent</x:v>
      </x:c>
      <x:c r="G2" s="12" t="str"/>
      <x:c r="H2" s="12" t="str">
        <x:v>Bexleyheath</x:v>
      </x:c>
      <x:c r="I2" s="12" t="str">
        <x:v>DA6 8JS</x:v>
      </x:c>
      <x:c r="J2" s="23" t="str"/>
      <x:c r="K2" s="23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>
        <x:v>http://www.bexleyheath-golf.com</x:v>
      </x:c>
      <x:c r="T2" s="12" t="str">
        <x:v>active</x:v>
      </x:c>
      <x:c r="U2" s="12" t="str"/>
      <x:c r="V2" s="12" t="b">
        <x:f>IF(AND(OR(D2&lt;&gt;"",B2&lt;&gt;""),ISNUMBER(J2),ISNUMBER(K2),J2&gt;=-90,J2&lt;=90,K2&gt;=-180,K2&lt;=180,T2&lt;&gt;"permanently_closed"),TRUE,FALSE)</x:f>
        <x:v>0</x:v>
      </x:c>
      <x:c r="W2" s="12" t="str">
        <x:v>needs_coordinates</x:v>
      </x:c>
      <x:c r="X2" s="12" t="str">
        <x:v>source_confirmed</x:v>
      </x:c>
      <x:c r="Y2" s="12" t="str">
        <x:v>England Golf</x:v>
      </x:c>
      <x:c r="Z2" s="12" t="str">
        <x:v>https://www.englandgolf.org/club-detail?clubId=100149</x:v>
      </x:c>
      <x:c r="AA2" s="12" t="n">
        <x:v>46245</x:v>
      </x:c>
      <x:c r="AB2" s="12" t="str">
        <x:v>STRUCTURE SAMPLE - official club directory record; further course fields require verification</x:v>
      </x:c>
      <x:c r="AC2" s="12" t="str">
        <x:v>WGS84 / EPSG:4326</x:v>
      </x:c>
      <x:c r="AD2" s="12"/>
      <x:c r="AE2" s="12"/>
      <x:c r="AF2" s="12" t="str">
        <x:f>IF(D2&lt;&gt;"",D2,IF(C2&lt;&gt;"",B2&amp;" - "&amp;C2,B2))</x:f>
        <x:v>Bexleyheath Golf Club</x:v>
      </x:c>
      <x:c r="AG2" s="12" t="str">
        <x:f>IF(AND(F2&lt;&gt;"",E2&lt;&gt;""),F2&amp;", "&amp;E2,IF(E2&lt;&gt;"",E2,""))</x:f>
        <x:v>Kent, England</x:v>
      </x:c>
      <x:c r="AH2" s="12" t="str">
        <x:f>E2</x:f>
        <x:v>England</x:v>
      </x:c>
      <x:c r="AI2" s="12" t="str">
        <x:f>F2</x:f>
        <x:v>Kent</x:v>
      </x:c>
      <x:c r="AJ2" s="12" t="n">
        <x:f>G2</x:f>
        <x:v>0</x:v>
      </x:c>
      <x:c r="AK2" s="12" t="str">
        <x:f>LOWER(TRIM(B2&amp;" "&amp;C2&amp;" "&amp;D2&amp;" "&amp;H2&amp;" "&amp;F2&amp;" "&amp;G2&amp;" "&amp;E2&amp;" "&amp;I2))</x:f>
        <x:v>bexleyheath golf club bexleyheath golf club bexleyheath kent england da6 8js</x:v>
      </x:c>
      <x:c r="AL2" s="12" t="str">
        <x:f>LOWER(TRIM(E2&amp;"|"&amp;F2&amp;"|"&amp;B2&amp;"|"&amp;C2))</x:f>
        <x:v>england|kent|bexleyheath golf club|</x:v>
      </x:c>
    </x:row>
    <x:row r="3">
      <x:c r="A3" s="12" t="str"/>
      <x:c r="B3" s="12" t="str">
        <x:v>Puttenham Golf Club</x:v>
      </x:c>
      <x:c r="C3" s="12" t="str"/>
      <x:c r="D3" s="12" t="str">
        <x:v>Puttenham Golf Club</x:v>
      </x:c>
      <x:c r="E3" s="12" t="str">
        <x:v>England</x:v>
      </x:c>
      <x:c r="F3" s="12" t="str">
        <x:v>Surrey</x:v>
      </x:c>
      <x:c r="G3" s="12" t="str"/>
      <x:c r="H3" s="12" t="str">
        <x:v>Puttenham</x:v>
      </x:c>
      <x:c r="I3" s="12" t="str"/>
      <x:c r="J3" s="23" t="str"/>
      <x:c r="K3" s="23" t="str"/>
      <x:c r="L3" s="12" t="str"/>
      <x:c r="M3" s="12" t="str"/>
      <x:c r="N3" s="12" t="str"/>
      <x:c r="O3" s="12" t="str"/>
      <x:c r="P3" s="12" t="str"/>
      <x:c r="Q3" s="12" t="str"/>
      <x:c r="R3" s="12" t="str">
        <x:v>1894</x:v>
      </x:c>
      <x:c r="S3" s="12" t="str"/>
      <x:c r="T3" s="12" t="str">
        <x:v>active</x:v>
      </x:c>
      <x:c r="U3" s="12" t="str"/>
      <x:c r="V3" s="12" t="b">
        <x:f>IF(AND(OR(D3&lt;&gt;"",B3&lt;&gt;""),ISNUMBER(J3),ISNUMBER(K3),J3&gt;=-90,J3&lt;=90,K3&gt;=-180,K3&lt;=180,T3&lt;&gt;"permanently_closed"),TRUE,FALSE)</x:f>
        <x:v>0</x:v>
      </x:c>
      <x:c r="W3" s="12" t="str">
        <x:v>needs_coordinates</x:v>
      </x:c>
      <x:c r="X3" s="12" t="str">
        <x:v>source_confirmed</x:v>
      </x:c>
      <x:c r="Y3" s="12" t="str">
        <x:v>England Golf</x:v>
      </x:c>
      <x:c r="Z3" s="12" t="str">
        <x:v>https://www.englandgolf.org/club-detail?clubId=101326</x:v>
      </x:c>
      <x:c r="AA3" s="12" t="n">
        <x:v>46245</x:v>
      </x:c>
      <x:c r="AB3" s="12" t="str">
        <x:v>STRUCTURE SAMPLE - official directory states club formed in 1894; course-specific enrichment still required</x:v>
      </x:c>
      <x:c r="AC3" s="12" t="str">
        <x:v>WGS84 / EPSG:4326</x:v>
      </x:c>
      <x:c r="AD3" s="12"/>
      <x:c r="AE3" s="12"/>
      <x:c r="AF3" s="12" t="str">
        <x:f>IF(D3&lt;&gt;"",D3,IF(C3&lt;&gt;"",B3&amp;" - "&amp;C3,B3))</x:f>
        <x:v>Puttenham Golf Club</x:v>
      </x:c>
      <x:c r="AG3" s="12" t="str">
        <x:f>IF(AND(F3&lt;&gt;"",E3&lt;&gt;""),F3&amp;", "&amp;E3,IF(E3&lt;&gt;"",E3,""))</x:f>
        <x:v>Surrey, England</x:v>
      </x:c>
      <x:c r="AH3" s="12" t="str">
        <x:f>E3</x:f>
        <x:v>England</x:v>
      </x:c>
      <x:c r="AI3" s="12" t="str">
        <x:f>F3</x:f>
        <x:v>Surrey</x:v>
      </x:c>
      <x:c r="AJ3" s="12" t="n">
        <x:f>G3</x:f>
        <x:v>0</x:v>
      </x:c>
      <x:c r="AK3" s="12" t="str">
        <x:f>LOWER(TRIM(B3&amp;" "&amp;C3&amp;" "&amp;D3&amp;" "&amp;H3&amp;" "&amp;F3&amp;" "&amp;G3&amp;" "&amp;E3&amp;" "&amp;I3))</x:f>
        <x:v>puttenham golf club puttenham golf club puttenham surrey england</x:v>
      </x:c>
      <x:c r="AL3" s="12" t="str">
        <x:f>LOWER(TRIM(E3&amp;"|"&amp;F3&amp;"|"&amp;B3&amp;"|"&amp;C3))</x:f>
        <x:v>england|surrey|puttenham golf club|</x:v>
      </x:c>
    </x:row>
    <x:row r="4">
      <x:c r="A4" s="12" t="str"/>
      <x:c r="B4" s="12" t="str">
        <x:v>Cowdenbeath Golf Club</x:v>
      </x:c>
      <x:c r="C4" s="12" t="str"/>
      <x:c r="D4" s="12" t="str">
        <x:v>Cowdenbeath Golf Club</x:v>
      </x:c>
      <x:c r="E4" s="12" t="str">
        <x:v>Scotland</x:v>
      </x:c>
      <x:c r="F4" s="12" t="str">
        <x:v>Fife</x:v>
      </x:c>
      <x:c r="G4" s="12" t="str"/>
      <x:c r="H4" s="12" t="str">
        <x:v>Cowdenbeath</x:v>
      </x:c>
      <x:c r="I4" s="12" t="str"/>
      <x:c r="J4" s="23" t="str"/>
      <x:c r="K4" s="23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>
        <x:v>https://www.cowdenbeathgolfclub.co.uk/</x:v>
      </x:c>
      <x:c r="T4" s="12" t="str">
        <x:v>active</x:v>
      </x:c>
      <x:c r="U4" s="12" t="str"/>
      <x:c r="V4" s="12" t="b">
        <x:f>IF(AND(OR(D4&lt;&gt;"",B4&lt;&gt;""),ISNUMBER(J4),ISNUMBER(K4),J4&gt;=-90,J4&lt;=90,K4&gt;=-180,K4&lt;=180,T4&lt;&gt;"permanently_closed"),TRUE,FALSE)</x:f>
        <x:v>0</x:v>
      </x:c>
      <x:c r="W4" s="12" t="str">
        <x:v>needs_coordinates</x:v>
      </x:c>
      <x:c r="X4" s="12" t="str">
        <x:v>source_confirmed</x:v>
      </x:c>
      <x:c r="Y4" s="12" t="str">
        <x:v>Scottish Golf</x:v>
      </x:c>
      <x:c r="Z4" s="12" t="str">
        <x:v>https://www.scottishgolf.org/club-detail?clubid=2153</x:v>
      </x:c>
      <x:c r="AA4" s="12" t="n">
        <x:v>46245</x:v>
      </x:c>
      <x:c r="AB4" s="12" t="str">
        <x:v>STRUCTURE SAMPLE - official governing-body club detail</x:v>
      </x:c>
      <x:c r="AC4" s="12" t="str">
        <x:v>WGS84 / EPSG:4326</x:v>
      </x:c>
      <x:c r="AD4" s="12"/>
      <x:c r="AE4" s="12"/>
      <x:c r="AF4" s="12" t="str">
        <x:f>IF(D4&lt;&gt;"",D4,IF(C4&lt;&gt;"",B4&amp;" - "&amp;C4,B4))</x:f>
        <x:v>Cowdenbeath Golf Club</x:v>
      </x:c>
      <x:c r="AG4" s="12" t="str">
        <x:f>IF(AND(F4&lt;&gt;"",E4&lt;&gt;""),F4&amp;", "&amp;E4,IF(E4&lt;&gt;"",E4,""))</x:f>
        <x:v>Fife, Scotland</x:v>
      </x:c>
      <x:c r="AH4" s="12" t="str">
        <x:f>E4</x:f>
        <x:v>Scotland</x:v>
      </x:c>
      <x:c r="AI4" s="12" t="str">
        <x:f>F4</x:f>
        <x:v>Fife</x:v>
      </x:c>
      <x:c r="AJ4" s="12" t="n">
        <x:f>G4</x:f>
        <x:v>0</x:v>
      </x:c>
      <x:c r="AK4" s="12" t="str">
        <x:f>LOWER(TRIM(B4&amp;" "&amp;C4&amp;" "&amp;D4&amp;" "&amp;H4&amp;" "&amp;F4&amp;" "&amp;G4&amp;" "&amp;E4&amp;" "&amp;I4))</x:f>
        <x:v>cowdenbeath golf club cowdenbeath golf club cowdenbeath fife scotland</x:v>
      </x:c>
      <x:c r="AL4" s="12" t="str">
        <x:f>LOWER(TRIM(E4&amp;"|"&amp;F4&amp;"|"&amp;B4&amp;"|"&amp;C4))</x:f>
        <x:v>scotland|fife|cowdenbeath golf club|</x:v>
      </x:c>
    </x:row>
    <x:row r="5">
      <x:c r="A5" s="12" t="str"/>
      <x:c r="B5" s="12" t="str">
        <x:v>Galgorm Castle Golf Club</x:v>
      </x:c>
      <x:c r="C5" s="12" t="str"/>
      <x:c r="D5" s="12" t="str">
        <x:v>Galgorm Castle Golf Club</x:v>
      </x:c>
      <x:c r="E5" s="12" t="str">
        <x:v>Northern Ireland</x:v>
      </x:c>
      <x:c r="F5" s="12" t="str">
        <x:v>County Antrim</x:v>
      </x:c>
      <x:c r="G5" s="12" t="str">
        <x:v>Antrim</x:v>
      </x:c>
      <x:c r="H5" s="12" t="str">
        <x:v>Ballymena</x:v>
      </x:c>
      <x:c r="I5" s="12" t="str">
        <x:v>BT42 1HL</x:v>
      </x:c>
      <x:c r="J5" s="23" t="str"/>
      <x:c r="K5" s="23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>
        <x:v>active</x:v>
      </x:c>
      <x:c r="U5" s="12" t="str"/>
      <x:c r="V5" s="12" t="b">
        <x:f>IF(AND(OR(D5&lt;&gt;"",B5&lt;&gt;""),ISNUMBER(J5),ISNUMBER(K5),J5&gt;=-90,J5&lt;=90,K5&gt;=-180,K5&lt;=180,T5&lt;&gt;"permanently_closed"),TRUE,FALSE)</x:f>
        <x:v>0</x:v>
      </x:c>
      <x:c r="W5" s="12" t="str">
        <x:v>needs_coordinates</x:v>
      </x:c>
      <x:c r="X5" s="12" t="str">
        <x:v>source_confirmed</x:v>
      </x:c>
      <x:c r="Y5" s="12" t="str">
        <x:v>Golf Ireland</x:v>
      </x:c>
      <x:c r="Z5" s="12" t="str">
        <x:v>https://www.golfireland.ie/club-detail?clubid=30291</x:v>
      </x:c>
      <x:c r="AA5" s="12" t="n">
        <x:v>46245</x:v>
      </x:c>
      <x:c r="AB5" s="12" t="str">
        <x:v>STRUCTURE SAMPLE - official Golf Ireland club record</x:v>
      </x:c>
      <x:c r="AC5" s="12" t="str">
        <x:v>WGS84 / EPSG:4326</x:v>
      </x:c>
      <x:c r="AD5" s="12"/>
      <x:c r="AE5" s="12"/>
      <x:c r="AF5" s="12" t="str">
        <x:f>IF(D5&lt;&gt;"",D5,IF(C5&lt;&gt;"",B5&amp;" - "&amp;C5,B5))</x:f>
        <x:v>Galgorm Castle Golf Club</x:v>
      </x:c>
      <x:c r="AG5" s="12" t="str">
        <x:f>IF(AND(F5&lt;&gt;"",E5&lt;&gt;""),F5&amp;", "&amp;E5,IF(E5&lt;&gt;"",E5,""))</x:f>
        <x:v>County Antrim, Northern Ireland</x:v>
      </x:c>
      <x:c r="AH5" s="12" t="str">
        <x:f>E5</x:f>
        <x:v>Northern Ireland</x:v>
      </x:c>
      <x:c r="AI5" s="12" t="str">
        <x:f>F5</x:f>
        <x:v>County Antrim</x:v>
      </x:c>
      <x:c r="AJ5" s="12" t="str">
        <x:f>G5</x:f>
        <x:v>Antrim</x:v>
      </x:c>
      <x:c r="AK5" s="12" t="str">
        <x:f>LOWER(TRIM(B5&amp;" "&amp;C5&amp;" "&amp;D5&amp;" "&amp;H5&amp;" "&amp;F5&amp;" "&amp;G5&amp;" "&amp;E5&amp;" "&amp;I5))</x:f>
        <x:v>galgorm castle golf club galgorm castle golf club ballymena county antrim antrim northern ireland bt42 1hl</x:v>
      </x:c>
      <x:c r="AL5" s="12" t="str">
        <x:f>LOWER(TRIM(E5&amp;"|"&amp;F5&amp;"|"&amp;B5&amp;"|"&amp;C5))</x:f>
        <x:v>northern ireland|county antrim|galgorm castle golf club|</x:v>
      </x:c>
    </x:row>
    <x:row r="6">
      <x:c r="A6" s="12" t="str"/>
      <x:c r="B6" s="12" t="str">
        <x:v>County Louth Golf Club</x:v>
      </x:c>
      <x:c r="C6" s="12" t="str"/>
      <x:c r="D6" s="12" t="str">
        <x:v>County Louth Golf Club</x:v>
      </x:c>
      <x:c r="E6" s="12" t="str">
        <x:v>Ireland</x:v>
      </x:c>
      <x:c r="F6" s="12" t="str">
        <x:v>County Louth</x:v>
      </x:c>
      <x:c r="G6" s="12" t="str"/>
      <x:c r="H6" s="12" t="str">
        <x:v>Drogheda</x:v>
      </x:c>
      <x:c r="I6" s="12" t="str"/>
      <x:c r="J6" s="23" t="str"/>
      <x:c r="K6" s="23" t="str"/>
      <x:c r="L6" s="12" t="str"/>
      <x:c r="M6" s="12" t="str"/>
      <x:c r="N6" s="12" t="str"/>
      <x:c r="O6" s="12" t="str"/>
      <x:c r="P6" s="12" t="str"/>
      <x:c r="Q6" s="12" t="str"/>
      <x:c r="R6" s="12" t="str">
        <x:v>1892</x:v>
      </x:c>
      <x:c r="S6" s="12" t="str"/>
      <x:c r="T6" s="12" t="str">
        <x:v>active</x:v>
      </x:c>
      <x:c r="U6" s="12" t="str"/>
      <x:c r="V6" s="12" t="b">
        <x:f>IF(AND(OR(D6&lt;&gt;"",B6&lt;&gt;""),ISNUMBER(J6),ISNUMBER(K6),J6&gt;=-90,J6&lt;=90,K6&gt;=-180,K6&lt;=180,T6&lt;&gt;"permanently_closed"),TRUE,FALSE)</x:f>
        <x:v>0</x:v>
      </x:c>
      <x:c r="W6" s="12" t="str">
        <x:v>needs_coordinates</x:v>
      </x:c>
      <x:c r="X6" s="12" t="str">
        <x:v>source_confirmed</x:v>
      </x:c>
      <x:c r="Y6" s="12" t="str">
        <x:v>Golf Ireland</x:v>
      </x:c>
      <x:c r="Z6" s="12" t="str">
        <x:v>https://www.golfireland.ie/club-detail?clubid=30372</x:v>
      </x:c>
      <x:c r="AA6" s="12" t="n">
        <x:v>46245</x:v>
      </x:c>
      <x:c r="AB6" s="12" t="str">
        <x:v>STRUCTURE SAMPLE - official club page states founded 1892</x:v>
      </x:c>
      <x:c r="AC6" s="12" t="str">
        <x:v>WGS84 / EPSG:4326</x:v>
      </x:c>
      <x:c r="AD6" s="12"/>
      <x:c r="AE6" s="12"/>
      <x:c r="AF6" s="12" t="str">
        <x:f>IF(D6&lt;&gt;"",D6,IF(C6&lt;&gt;"",B6&amp;" - "&amp;C6,B6))</x:f>
        <x:v>County Louth Golf Club</x:v>
      </x:c>
      <x:c r="AG6" s="12" t="str">
        <x:f>IF(AND(F6&lt;&gt;"",E6&lt;&gt;""),F6&amp;", "&amp;E6,IF(E6&lt;&gt;"",E6,""))</x:f>
        <x:v>County Louth, Ireland</x:v>
      </x:c>
      <x:c r="AH6" s="12" t="str">
        <x:f>E6</x:f>
        <x:v>Ireland</x:v>
      </x:c>
      <x:c r="AI6" s="12" t="str">
        <x:f>F6</x:f>
        <x:v>County Louth</x:v>
      </x:c>
      <x:c r="AJ6" s="12" t="n">
        <x:f>G6</x:f>
        <x:v>0</x:v>
      </x:c>
      <x:c r="AK6" s="12" t="str">
        <x:f>LOWER(TRIM(B6&amp;" "&amp;C6&amp;" "&amp;D6&amp;" "&amp;H6&amp;" "&amp;F6&amp;" "&amp;G6&amp;" "&amp;E6&amp;" "&amp;I6))</x:f>
        <x:v>county louth golf club county louth golf club drogheda county louth ireland</x:v>
      </x:c>
      <x:c r="AL6" s="12" t="str">
        <x:f>LOWER(TRIM(E6&amp;"|"&amp;F6&amp;"|"&amp;B6&amp;"|"&amp;C6))</x:f>
        <x:v>ireland|county louth|county louth golf club|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75" hidden="0" customWidth="1"/>
  </x:cols>
  <x:sheetData>
    <x:row r="1">
      <x:c r="A1" s="4" t="str">
        <x:v>Field</x:v>
      </x:c>
      <x:c r="B1" s="4" t="str">
        <x:v>Required for Map</x:v>
      </x:c>
      <x:c r="C1" s="4" t="str">
        <x:v>Required for MVP</x:v>
      </x:c>
      <x:c r="D1" s="4" t="str">
        <x:v>Description</x:v>
      </x:c>
    </x:row>
    <x:row r="2">
      <x:c r="A2" s="12" t="str">
        <x:v>hl_course_id</x:v>
      </x:c>
      <x:c r="B2" s="12" t="str">
        <x:v>Yes</x:v>
      </x:c>
      <x:c r="C2" s="12" t="str">
        <x:v>Yes</x:v>
      </x:c>
      <x:c r="D2" s="12" t="str">
        <x:v>Permanent Heathland Links course identifier; do not recycle IDs.</x:v>
      </x:c>
    </x:row>
    <x:row r="3">
      <x:c r="A3" s="12" t="str">
        <x:v>club_name</x:v>
      </x:c>
      <x:c r="B3" s="12" t="str">
        <x:v>Yes</x:v>
      </x:c>
      <x:c r="C3" s="12" t="str">
        <x:v>Yes</x:v>
      </x:c>
      <x:c r="D3" s="12" t="str">
        <x:v>Official club/facility name.</x:v>
      </x:c>
    </x:row>
    <x:row r="4">
      <x:c r="A4" s="12" t="str">
        <x:v>course_name</x:v>
      </x:c>
      <x:c r="B4" s="12" t="str">
        <x:v>Recommended</x:v>
      </x:c>
      <x:c r="C4" s="12" t="str">
        <x:v>Yes for multi-course clubs</x:v>
      </x:c>
      <x:c r="D4" s="12" t="str">
        <x:v>Named layout (Old, New, East, West, Championship etc.).</x:v>
      </x:c>
    </x:row>
    <x:row r="5">
      <x:c r="A5" s="12" t="str">
        <x:v>display_name</x:v>
      </x:c>
      <x:c r="B5" s="12" t="str">
        <x:v>Yes</x:v>
      </x:c>
      <x:c r="C5" s="12" t="str">
        <x:v>Yes</x:v>
      </x:c>
      <x:c r="D5" s="12" t="str">
        <x:v>User-facing combined course name.</x:v>
      </x:c>
    </x:row>
    <x:row r="6">
      <x:c r="A6" s="12" t="str">
        <x:v>country</x:v>
      </x:c>
      <x:c r="B6" s="12" t="str">
        <x:v>Yes</x:v>
      </x:c>
      <x:c r="C6" s="12" t="str">
        <x:v>Yes</x:v>
      </x:c>
      <x:c r="D6" s="12" t="str">
        <x:v>England, Scotland, Wales, Northern Ireland, Ireland, Isle of Man.</x:v>
      </x:c>
    </x:row>
    <x:row r="7">
      <x:c r="A7" s="12" t="str">
        <x:v>county</x:v>
      </x:c>
      <x:c r="B7" s="12" t="str">
        <x:v>Recommended</x:v>
      </x:c>
      <x:c r="C7" s="12" t="str">
        <x:v>Yes</x:v>
      </x:c>
      <x:c r="D7" s="12" t="str">
        <x:v>County used for future regional collections/grouping.</x:v>
      </x:c>
    </x:row>
    <x:row r="8">
      <x:c r="A8" s="12" t="str">
        <x:v>region</x:v>
      </x:c>
      <x:c r="B8" s="12" t="str">
        <x:v>No</x:v>
      </x:c>
      <x:c r="C8" s="12" t="str">
        <x:v>Recommended</x:v>
      </x:c>
      <x:c r="D8" s="12" t="str">
        <x:v>Higher-level golf/travel region if useful.</x:v>
      </x:c>
    </x:row>
    <x:row r="9">
      <x:c r="A9" s="12" t="str">
        <x:v>town_city</x:v>
      </x:c>
      <x:c r="B9" s="12" t="str">
        <x:v>Recommended</x:v>
      </x:c>
      <x:c r="C9" s="12" t="str">
        <x:v>Recommended</x:v>
      </x:c>
      <x:c r="D9" s="12" t="str">
        <x:v>Nearest town/city/locality.</x:v>
      </x:c>
    </x:row>
    <x:row r="10">
      <x:c r="A10" s="12" t="str">
        <x:v>postcode</x:v>
      </x:c>
      <x:c r="B10" s="12" t="str">
        <x:v>No</x:v>
      </x:c>
      <x:c r="C10" s="12" t="str">
        <x:v>Recommended</x:v>
      </x:c>
      <x:c r="D10" s="12" t="str">
        <x:v>Postal code if verified.</x:v>
      </x:c>
    </x:row>
    <x:row r="11">
      <x:c r="A11" s="12" t="str">
        <x:v>latitude</x:v>
      </x:c>
      <x:c r="B11" s="12" t="str">
        <x:v>Yes</x:v>
      </x:c>
      <x:c r="C11" s="12" t="str">
        <x:v>Yes</x:v>
      </x:c>
      <x:c r="D11" s="12" t="str">
        <x:v>WGS84 decimal latitude used by interactive map.</x:v>
      </x:c>
    </x:row>
    <x:row r="12">
      <x:c r="A12" s="12" t="str">
        <x:v>longitude</x:v>
      </x:c>
      <x:c r="B12" s="12" t="str">
        <x:v>Yes</x:v>
      </x:c>
      <x:c r="C12" s="12" t="str">
        <x:v>Yes</x:v>
      </x:c>
      <x:c r="D12" s="12" t="str">
        <x:v>WGS84 decimal longitude used by interactive map.</x:v>
      </x:c>
    </x:row>
    <x:row r="13">
      <x:c r="A13" s="12" t="str">
        <x:v>holes</x:v>
      </x:c>
      <x:c r="B13" s="12" t="str">
        <x:v>No</x:v>
      </x:c>
      <x:c r="C13" s="12" t="str">
        <x:v>Recommended</x:v>
      </x:c>
      <x:c r="D13" s="12" t="str">
        <x:v>Physical hole count.</x:v>
      </x:c>
    </x:row>
    <x:row r="14">
      <x:c r="A14" s="12" t="str">
        <x:v>par</x:v>
      </x:c>
      <x:c r="B14" s="12" t="str">
        <x:v>No</x:v>
      </x:c>
      <x:c r="C14" s="12" t="str">
        <x:v>Recommended</x:v>
      </x:c>
      <x:c r="D14" s="12" t="str">
        <x:v>Primary 18-hole par or physical-course par; document 9-hole cases.</x:v>
      </x:c>
    </x:row>
    <x:row r="15">
      <x:c r="A15" s="12" t="str">
        <x:v>length_yards</x:v>
      </x:c>
      <x:c r="B15" s="12" t="str">
        <x:v>No</x:v>
      </x:c>
      <x:c r="C15" s="12" t="str">
        <x:v>No</x:v>
      </x:c>
      <x:c r="D15" s="12" t="str">
        <x:v>Preferred championship/standard tee length; tee-specific data belongs in a future tees table.</x:v>
      </x:c>
    </x:row>
    <x:row r="16">
      <x:c r="A16" s="12" t="str">
        <x:v>length_metres</x:v>
      </x:c>
      <x:c r="B16" s="12" t="str">
        <x:v>No</x:v>
      </x:c>
      <x:c r="C16" s="12" t="str">
        <x:v>No</x:v>
      </x:c>
      <x:c r="D16" s="12" t="str">
        <x:v>Metric equivalent where verified.</x:v>
      </x:c>
    </x:row>
    <x:row r="17">
      <x:c r="A17" s="12" t="str">
        <x:v>architect_original</x:v>
      </x:c>
      <x:c r="B17" s="12" t="str">
        <x:v>No</x:v>
      </x:c>
      <x:c r="C17" s="12" t="str">
        <x:v>No</x:v>
      </x:c>
      <x:c r="D17" s="12" t="str">
        <x:v>Original architect/designer.</x:v>
      </x:c>
    </x:row>
    <x:row r="18">
      <x:c r="A18" s="12" t="str">
        <x:v>architect_redesign</x:v>
      </x:c>
      <x:c r="B18" s="12" t="str">
        <x:v>No</x:v>
      </x:c>
      <x:c r="C18" s="12" t="str">
        <x:v>No</x:v>
      </x:c>
      <x:c r="D18" s="12" t="str">
        <x:v>Major redesign architect(s), if applicable.</x:v>
      </x:c>
    </x:row>
    <x:row r="19">
      <x:c r="A19" s="12" t="str">
        <x:v>year_opened</x:v>
      </x:c>
      <x:c r="B19" s="12" t="str">
        <x:v>No</x:v>
      </x:c>
      <x:c r="C19" s="12" t="str">
        <x:v>No</x:v>
      </x:c>
      <x:c r="D19" s="12" t="str">
        <x:v>Year course/layout opened, not merely club founding year unless same.</x:v>
      </x:c>
    </x:row>
    <x:row r="20">
      <x:c r="A20" s="12" t="str">
        <x:v>official_website_url</x:v>
      </x:c>
      <x:c r="B20" s="12" t="str">
        <x:v>No</x:v>
      </x:c>
      <x:c r="C20" s="12" t="str">
        <x:v>Recommended</x:v>
      </x:c>
      <x:c r="D20" s="12" t="str">
        <x:v>Official club/course website.</x:v>
      </x:c>
    </x:row>
    <x:row r="21">
      <x:c r="A21" s="12" t="str">
        <x:v>course_status</x:v>
      </x:c>
      <x:c r="B21" s="12" t="str">
        <x:v>Yes</x:v>
      </x:c>
      <x:c r="C21" s="12" t="str">
        <x:v>Yes</x:v>
      </x:c>
      <x:c r="D21" s="12" t="str">
        <x:v>Controls map/public eligibility.</x:v>
      </x:c>
    </x:row>
    <x:row r="22">
      <x:c r="A22" s="12" t="str">
        <x:v>access_type</x:v>
      </x:c>
      <x:c r="B22" s="12" t="str">
        <x:v>No</x:v>
      </x:c>
      <x:c r="C22" s="12" t="str">
        <x:v>No</x:v>
      </x:c>
      <x:c r="D22" s="12" t="str">
        <x:v>Private, members, visitors, public/pay-and-play etc.</x:v>
      </x:c>
    </x:row>
    <x:row r="23">
      <x:c r="A23" s="12" t="str">
        <x:v>map_ready</x:v>
      </x:c>
      <x:c r="B23" s="12" t="str">
        <x:v>Derived</x:v>
      </x:c>
      <x:c r="C23" s="12" t="str">
        <x:v>Derived</x:v>
      </x:c>
      <x:c r="D23" s="12" t="str">
        <x:v>True only when valid coordinates/name/status are present.</x:v>
      </x:c>
    </x:row>
    <x:row r="24">
      <x:c r="A24" s="12" t="str">
        <x:v>core_data_status</x:v>
      </x:c>
      <x:c r="B24" s="12" t="str">
        <x:v>No</x:v>
      </x:c>
      <x:c r="C24" s="12" t="str">
        <x:v>Operational</x:v>
      </x:c>
      <x:c r="D24" s="12" t="str">
        <x:v>Research/backfill state.</x:v>
      </x:c>
    </x:row>
    <x:row r="25">
      <x:c r="A25" s="12" t="str">
        <x:v>verification_status</x:v>
      </x:c>
      <x:c r="B25" s="12" t="str">
        <x:v>No</x:v>
      </x:c>
      <x:c r="C25" s="12" t="str">
        <x:v>Operational</x:v>
      </x:c>
      <x:c r="D25" s="12" t="str">
        <x:v>How confidently the row is sourced.</x:v>
      </x:c>
    </x:row>
    <x:row r="26">
      <x:c r="A26" s="12" t="str">
        <x:v>primary_source</x:v>
      </x:c>
      <x:c r="B26" s="12" t="str">
        <x:v>No</x:v>
      </x:c>
      <x:c r="C26" s="12" t="str">
        <x:v>Operational</x:v>
      </x:c>
      <x:c r="D26" s="12" t="str">
        <x:v>Official governing body, official club, licensed provider, etc.</x:v>
      </x:c>
    </x:row>
    <x:row r="27">
      <x:c r="A27" s="12" t="str">
        <x:v>source_url</x:v>
      </x:c>
      <x:c r="B27" s="12" t="str">
        <x:v>No</x:v>
      </x:c>
      <x:c r="C27" s="12" t="str">
        <x:v>Operational</x:v>
      </x:c>
      <x:c r="D27" s="12" t="str">
        <x:v>URL used to verify the row.</x:v>
      </x:c>
    </x:row>
    <x:row r="28">
      <x:c r="A28" s="12" t="str">
        <x:v>source_checked_at</x:v>
      </x:c>
      <x:c r="B28" s="12" t="str">
        <x:v>No</x:v>
      </x:c>
      <x:c r="C28" s="12" t="str">
        <x:v>Operational</x:v>
      </x:c>
      <x:c r="D28" s="12" t="str">
        <x:v>Last verification date.</x:v>
      </x:c>
    </x:row>
    <x:row r="29">
      <x:c r="A29" s="12" t="str">
        <x:v>notes</x:v>
      </x:c>
      <x:c r="B29" s="12" t="str">
        <x:v>No</x:v>
      </x:c>
      <x:c r="C29" s="12" t="str">
        <x:v>No</x:v>
      </x:c>
      <x:c r="D29" s="12" t="str">
        <x:v>Layout ambiguities, historical names, 9-hole routing notes, etc.</x:v>
      </x:c>
    </x:row>
    <x:row r="31">
      <x:c r="A31" t="str">
        <x:v>coordinate_system</x:v>
      </x:c>
      <x:c r="B31" t="str">
        <x:v>Yes</x:v>
      </x:c>
      <x:c r="C31" t="str">
        <x:v>Operational</x:v>
      </x:c>
      <x:c r="D31" t="str">
        <x:v>Use WGS84 / EPSG:4326 for app map coordinates.</x:v>
      </x:c>
    </x:row>
    <x:row r="32">
      <x:c r="A32" t="str">
        <x:v>coordinate_source</x:v>
      </x:c>
      <x:c r="B32" t="str">
        <x:v>No</x:v>
      </x:c>
      <x:c r="C32" t="str">
        <x:v>Operational</x:v>
      </x:c>
      <x:c r="D32" t="str">
        <x:v>Source used to verify latitude/longitude.</x:v>
      </x:c>
    </x:row>
    <x:row r="33">
      <x:c r="A33" t="str">
        <x:v>coordinate_verified_at</x:v>
      </x:c>
      <x:c r="B33" t="str">
        <x:v>No</x:v>
      </x:c>
      <x:c r="C33" t="str">
        <x:v>Operational</x:v>
      </x:c>
      <x:c r="D33" t="str">
        <x:v>Last coordinate verification date.</x:v>
      </x:c>
    </x:row>
    <x:row r="34">
      <x:c r="A34" t="str">
        <x:v>map_marker_label</x:v>
      </x:c>
      <x:c r="B34" t="str">
        <x:v>Derived</x:v>
      </x:c>
      <x:c r="C34" t="str">
        <x:v>Derived</x:v>
      </x:c>
      <x:c r="D34" t="str">
        <x:v>Primary course label for map preview.</x:v>
      </x:c>
    </x:row>
    <x:row r="35">
      <x:c r="A35" t="str">
        <x:v>map_subtitle</x:v>
      </x:c>
      <x:c r="B35" t="str">
        <x:v>Derived</x:v>
      </x:c>
      <x:c r="C35" t="str">
        <x:v>Derived</x:v>
      </x:c>
      <x:c r="D35" t="str">
        <x:v>County/country subtitle for map preview.</x:v>
      </x:c>
    </x:row>
    <x:row r="36">
      <x:c r="A36" t="str">
        <x:v>map_group_country</x:v>
      </x:c>
      <x:c r="B36" t="str">
        <x:v>Derived</x:v>
      </x:c>
      <x:c r="C36" t="str">
        <x:v>Derived</x:v>
      </x:c>
      <x:c r="D36" t="str">
        <x:v>Country filter/group value.</x:v>
      </x:c>
    </x:row>
    <x:row r="37">
      <x:c r="A37" t="str">
        <x:v>map_group_county</x:v>
      </x:c>
      <x:c r="B37" t="str">
        <x:v>Derived</x:v>
      </x:c>
      <x:c r="C37" t="str">
        <x:v>Derived</x:v>
      </x:c>
      <x:c r="D37" t="str">
        <x:v>County filter/group value.</x:v>
      </x:c>
    </x:row>
    <x:row r="38">
      <x:c r="A38" t="str">
        <x:v>map_group_region</x:v>
      </x:c>
      <x:c r="B38" t="str">
        <x:v>Derived</x:v>
      </x:c>
      <x:c r="C38" t="str">
        <x:v>Derived</x:v>
      </x:c>
      <x:c r="D38" t="str">
        <x:v>Region filter/group value.</x:v>
      </x:c>
    </x:row>
    <x:row r="39">
      <x:c r="A39" t="str">
        <x:v>map_search_text</x:v>
      </x:c>
      <x:c r="B39" t="str">
        <x:v>Derived</x:v>
      </x:c>
      <x:c r="C39" t="str">
        <x:v>Derived</x:v>
      </x:c>
      <x:c r="D39" t="str">
        <x:v>Normalised searchable location/course text.</x:v>
      </x:c>
    </x:row>
    <x:row r="40">
      <x:c r="A40" t="str">
        <x:v>map_sort_key</x:v>
      </x:c>
      <x:c r="B40" t="str">
        <x:v>Derived</x:v>
      </x:c>
      <x:c r="C40" t="str">
        <x:v>Derived</x:v>
      </x:c>
      <x:c r="D40" t="str">
        <x:v>Stable country/county/club/course sort key.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46" hidden="0" customWidth="1"/>
    <x:col min="5" max="5" width="66" hidden="0" customWidth="1"/>
  </x:cols>
  <x:sheetData>
    <x:row r="1">
      <x:c r="A1" s="4" t="str">
        <x:v>Source</x:v>
      </x:c>
      <x:c r="B1" s="4" t="str">
        <x:v>Coverage / Purpose</x:v>
      </x:c>
      <x:c r="C1" s="4" t="str">
        <x:v>Status</x:v>
      </x:c>
      <x:c r="D1" s="4" t="str">
        <x:v>URL</x:v>
      </x:c>
      <x:c r="E1" s="4" t="str">
        <x:v>Notes</x:v>
      </x:c>
    </x:row>
    <x:row r="2">
      <x:c r="A2" s="12" t="str">
        <x:v>England Golf - Find &amp; Play</x:v>
      </x:c>
      <x:c r="B2" s="12" t="str">
        <x:v>Official England club/facility directory</x:v>
      </x:c>
      <x:c r="C2" s="12" t="str">
        <x:v>Primary discovery source</x:v>
      </x:c>
      <x:c r="D2" s="12" t="str">
        <x:v>https://www.englandgolf.org/find-and-play</x:v>
      </x:c>
      <x:c r="E2" s="12" t="str">
        <x:v>Use for club identity/contact/location; course-layout/architect fields may require club verification.</x:v>
      </x:c>
    </x:row>
    <x:row r="3">
      <x:c r="A3" s="12" t="str">
        <x:v>Scottish Golf - Find a Facility</x:v>
      </x:c>
      <x:c r="B3" s="12" t="str">
        <x:v>Official Scotland facility directory</x:v>
      </x:c>
      <x:c r="C3" s="12" t="str">
        <x:v>Primary discovery source</x:v>
      </x:c>
      <x:c r="D3" s="12" t="str">
        <x:v>https://www.scottishgolf.org/find-a-facility</x:v>
      </x:c>
      <x:c r="E3" s="12" t="str">
        <x:v>Official governing-body discovery source.</x:v>
      </x:c>
    </x:row>
    <x:row r="4">
      <x:c r="A4" s="12" t="str">
        <x:v>Wales Golf - Find a Facility</x:v>
      </x:c>
      <x:c r="B4" s="12" t="str">
        <x:v>Official Wales facility directory</x:v>
      </x:c>
      <x:c r="C4" s="12" t="str">
        <x:v>Primary discovery source</x:v>
      </x:c>
      <x:c r="D4" s="12" t="str">
        <x:v>https://www.walesgolf.org/find-a-facility</x:v>
      </x:c>
      <x:c r="E4" s="12" t="str">
        <x:v>Includes facility filters such as WHS-rated courses.</x:v>
      </x:c>
    </x:row>
    <x:row r="5">
      <x:c r="A5" s="12" t="str">
        <x:v>Golf Ireland - Find a Club</x:v>
      </x:c>
      <x:c r="B5" s="12" t="str">
        <x:v>Official all-island club directory</x:v>
      </x:c>
      <x:c r="C5" s="12" t="str">
        <x:v>Primary discovery source</x:v>
      </x:c>
      <x:c r="D5" s="12" t="str">
        <x:v>https://www.golfireland.ie/find-a-club</x:v>
      </x:c>
      <x:c r="E5" s="12" t="str">
        <x:v>Directory reports 382 clubs at time checked.</x:v>
      </x:c>
    </x:row>
    <x:row r="6">
      <x:c r="A6" s="12" t="str">
        <x:v>Golf API</x:v>
      </x:c>
      <x:c r="B6" s="12" t="str">
        <x:v>Commercial global course/scorecard/GPS feed</x:v>
      </x:c>
      <x:c r="C6" s="12" t="str">
        <x:v>Candidate licensed enrichment source</x:v>
      </x:c>
      <x:c r="D6" s="12" t="str">
        <x:v>https://golfapi.io/</x:v>
      </x:c>
      <x:c r="E6" s="12" t="str">
        <x:v>Website states 40,000+ courses, CSV/API, commercial use in own products; redistribution prohibited.</x:v>
      </x:c>
    </x:row>
    <x:row r="7">
      <x:c r="A7" s="12" t="str">
        <x:v>Golf Course Database</x:v>
      </x:c>
      <x:c r="B7" s="12" t="str">
        <x:v>Commercial club/course/scorecard database</x:v>
      </x:c>
      <x:c r="C7" s="12" t="str">
        <x:v>Candidate licensed enrichment source</x:v>
      </x:c>
      <x:c r="D7" s="12" t="str">
        <x:v>https://golf-course-database.com/</x:v>
      </x:c>
      <x:c r="E7" s="12" t="str">
        <x:v>Offers UK full database and API; licensing/subscription required.</x:v>
      </x:c>
    </x:row>
    <x:row r="8">
      <x:c r="A8" s="12" t="str">
        <x:v>OpenStreetMap</x:v>
      </x:c>
      <x:c r="B8" s="12" t="str">
        <x:v>Open geographic course mapping</x:v>
      </x:c>
      <x:c r="C8" s="12" t="str">
        <x:v>Supplementary geospatial source</x:v>
      </x:c>
      <x:c r="D8" s="12" t="str">
        <x:v>https://www.openstreetmap.org/</x:v>
      </x:c>
      <x:c r="E8" s="12" t="str">
        <x:v>Useful for geometry/coordinates; completeness varies and attribution/licence obligations apply.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48" hidden="0" customWidth="1"/>
    <x:col min="4" max="4" width="70" hidden="0" customWidth="1"/>
  </x:cols>
  <x:sheetData>
    <x:row r="1">
      <x:c r="A1" s="4" t="str">
        <x:v>Jurisdiction</x:v>
      </x:c>
      <x:c r="B1" s="4" t="str">
        <x:v>Primary official directory</x:v>
      </x:c>
      <x:c r="C1" s="4" t="str">
        <x:v>Current project status</x:v>
      </x:c>
      <x:c r="D1" s="4" t="str">
        <x:v>Recommended acquisition route</x:v>
      </x:c>
    </x:row>
    <x:row r="2">
      <x:c r="A2" s="12" t="str">
        <x:v>England</x:v>
      </x:c>
      <x:c r="B2" s="12" t="str">
        <x:v>England Golf</x:v>
      </x:c>
      <x:c r="C2" s="12" t="str">
        <x:v>Bulk national records not yet licensed/imported</x:v>
      </x:c>
      <x:c r="D2" s="12" t="str">
        <x:v>Official directory + licensed bulk feed for course/layout/GPS/par/length</x:v>
      </x:c>
    </x:row>
    <x:row r="3">
      <x:c r="A3" s="12" t="str">
        <x:v>Scotland</x:v>
      </x:c>
      <x:c r="B3" s="12" t="str">
        <x:v>Scottish Golf</x:v>
      </x:c>
      <x:c r="C3" s="12" t="str">
        <x:v>Bulk national records not yet licensed/imported</x:v>
      </x:c>
      <x:c r="D3" s="12" t="str">
        <x:v>Official directory + licensed bulk feed; supplement with course rating data where appropriate</x:v>
      </x:c>
    </x:row>
    <x:row r="4">
      <x:c r="A4" s="12" t="str">
        <x:v>Wales</x:v>
      </x:c>
      <x:c r="B4" s="12" t="str">
        <x:v>Wales Golf</x:v>
      </x:c>
      <x:c r="C4" s="12" t="str">
        <x:v>Bulk national records not yet licensed/imported</x:v>
      </x:c>
      <x:c r="D4" s="12" t="str">
        <x:v>Official directory + licensed bulk feed</x:v>
      </x:c>
    </x:row>
    <x:row r="5">
      <x:c r="A5" s="12" t="str">
        <x:v>Northern Ireland</x:v>
      </x:c>
      <x:c r="B5" s="12" t="str">
        <x:v>Golf Ireland</x:v>
      </x:c>
      <x:c r="C5" s="12" t="str">
        <x:v>Bulk national records not yet licensed/imported</x:v>
      </x:c>
      <x:c r="D5" s="12" t="str">
        <x:v>Golf Ireland official directory + licensed feed</x:v>
      </x:c>
    </x:row>
    <x:row r="6">
      <x:c r="A6" s="12" t="str">
        <x:v>Ireland</x:v>
      </x:c>
      <x:c r="B6" s="12" t="str">
        <x:v>Golf Ireland</x:v>
      </x:c>
      <x:c r="C6" s="12" t="str">
        <x:v>Bulk national records not yet licensed/imported</x:v>
      </x:c>
      <x:c r="D6" s="12" t="str">
        <x:v>Golf Ireland official directory + licensed feed</x:v>
      </x:c>
    </x:row>
    <x:row r="7">
      <x:c r="A7" s="12" t="str">
        <x:v>Isle of Man</x:v>
      </x:c>
      <x:c r="B7" s="12" t="str">
        <x:v>Local/club sources</x:v>
      </x:c>
      <x:c r="C7" s="12" t="str">
        <x:v>Requires separate discovery pass</x:v>
      </x:c>
      <x:c r="D7" s="12" t="str">
        <x:v>Official/local club sources + licensed feed / geospatial verification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16" t="str">
        <x:v>HEATHLAND LINKS - GB&amp;I MASTER COURSE DATABASE</x:v>
      </x:c>
    </x:row>
    <x:row r="2">
      <x:c r="A2" s="12" t="str">
        <x:v>Purpose</x:v>
      </x:c>
    </x:row>
    <x:row r="3">
      <x:c r="A3" s="12" t="str">
        <x:v>This workbook is the production schema and acquisition framework for the complete Great Britain &amp; Ireland master course universe. One row in Master_Courses represents one distinct playable course/layout, not merely one golf club.</x:v>
      </x:c>
    </x:row>
    <x:row r="4">
      <x:c r="A4" s="12" t="str">
        <x:v>Critical accuracy rule</x:v>
      </x:c>
    </x:row>
    <x:row r="5">
      <x:c r="A5" s="12" t="str">
        <x:v>Do not invent par, yardage, architect, opening year, layout identity or coordinates. Keep unknown values blank and use core_data_status / verification_status.</x:v>
      </x:c>
    </x:row>
    <x:row r="6">
      <x:c r="A6" s="12" t="str">
        <x:v>Why this file is not labelled complete yet</x:v>
      </x:c>
    </x:row>
    <x:row r="7">
      <x:c r="A7" s="12" t="str">
        <x:v>The national governing-body directories are authoritative discovery sources but do not expose one bulk export containing every requested field. A complete multi-thousand-row production dataset therefore requires either a licensed bulk feed or a controlled country-by-country extraction/verification project.</x:v>
      </x:c>
    </x:row>
    <x:row r="8">
      <x:c r="A8" s="12" t="str">
        <x:v>Recommended production workflow</x:v>
      </x:c>
    </x:row>
    <x:row r="9">
      <x:c r="A9" s="12" t="str">
        <x:v>Acquire licensed GB&amp;I bulk course data; reconcile with official governing-body club directories; preserve one record per named layout; verify map coordinates and regional fields; backfill architect/year from official sources; import with stable Heathland Links IDs and provenance.</x:v>
      </x:c>
    </x:row>
    <x:row r="11">
      <x:c r="A11" t="str">
        <x:v>Map-ready definition</x:v>
      </x:c>
    </x:row>
    <x:row r="12">
      <x:c r="A12" t="str">
        <x:v>A course is map-ready when it has a club/display name, valid numeric WGS84 latitude and longitude, and course_status is not permanently_closed. Missing par, yardage, architect, year opened, logo or photo must not block map display.</x:v>
      </x:c>
    </x:row>
    <x:row r="13">
      <x:c r="A13" t="str">
        <x:v>Coordinate convention</x:v>
      </x:c>
    </x:row>
    <x:row r="14">
      <x:c r="A14" t="str">
        <x:v>Store coordinates as WGS84 / EPSG:4326 decimal degrees. Latitude is stored in latitude; longitude in longitude. In PostGIS/geospatial point construction, use longitude first and latitude second.</x:v>
      </x:c>
    </x:row>
    <x:row r="15">
      <x:c r="A15" t="str">
        <x:v>Map_Import sheet</x:v>
      </x:c>
    </x:row>
    <x:row r="16">
      <x:c r="A16" t="str">
        <x:v>Use Map_Import as the developer-facing map data contract. Filter map_ready = TRUE. Do not use par/full enrichment status as a map filter.</x:v>
      </x:c>
    </x:row>
    <x:row r="17">
      <x:c r="A17" t="str">
        <x:v>Regional grouping</x:v>
      </x:c>
    </x:row>
    <x:row r="18">
      <x:c r="A18" t="str">
        <x:v>country, county, region and town_city are separate specifically so future regional collections and filters can be added without changing course identity.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  <x:col min="15" max="15" width="12" hidden="0" customWidth="1"/>
    <x:col min="16" max="16" width="12" hidden="0" customWidth="1"/>
    <x:col min="17" max="17" width="32" hidden="0" customWidth="1"/>
    <x:col min="18" max="18" width="32" hidden="0" customWidth="1"/>
    <x:col min="19" max="19" width="20" hidden="0" customWidth="1"/>
  </x:cols>
  <x:sheetData>
    <x:row r="1">
      <x:c r="A1" s="22" t="str">
        <x:v>course_id</x:v>
      </x:c>
      <x:c r="B1" s="22" t="str">
        <x:v>club_name</x:v>
      </x:c>
      <x:c r="C1" s="22" t="str">
        <x:v>course_name</x:v>
      </x:c>
      <x:c r="D1" s="22" t="str">
        <x:v>display_name</x:v>
      </x:c>
      <x:c r="E1" s="22" t="str">
        <x:v>country</x:v>
      </x:c>
      <x:c r="F1" s="22" t="str">
        <x:v>county</x:v>
      </x:c>
      <x:c r="G1" s="22" t="str">
        <x:v>region</x:v>
      </x:c>
      <x:c r="H1" s="22" t="str">
        <x:v>town_city</x:v>
      </x:c>
      <x:c r="I1" s="22" t="str">
        <x:v>latitude</x:v>
      </x:c>
      <x:c r="J1" s="22" t="str">
        <x:v>longitude</x:v>
      </x:c>
      <x:c r="K1" s="22" t="str">
        <x:v>course_status</x:v>
      </x:c>
      <x:c r="L1" s="22" t="str">
        <x:v>map_ready</x:v>
      </x:c>
      <x:c r="M1" s="22" t="str">
        <x:v>map_marker_label</x:v>
      </x:c>
      <x:c r="N1" s="22" t="str">
        <x:v>map_subtitle</x:v>
      </x:c>
      <x:c r="O1" s="22" t="str">
        <x:v>par</x:v>
      </x:c>
      <x:c r="P1" s="22" t="str">
        <x:v>holes</x:v>
      </x:c>
      <x:c r="Q1" s="22" t="str">
        <x:v>official_logo_url</x:v>
      </x:c>
      <x:c r="R1" s="22" t="str">
        <x:v>official_hero_image_url</x:v>
      </x:c>
      <x:c r="S1" s="22" t="str">
        <x:v>verification_status</x:v>
      </x:c>
    </x:row>
    <x:row r="2">
      <x:c r="A2" t="str">
        <x:f>IF(Master_Courses!A2="","",Master_Courses!A2)</x:f>
      </x:c>
      <x:c r="B2" t="str">
        <x:f>IF(Master_Courses!B2="","",Master_Courses!B2)</x:f>
        <x:v>Bexleyheath Golf Club</x:v>
      </x:c>
      <x:c r="C2" t="str">
        <x:f>IF(Master_Courses!C2="","",Master_Courses!C2)</x:f>
      </x:c>
      <x:c r="D2" t="str">
        <x:f>IF(Master_Courses!D2="","",Master_Courses!D2)</x:f>
        <x:v>Bexleyheath Golf Club</x:v>
      </x:c>
      <x:c r="E2" t="str">
        <x:f>IF(Master_Courses!E2="","",Master_Courses!E2)</x:f>
        <x:v>England</x:v>
      </x:c>
      <x:c r="F2" t="str">
        <x:f>IF(Master_Courses!F2="","",Master_Courses!F2)</x:f>
        <x:v>Kent</x:v>
      </x:c>
      <x:c r="G2" t="str">
        <x:f>IF(Master_Courses!G2="","",Master_Courses!G2)</x:f>
      </x:c>
      <x:c r="H2" t="str">
        <x:f>IF(Master_Courses!H2="","",Master_Courses!H2)</x:f>
        <x:v>Bexleyheath</x:v>
      </x:c>
      <x:c r="I2" s="24" t="str">
        <x:f>IF(Master_Courses!J2="","",Master_Courses!J2)</x:f>
      </x:c>
      <x:c r="J2" s="24" t="str">
        <x:f>IF(Master_Courses!K2="","",Master_Courses!K2)</x:f>
      </x:c>
      <x:c r="K2" t="str">
        <x:f>IF(Master_Courses!T2="","",Master_Courses!T2)</x:f>
        <x:v>active</x:v>
      </x:c>
      <x:c r="L2" t="b">
        <x:f>Master_Courses!V2</x:f>
        <x:v>0</x:v>
      </x:c>
      <x:c r="M2" t="str">
        <x:f>IF(Master_Courses!AF2="","",Master_Courses!AF2)</x:f>
        <x:v>Bexleyheath Golf Club</x:v>
      </x:c>
      <x:c r="N2" t="str">
        <x:f>IF(Master_Courses!AG2="","",Master_Courses!AG2)</x:f>
        <x:v>Kent, England</x:v>
      </x:c>
      <x:c r="O2" t="str">
        <x:f>IF(Master_Courses!M2="","",Master_Courses!M2)</x:f>
      </x:c>
      <x:c r="P2" t="str">
        <x:f>IF(Master_Courses!L2="","",Master_Courses!L2)</x:f>
      </x:c>
      <x:c r="Q2" t="str"/>
      <x:c r="R2" t="str"/>
      <x:c r="S2" t="str">
        <x:f>IF(Master_Courses!X2="","",Master_Courses!X2)</x:f>
        <x:v>source_confirmed</x:v>
      </x:c>
    </x:row>
    <x:row r="3">
      <x:c r="A3" t="str">
        <x:f>IF(Master_Courses!A3="","",Master_Courses!A3)</x:f>
      </x:c>
      <x:c r="B3" t="str">
        <x:f>IF(Master_Courses!B3="","",Master_Courses!B3)</x:f>
        <x:v>Puttenham Golf Club</x:v>
      </x:c>
      <x:c r="C3" t="str">
        <x:f>IF(Master_Courses!C3="","",Master_Courses!C3)</x:f>
      </x:c>
      <x:c r="D3" t="str">
        <x:f>IF(Master_Courses!D3="","",Master_Courses!D3)</x:f>
        <x:v>Puttenham Golf Club</x:v>
      </x:c>
      <x:c r="E3" t="str">
        <x:f>IF(Master_Courses!E3="","",Master_Courses!E3)</x:f>
        <x:v>England</x:v>
      </x:c>
      <x:c r="F3" t="str">
        <x:f>IF(Master_Courses!F3="","",Master_Courses!F3)</x:f>
        <x:v>Surrey</x:v>
      </x:c>
      <x:c r="G3" t="str">
        <x:f>IF(Master_Courses!G3="","",Master_Courses!G3)</x:f>
      </x:c>
      <x:c r="H3" t="str">
        <x:f>IF(Master_Courses!H3="","",Master_Courses!H3)</x:f>
        <x:v>Puttenham</x:v>
      </x:c>
      <x:c r="I3" s="24" t="str">
        <x:f>IF(Master_Courses!J3="","",Master_Courses!J3)</x:f>
      </x:c>
      <x:c r="J3" s="24" t="str">
        <x:f>IF(Master_Courses!K3="","",Master_Courses!K3)</x:f>
      </x:c>
      <x:c r="K3" t="str">
        <x:f>IF(Master_Courses!T3="","",Master_Courses!T3)</x:f>
        <x:v>active</x:v>
      </x:c>
      <x:c r="L3" t="b">
        <x:f>Master_Courses!V3</x:f>
        <x:v>0</x:v>
      </x:c>
      <x:c r="M3" t="str">
        <x:f>IF(Master_Courses!AF3="","",Master_Courses!AF3)</x:f>
        <x:v>Puttenham Golf Club</x:v>
      </x:c>
      <x:c r="N3" t="str">
        <x:f>IF(Master_Courses!AG3="","",Master_Courses!AG3)</x:f>
        <x:v>Surrey, England</x:v>
      </x:c>
      <x:c r="O3" t="str">
        <x:f>IF(Master_Courses!M3="","",Master_Courses!M3)</x:f>
      </x:c>
      <x:c r="P3" t="str">
        <x:f>IF(Master_Courses!L3="","",Master_Courses!L3)</x:f>
      </x:c>
      <x:c r="Q3" t="str"/>
      <x:c r="R3" t="str"/>
      <x:c r="S3" t="str">
        <x:f>IF(Master_Courses!X3="","",Master_Courses!X3)</x:f>
        <x:v>source_confirmed</x:v>
      </x:c>
    </x:row>
    <x:row r="4">
      <x:c r="A4" t="str">
        <x:f>IF(Master_Courses!A4="","",Master_Courses!A4)</x:f>
      </x:c>
      <x:c r="B4" t="str">
        <x:f>IF(Master_Courses!B4="","",Master_Courses!B4)</x:f>
        <x:v>Cowdenbeath Golf Club</x:v>
      </x:c>
      <x:c r="C4" t="str">
        <x:f>IF(Master_Courses!C4="","",Master_Courses!C4)</x:f>
      </x:c>
      <x:c r="D4" t="str">
        <x:f>IF(Master_Courses!D4="","",Master_Courses!D4)</x:f>
        <x:v>Cowdenbeath Golf Club</x:v>
      </x:c>
      <x:c r="E4" t="str">
        <x:f>IF(Master_Courses!E4="","",Master_Courses!E4)</x:f>
        <x:v>Scotland</x:v>
      </x:c>
      <x:c r="F4" t="str">
        <x:f>IF(Master_Courses!F4="","",Master_Courses!F4)</x:f>
        <x:v>Fife</x:v>
      </x:c>
      <x:c r="G4" t="str">
        <x:f>IF(Master_Courses!G4="","",Master_Courses!G4)</x:f>
      </x:c>
      <x:c r="H4" t="str">
        <x:f>IF(Master_Courses!H4="","",Master_Courses!H4)</x:f>
        <x:v>Cowdenbeath</x:v>
      </x:c>
      <x:c r="I4" s="24" t="str">
        <x:f>IF(Master_Courses!J4="","",Master_Courses!J4)</x:f>
      </x:c>
      <x:c r="J4" s="24" t="str">
        <x:f>IF(Master_Courses!K4="","",Master_Courses!K4)</x:f>
      </x:c>
      <x:c r="K4" t="str">
        <x:f>IF(Master_Courses!T4="","",Master_Courses!T4)</x:f>
        <x:v>active</x:v>
      </x:c>
      <x:c r="L4" t="b">
        <x:f>Master_Courses!V4</x:f>
        <x:v>0</x:v>
      </x:c>
      <x:c r="M4" t="str">
        <x:f>IF(Master_Courses!AF4="","",Master_Courses!AF4)</x:f>
        <x:v>Cowdenbeath Golf Club</x:v>
      </x:c>
      <x:c r="N4" t="str">
        <x:f>IF(Master_Courses!AG4="","",Master_Courses!AG4)</x:f>
        <x:v>Fife, Scotland</x:v>
      </x:c>
      <x:c r="O4" t="str">
        <x:f>IF(Master_Courses!M4="","",Master_Courses!M4)</x:f>
      </x:c>
      <x:c r="P4" t="str">
        <x:f>IF(Master_Courses!L4="","",Master_Courses!L4)</x:f>
      </x:c>
      <x:c r="Q4" t="str"/>
      <x:c r="R4" t="str"/>
      <x:c r="S4" t="str">
        <x:f>IF(Master_Courses!X4="","",Master_Courses!X4)</x:f>
        <x:v>source_confirmed</x:v>
      </x:c>
    </x:row>
    <x:row r="5">
      <x:c r="A5" t="str">
        <x:f>IF(Master_Courses!A5="","",Master_Courses!A5)</x:f>
      </x:c>
      <x:c r="B5" t="str">
        <x:f>IF(Master_Courses!B5="","",Master_Courses!B5)</x:f>
        <x:v>Galgorm Castle Golf Club</x:v>
      </x:c>
      <x:c r="C5" t="str">
        <x:f>IF(Master_Courses!C5="","",Master_Courses!C5)</x:f>
      </x:c>
      <x:c r="D5" t="str">
        <x:f>IF(Master_Courses!D5="","",Master_Courses!D5)</x:f>
        <x:v>Galgorm Castle Golf Club</x:v>
      </x:c>
      <x:c r="E5" t="str">
        <x:f>IF(Master_Courses!E5="","",Master_Courses!E5)</x:f>
        <x:v>Northern Ireland</x:v>
      </x:c>
      <x:c r="F5" t="str">
        <x:f>IF(Master_Courses!F5="","",Master_Courses!F5)</x:f>
        <x:v>County Antrim</x:v>
      </x:c>
      <x:c r="G5" t="str">
        <x:f>IF(Master_Courses!G5="","",Master_Courses!G5)</x:f>
        <x:v>Antrim</x:v>
      </x:c>
      <x:c r="H5" t="str">
        <x:f>IF(Master_Courses!H5="","",Master_Courses!H5)</x:f>
        <x:v>Ballymena</x:v>
      </x:c>
      <x:c r="I5" s="24" t="str">
        <x:f>IF(Master_Courses!J5="","",Master_Courses!J5)</x:f>
      </x:c>
      <x:c r="J5" s="24" t="str">
        <x:f>IF(Master_Courses!K5="","",Master_Courses!K5)</x:f>
      </x:c>
      <x:c r="K5" t="str">
        <x:f>IF(Master_Courses!T5="","",Master_Courses!T5)</x:f>
        <x:v>active</x:v>
      </x:c>
      <x:c r="L5" t="b">
        <x:f>Master_Courses!V5</x:f>
        <x:v>0</x:v>
      </x:c>
      <x:c r="M5" t="str">
        <x:f>IF(Master_Courses!AF5="","",Master_Courses!AF5)</x:f>
        <x:v>Galgorm Castle Golf Club</x:v>
      </x:c>
      <x:c r="N5" t="str">
        <x:f>IF(Master_Courses!AG5="","",Master_Courses!AG5)</x:f>
        <x:v>County Antrim, Northern Ireland</x:v>
      </x:c>
      <x:c r="O5" t="str">
        <x:f>IF(Master_Courses!M5="","",Master_Courses!M5)</x:f>
      </x:c>
      <x:c r="P5" t="str">
        <x:f>IF(Master_Courses!L5="","",Master_Courses!L5)</x:f>
      </x:c>
      <x:c r="Q5" t="str"/>
      <x:c r="R5" t="str"/>
      <x:c r="S5" t="str">
        <x:f>IF(Master_Courses!X5="","",Master_Courses!X5)</x:f>
        <x:v>source_confirmed</x:v>
      </x:c>
    </x:row>
    <x:row r="6">
      <x:c r="A6" t="str">
        <x:f>IF(Master_Courses!A6="","",Master_Courses!A6)</x:f>
      </x:c>
      <x:c r="B6" t="str">
        <x:f>IF(Master_Courses!B6="","",Master_Courses!B6)</x:f>
        <x:v>County Louth Golf Club</x:v>
      </x:c>
      <x:c r="C6" t="str">
        <x:f>IF(Master_Courses!C6="","",Master_Courses!C6)</x:f>
      </x:c>
      <x:c r="D6" t="str">
        <x:f>IF(Master_Courses!D6="","",Master_Courses!D6)</x:f>
        <x:v>County Louth Golf Club</x:v>
      </x:c>
      <x:c r="E6" t="str">
        <x:f>IF(Master_Courses!E6="","",Master_Courses!E6)</x:f>
        <x:v>Ireland</x:v>
      </x:c>
      <x:c r="F6" t="str">
        <x:f>IF(Master_Courses!F6="","",Master_Courses!F6)</x:f>
        <x:v>County Louth</x:v>
      </x:c>
      <x:c r="G6" t="str">
        <x:f>IF(Master_Courses!G6="","",Master_Courses!G6)</x:f>
      </x:c>
      <x:c r="H6" t="str">
        <x:f>IF(Master_Courses!H6="","",Master_Courses!H6)</x:f>
        <x:v>Drogheda</x:v>
      </x:c>
      <x:c r="I6" s="24" t="str">
        <x:f>IF(Master_Courses!J6="","",Master_Courses!J6)</x:f>
      </x:c>
      <x:c r="J6" s="24" t="str">
        <x:f>IF(Master_Courses!K6="","",Master_Courses!K6)</x:f>
      </x:c>
      <x:c r="K6" t="str">
        <x:f>IF(Master_Courses!T6="","",Master_Courses!T6)</x:f>
        <x:v>active</x:v>
      </x:c>
      <x:c r="L6" t="b">
        <x:f>Master_Courses!V6</x:f>
        <x:v>0</x:v>
      </x:c>
      <x:c r="M6" t="str">
        <x:f>IF(Master_Courses!AF6="","",Master_Courses!AF6)</x:f>
        <x:v>County Louth Golf Club</x:v>
      </x:c>
      <x:c r="N6" t="str">
        <x:f>IF(Master_Courses!AG6="","",Master_Courses!AG6)</x:f>
        <x:v>County Louth, Ireland</x:v>
      </x:c>
      <x:c r="O6" t="str">
        <x:f>IF(Master_Courses!M6="","",Master_Courses!M6)</x:f>
      </x:c>
      <x:c r="P6" t="str">
        <x:f>IF(Master_Courses!L6="","",Master_Courses!L6)</x:f>
      </x:c>
      <x:c r="Q6" t="str"/>
      <x:c r="R6" t="str"/>
      <x:c r="S6" t="str">
        <x:f>IF(Master_Courses!X6="","",Master_Courses!X6)</x:f>
        <x:v>source_confirmed</x:v>
      </x:c>
    </x:row>
  </x:sheetData>
  <x:pageMargins left="0.7" right="0.7" top="0.75" bottom="0.75" header="0.3" footer="0.3"/>
</x:worksheet>
</file>