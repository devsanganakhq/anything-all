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da84cc984a54c6a" /></Relationships>
</file>

<file path=xl/workbook.xml><?xml version="1.0" encoding="utf-8"?>
<x:workbook xmlns:x="http://schemas.openxmlformats.org/spreadsheetml/2006/main">
  <x:sheets>
    <x:sheet xmlns:r="http://schemas.openxmlformats.org/officeDocument/2006/relationships" name="README" sheetId="1" r:id="Rca16b3e68ba84fab"/>
    <x:sheet xmlns:r="http://schemas.openxmlformats.org/officeDocument/2006/relationships" name="Course_Master" sheetId="2" r:id="Rb0e0837b6abe4e38"/>
    <x:sheet xmlns:r="http://schemas.openxmlformats.org/officeDocument/2006/relationships" name="Developer_Import" sheetId="3" r:id="R8b69eae8a8cd4335"/>
    <x:sheet xmlns:r="http://schemas.openxmlformats.org/officeDocument/2006/relationships" name="Data_Dictionary" sheetId="4" r:id="Rbba4402595584f44"/>
    <x:sheet xmlns:r="http://schemas.openxmlformats.org/officeDocument/2006/relationships" name="Coverage_QA" sheetId="5" r:id="Rcf33bef554d146e9"/>
    <x:sheet xmlns:r="http://schemas.openxmlformats.org/officeDocument/2006/relationships" name="Research_Status" sheetId="6" r:id="Ra63e96fb13684a0b"/>
    <x:sheet xmlns:r="http://schemas.openxmlformats.org/officeDocument/2006/relationships" name="Reconciliation_Log" sheetId="7" r:id="R8ca00c5b7d8740e0"/>
    <x:sheet xmlns:r="http://schemas.openxmlformats.org/officeDocument/2006/relationships" name="Source_Records" sheetId="8" r:id="R80a981a272234c10"/>
    <x:sheet xmlns:r="http://schemas.openxmlformats.org/officeDocument/2006/relationships" name="Sources_Attribution" sheetId="9" r:id="R36dc4f5888834e9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000"/>
    <x:numFmt numFmtId="201" formatCode="0"/>
  </x:numFmts>
  <x:fonts count="5">
    <x:font>
      <x:sz val="11"/>
      <x:name val="Carlito"/>
    </x:font>
    <x:font>
      <x:b/>
      <x:sz val="16"/>
      <x:color rgb="FFFFFFFF"/>
      <x:name val="Carlito"/>
    </x:font>
    <x:font>
      <x:b/>
      <x:sz val="11"/>
      <x:color rgb="FF174C3C"/>
      <x:name val="Carlito"/>
    </x:font>
    <x:font>
      <x:b/>
      <x:sz val="11"/>
      <x:color rgb="FFFFFFFF"/>
      <x:name val="Carlito"/>
    </x:font>
    <x:font>
      <x:sz val="9"/>
      <x:name val="Carlito"/>
    </x:font>
  </x:fonts>
  <x:fills count="6">
    <x:fill>
      <x:patternFill patternType="none"/>
    </x:fill>
    <x:fill>
      <x:patternFill patternType="gray125"/>
    </x:fill>
    <x:fill>
      <x:patternFill patternType="solid">
        <x:fgColor rgb="FF174C3C"/>
      </x:patternFill>
    </x:fill>
    <x:fill>
      <x:patternFill patternType="solid">
        <x:fgColor rgb="FFD9EEF4"/>
      </x:patternFill>
    </x:fill>
    <x:fill>
      <x:patternFill patternType="solid">
        <x:fgColor rgb="FFF4F8F6"/>
      </x:patternFill>
    </x:fill>
    <x:fill>
      <x:patternFill patternType="solid">
        <x:fgColor rgb="FFFFF2CC"/>
      </x:patternFill>
    </x:fill>
  </x:fills>
  <x:borders count="16">
    <x:border/>
    <x:border>
      <x:right style="thin">
        <x:color rgb="FFD9E2DF"/>
      </x:right>
      <x:bottom style="thin">
        <x:color rgb="FFD9E2DF"/>
      </x:bottom>
    </x:border>
    <x:border>
      <x:left style="thin">
        <x:color rgb="FFD9E2DF"/>
      </x:left>
      <x:bottom style="thin">
        <x:color rgb="FFD9E2DF"/>
      </x:bottom>
    </x:border>
    <x:border>
      <x:right style="thin">
        <x:color rgb="FFD9E2DF"/>
      </x:right>
      <x:top style="thin">
        <x:color rgb="FFD9E2DF"/>
      </x:top>
      <x:bottom style="thin">
        <x:color rgb="FFD9E2DF"/>
      </x:bottom>
    </x:border>
    <x:border>
      <x:left style="thin">
        <x:color rgb="FFD9E2DF"/>
      </x:left>
      <x:top style="thin">
        <x:color rgb="FFD9E2DF"/>
      </x:top>
      <x:bottom style="thin">
        <x:color rgb="FFD9E2DF"/>
      </x:bottom>
    </x:border>
    <x:border>
      <x:right style="thin">
        <x:color rgb="FFD9E2DF"/>
      </x:right>
      <x:top style="thin">
        <x:color rgb="FFD9E2DF"/>
      </x:top>
    </x:border>
    <x:border>
      <x:left style="thin">
        <x:color rgb="FFD9E2DF"/>
      </x:left>
      <x:top style="thin">
        <x:color rgb="FFD9E2DF"/>
      </x:top>
    </x:border>
    <x:border>
      <x:left style="thin">
        <x:color rgb="FF174C3C"/>
      </x:left>
      <x:top style="thin">
        <x:color rgb="FF174C3C"/>
      </x:top>
      <x:bottom style="thin">
        <x:color rgb="FF174C3C"/>
      </x:bottom>
    </x:border>
    <x:border>
      <x:top style="thin">
        <x:color rgb="FF174C3C"/>
      </x:top>
      <x:bottom style="thin">
        <x:color rgb="FF174C3C"/>
      </x:bottom>
    </x:border>
    <x:border>
      <x:right style="thin">
        <x:color rgb="FF174C3C"/>
      </x:right>
      <x:top style="thin">
        <x:color rgb="FF174C3C"/>
      </x:top>
      <x:bottom style="thin">
        <x:color rgb="FF174C3C"/>
      </x:bottom>
    </x:border>
    <x:border>
      <x:left style="thin">
        <x:color rgb="FFD9E2DF"/>
      </x:left>
      <x:right style="thin">
        <x:color rgb="FFD9E2DF"/>
      </x:right>
      <x:bottom style="thin">
        <x:color rgb="FFD9E2DF"/>
      </x:bottom>
    </x:border>
    <x:border>
      <x:left style="thin">
        <x:color rgb="FFD9E2DF"/>
      </x:left>
      <x:right style="thin">
        <x:color rgb="FFD9E2DF"/>
      </x:right>
      <x:top style="thin">
        <x:color rgb="FFD9E2DF"/>
      </x:top>
      <x:bottom style="thin">
        <x:color rgb="FFD9E2DF"/>
      </x:bottom>
    </x:border>
    <x:border>
      <x:left style="thin">
        <x:color rgb="FFD9E2DF"/>
      </x:left>
      <x:right style="thin">
        <x:color rgb="FFD9E2DF"/>
      </x:right>
      <x:top style="thin">
        <x:color rgb="FFD9E2DF"/>
      </x:top>
    </x:border>
    <x:border>
      <x:left style="medium">
        <x:color rgb="FF174C3C"/>
      </x:left>
      <x:top style="medium">
        <x:color rgb="FF174C3C"/>
      </x:top>
      <x:bottom style="medium">
        <x:color rgb="FF174C3C"/>
      </x:bottom>
    </x:border>
    <x:border>
      <x:top style="medium">
        <x:color rgb="FF174C3C"/>
      </x:top>
      <x:bottom style="medium">
        <x:color rgb="FF174C3C"/>
      </x:bottom>
    </x:border>
    <x:border>
      <x:right style="medium">
        <x:color rgb="FF174C3C"/>
      </x:right>
      <x:top style="medium">
        <x:color rgb="FF174C3C"/>
      </x:top>
      <x:bottom style="medium">
        <x:color rgb="FF174C3C"/>
      </x:bottom>
    </x:border>
  </x:borders>
  <x:cellStyleXfs count="1">
    <x:xf numFmtId="0" fontId="0" fillId="0" borderId="0"/>
  </x:cellStyleXfs>
  <x:cellXfs count="10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top" wrapText="1"/>
    </x:xf>
    <x:xf numFmtId="0" fontId="1" fillId="2" borderId="1" xfId="0" applyNumberFormat="1" applyFont="1" applyFill="1" applyBorder="1" applyAlignment="1">
      <x:alignment vertical="center" wrapText="1"/>
    </x:xf>
    <x:xf numFmtId="0" fontId="1" fillId="2" borderId="2" xfId="0" applyNumberFormat="1" applyFont="1" applyFill="1" applyBorder="1" applyAlignment="1">
      <x:alignment vertical="center" wrapText="1"/>
    </x:xf>
    <x:xf numFmtId="0" fontId="2" fillId="3" borderId="3" xfId="0" applyNumberFormat="1" applyFont="1" applyFill="1" applyBorder="1" applyAlignment="1">
      <x:alignment wrapText="1"/>
    </x:xf>
    <x:xf numFmtId="0" fontId="0" fillId="4" borderId="4" xfId="0" applyNumberFormat="1" applyFont="1" applyFill="1" applyBorder="1" applyAlignment="1">
      <x:alignment vertical="top" wrapText="1"/>
    </x:xf>
    <x:xf numFmtId="0" fontId="2" fillId="3" borderId="5" xfId="0" applyNumberFormat="1" applyFont="1" applyFill="1" applyBorder="1" applyAlignment="1">
      <x:alignment wrapText="1"/>
    </x:xf>
    <x:xf numFmtId="0" fontId="0" fillId="4" borderId="6"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3" fillId="2" borderId="0" xfId="0" applyNumberFormat="1" applyFont="1" applyFill="1" applyBorder="1"/>
    <x:xf numFmtId="0" fontId="3" fillId="2" borderId="7" xfId="0" applyNumberFormat="1" applyFont="1" applyFill="1" applyBorder="1"/>
    <x:xf numFmtId="0" fontId="3" fillId="2" borderId="8" xfId="0" applyNumberFormat="1" applyFont="1" applyFill="1" applyBorder="1"/>
    <x:xf numFmtId="0" fontId="3" fillId="2" borderId="9" xfId="0" applyNumberFormat="1" applyFont="1" applyFill="1" applyBorder="1"/>
    <x:xf numFmtId="0" fontId="3" fillId="2" borderId="7" xfId="0" applyNumberFormat="1" applyFont="1" applyFill="1" applyBorder="1" applyAlignment="1">
      <x:alignment wrapText="1"/>
    </x:xf>
    <x:xf numFmtId="0" fontId="3" fillId="2" borderId="8" xfId="0" applyNumberFormat="1" applyFont="1" applyFill="1" applyBorder="1" applyAlignment="1">
      <x:alignment wrapText="1"/>
    </x:xf>
    <x:xf numFmtId="0" fontId="3" fillId="2" borderId="9" xfId="0" applyNumberFormat="1" applyFont="1" applyFill="1" applyBorder="1" applyAlignment="1">
      <x:alignment wrapText="1"/>
    </x:xf>
    <x:xf numFmtId="0" fontId="3" fillId="2" borderId="7" xfId="0" applyNumberFormat="1" applyFont="1" applyFill="1" applyBorder="1" applyAlignment="1">
      <x:alignment vertical="center" wrapText="1"/>
    </x:xf>
    <x:xf numFmtId="0" fontId="3" fillId="2" borderId="8" xfId="0" applyNumberFormat="1" applyFont="1" applyFill="1" applyBorder="1" applyAlignment="1">
      <x:alignment vertical="center" wrapText="1"/>
    </x:xf>
    <x:xf numFmtId="0" fontId="3" fillId="2" borderId="9" xfId="0" applyNumberFormat="1" applyFont="1" applyFill="1" applyBorder="1" applyAlignment="1">
      <x:alignment vertical="center" wrapText="1"/>
    </x:xf>
    <x:xf numFmtId="0" fontId="4" fillId="0" borderId="0" xfId="0" applyNumberFormat="1" applyFont="1" applyFill="1" applyBorder="1"/>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0" fontId="4" fillId="0" borderId="0" xfId="0" applyNumberFormat="1" applyFont="1" applyFill="1" applyBorder="1" applyAlignment="1">
      <x:alignment vertical="top"/>
    </x:xf>
    <x:xf numFmtId="201" fontId="4" fillId="0" borderId="0" xfId="0" applyNumberFormat="1" applyFont="1" applyFill="1" applyBorder="1" applyAlignment="1">
      <x:alignment vertical="top"/>
    </x:xf>
    <x:xf numFmtId="200" fontId="4" fillId="0" borderId="0" xfId="0" applyNumberFormat="1" applyFont="1" applyFill="1" applyBorder="1"/>
    <x:xf numFmtId="0" fontId="0" fillId="4" borderId="1" xfId="0" applyNumberFormat="1" applyFont="1" applyFill="1" applyBorder="1"/>
    <x:xf numFmtId="0" fontId="0" fillId="4" borderId="10" xfId="0" applyNumberFormat="1" applyFont="1" applyFill="1" applyBorder="1"/>
    <x:xf numFmtId="0" fontId="0" fillId="4" borderId="2" xfId="0" applyNumberFormat="1" applyFont="1" applyFill="1" applyBorder="1"/>
    <x:xf numFmtId="0" fontId="0" fillId="4" borderId="3" xfId="0" applyNumberFormat="1" applyFont="1" applyFill="1" applyBorder="1"/>
    <x:xf numFmtId="0" fontId="0" fillId="4" borderId="11" xfId="0" applyNumberFormat="1" applyFont="1" applyFill="1" applyBorder="1"/>
    <x:xf numFmtId="0" fontId="0" fillId="4" borderId="4" xfId="0" applyNumberFormat="1" applyFont="1" applyFill="1" applyBorder="1"/>
    <x:xf numFmtId="0" fontId="0" fillId="4" borderId="5" xfId="0" applyNumberFormat="1" applyFont="1" applyFill="1" applyBorder="1"/>
    <x:xf numFmtId="0" fontId="0" fillId="4" borderId="12" xfId="0" applyNumberFormat="1" applyFont="1" applyFill="1" applyBorder="1"/>
    <x:xf numFmtId="0" fontId="0" fillId="4" borderId="6" xfId="0" applyNumberFormat="1" applyFont="1" applyFill="1" applyBorder="1"/>
    <x:xf numFmtId="0" fontId="0" fillId="4" borderId="1" xfId="0" applyNumberFormat="1" applyFont="1" applyFill="1" applyBorder="1" applyAlignment="1">
      <x:alignment wrapText="1"/>
    </x:xf>
    <x:xf numFmtId="0" fontId="0" fillId="4" borderId="10" xfId="0" applyNumberFormat="1" applyFont="1" applyFill="1" applyBorder="1" applyAlignment="1">
      <x:alignment wrapText="1"/>
    </x:xf>
    <x:xf numFmtId="0" fontId="0" fillId="4" borderId="2" xfId="0" applyNumberFormat="1" applyFont="1" applyFill="1" applyBorder="1" applyAlignment="1">
      <x:alignment wrapText="1"/>
    </x:xf>
    <x:xf numFmtId="0" fontId="0" fillId="4" borderId="3" xfId="0" applyNumberFormat="1" applyFont="1" applyFill="1" applyBorder="1" applyAlignment="1">
      <x:alignment wrapText="1"/>
    </x:xf>
    <x:xf numFmtId="0" fontId="0" fillId="4" borderId="11" xfId="0" applyNumberFormat="1" applyFont="1" applyFill="1" applyBorder="1" applyAlignment="1">
      <x:alignment wrapText="1"/>
    </x:xf>
    <x:xf numFmtId="0" fontId="0" fillId="4" borderId="4" xfId="0" applyNumberFormat="1" applyFont="1" applyFill="1" applyBorder="1" applyAlignment="1">
      <x:alignment wrapText="1"/>
    </x:xf>
    <x:xf numFmtId="0" fontId="0" fillId="4" borderId="5" xfId="0" applyNumberFormat="1" applyFont="1" applyFill="1" applyBorder="1" applyAlignment="1">
      <x:alignment wrapText="1"/>
    </x:xf>
    <x:xf numFmtId="0" fontId="0" fillId="4" borderId="12" xfId="0" applyNumberFormat="1" applyFont="1" applyFill="1" applyBorder="1" applyAlignment="1">
      <x:alignment wrapText="1"/>
    </x:xf>
    <x:xf numFmtId="0" fontId="0" fillId="4" borderId="6" xfId="0" applyNumberFormat="1" applyFont="1" applyFill="1" applyBorder="1" applyAlignment="1">
      <x:alignment wrapText="1"/>
    </x:xf>
    <x:xf numFmtId="0" fontId="0" fillId="4" borderId="1" xfId="0" applyNumberFormat="1" applyFont="1" applyFill="1" applyBorder="1" applyAlignment="1">
      <x:alignment vertical="top" wrapText="1"/>
    </x:xf>
    <x:xf numFmtId="0" fontId="0" fillId="4" borderId="10" xfId="0" applyNumberFormat="1" applyFont="1" applyFill="1" applyBorder="1" applyAlignment="1">
      <x:alignment vertical="top" wrapText="1"/>
    </x:xf>
    <x:xf numFmtId="0" fontId="0" fillId="4" borderId="2" xfId="0" applyNumberFormat="1" applyFont="1" applyFill="1" applyBorder="1" applyAlignment="1">
      <x:alignment vertical="top" wrapText="1"/>
    </x:xf>
    <x:xf numFmtId="0" fontId="0" fillId="4" borderId="3" xfId="0" applyNumberFormat="1" applyFont="1" applyFill="1" applyBorder="1" applyAlignment="1">
      <x:alignment vertical="top" wrapText="1"/>
    </x:xf>
    <x:xf numFmtId="0" fontId="0" fillId="4" borderId="11" xfId="0" applyNumberFormat="1" applyFont="1" applyFill="1" applyBorder="1" applyAlignment="1">
      <x:alignment vertical="top" wrapText="1"/>
    </x:xf>
    <x:xf numFmtId="0" fontId="0" fillId="4" borderId="5" xfId="0" applyNumberFormat="1" applyFont="1" applyFill="1" applyBorder="1" applyAlignment="1">
      <x:alignment vertical="top" wrapText="1"/>
    </x:xf>
    <x:xf numFmtId="0" fontId="0" fillId="4" borderId="12" xfId="0" applyNumberFormat="1" applyFont="1" applyFill="1" applyBorder="1" applyAlignment="1">
      <x:alignment vertical="top" wrapText="1"/>
    </x:xf>
    <x:xf numFmtId="0" fontId="0" fillId="4" borderId="0" xfId="0" applyNumberFormat="1" applyFont="1" applyFill="1" applyBorder="1">
      <x:extLst>
        <x:ext uri="{C7286773-470A-42A8-94C5-96B5CB345126}">
          <xfpb:xfComplement xmlns:xfpb="http://schemas.microsoft.com/office/spreadsheetml/2022/featurepropertybag" i="0"/>
        </x:ext>
      </x:extLst>
    </x:xf>
    <x:xf numFmtId="0" fontId="0" fillId="4" borderId="10" xfId="0" applyNumberFormat="1" applyFont="1" applyFill="1" applyBorder="1">
      <x:extLst>
        <x:ext uri="{C7286773-470A-42A8-94C5-96B5CB345126}">
          <xfpb:xfComplement xmlns:xfpb="http://schemas.microsoft.com/office/spreadsheetml/2022/featurepropertybag" i="0"/>
        </x:ext>
      </x:extLst>
    </x:xf>
    <x:xf numFmtId="0" fontId="0" fillId="4" borderId="11" xfId="0" applyNumberFormat="1" applyFont="1" applyFill="1" applyBorder="1">
      <x:extLst>
        <x:ext uri="{C7286773-470A-42A8-94C5-96B5CB345126}">
          <xfpb:xfComplement xmlns:xfpb="http://schemas.microsoft.com/office/spreadsheetml/2022/featurepropertybag" i="0"/>
        </x:ext>
      </x:extLst>
    </x:xf>
    <x:xf numFmtId="0" fontId="0" fillId="4" borderId="12" xfId="0" applyNumberFormat="1" applyFont="1" applyFill="1" applyBorder="1">
      <x:extLst>
        <x:ext uri="{C7286773-470A-42A8-94C5-96B5CB345126}">
          <xfpb:xfComplement xmlns:xfpb="http://schemas.microsoft.com/office/spreadsheetml/2022/featurepropertybag" i="0"/>
        </x:ext>
      </x:extLst>
    </x:xf>
    <x:xf numFmtId="0" fontId="0" fillId="4" borderId="1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4" borderId="1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4" borderId="12"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3" borderId="0" xfId="0" applyNumberFormat="1" applyFont="1" applyFill="1" applyBorder="1">
      <x:extLst>
        <x:ext uri="{C7286773-470A-42A8-94C5-96B5CB345126}">
          <xfpb:xfComplement xmlns:xfpb="http://schemas.microsoft.com/office/spreadsheetml/2022/featurepropertybag" i="0"/>
        </x:ext>
      </x:extLst>
    </x:xf>
    <x:xf numFmtId="0" fontId="2" fillId="3" borderId="0" xfId="0" applyNumberFormat="1" applyFont="1" applyFill="1" applyBorder="1">
      <x:extLst>
        <x:ext uri="{C7286773-470A-42A8-94C5-96B5CB345126}">
          <xfpb:xfComplement xmlns:xfpb="http://schemas.microsoft.com/office/spreadsheetml/2022/featurepropertybag" i="0"/>
        </x:ext>
      </x:extLst>
    </x:xf>
    <x:xf numFmtId="0" fontId="2" fillId="3" borderId="13" xfId="0" applyNumberFormat="1" applyFont="1" applyFill="1" applyBorder="1"/>
    <x:xf numFmtId="0" fontId="2" fillId="3" borderId="14" xfId="0" applyNumberFormat="1" applyFont="1" applyFill="1" applyBorder="1"/>
    <x:xf numFmtId="0" fontId="2" fillId="3" borderId="14" xfId="0" applyNumberFormat="1" applyFont="1" applyFill="1" applyBorder="1">
      <x:extLst>
        <x:ext uri="{C7286773-470A-42A8-94C5-96B5CB345126}">
          <xfpb:xfComplement xmlns:xfpb="http://schemas.microsoft.com/office/spreadsheetml/2022/featurepropertybag" i="0"/>
        </x:ext>
      </x:extLst>
    </x:xf>
    <x:xf numFmtId="0" fontId="2" fillId="3" borderId="15"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0" fillId="5" borderId="10" xfId="0" applyNumberFormat="1" applyFont="1" applyFill="1" applyBorder="1"/>
    <x:xf numFmtId="0" fontId="0" fillId="5" borderId="2" xfId="0" applyNumberFormat="1" applyFont="1" applyFill="1" applyBorder="1"/>
    <x:xf numFmtId="0" fontId="0" fillId="5" borderId="3" xfId="0" applyNumberFormat="1" applyFont="1" applyFill="1" applyBorder="1"/>
    <x:xf numFmtId="0" fontId="0" fillId="5" borderId="11" xfId="0" applyNumberFormat="1" applyFont="1" applyFill="1" applyBorder="1"/>
    <x:xf numFmtId="0" fontId="0" fillId="5" borderId="4" xfId="0" applyNumberFormat="1" applyFont="1" applyFill="1" applyBorder="1"/>
    <x:xf numFmtId="0" fontId="0" fillId="5" borderId="5" xfId="0" applyNumberFormat="1" applyFont="1" applyFill="1" applyBorder="1"/>
    <x:xf numFmtId="0" fontId="0" fillId="5" borderId="12" xfId="0" applyNumberFormat="1" applyFont="1" applyFill="1" applyBorder="1"/>
    <x:xf numFmtId="0" fontId="0" fillId="5" borderId="6" xfId="0" applyNumberFormat="1" applyFont="1" applyFill="1" applyBorder="1"/>
    <x:xf numFmtId="0" fontId="0" fillId="5" borderId="1" xfId="0" applyNumberFormat="1" applyFont="1" applyFill="1" applyBorder="1" applyAlignment="1">
      <x:alignment wrapText="1"/>
    </x:xf>
    <x:xf numFmtId="0" fontId="0" fillId="5" borderId="10" xfId="0" applyNumberFormat="1" applyFont="1" applyFill="1" applyBorder="1" applyAlignment="1">
      <x:alignment wrapText="1"/>
    </x:xf>
    <x:xf numFmtId="0" fontId="0" fillId="5" borderId="2" xfId="0" applyNumberFormat="1" applyFont="1" applyFill="1" applyBorder="1" applyAlignment="1">
      <x:alignment wrapText="1"/>
    </x:xf>
    <x:xf numFmtId="0" fontId="0" fillId="5" borderId="3" xfId="0" applyNumberFormat="1" applyFont="1" applyFill="1" applyBorder="1" applyAlignment="1">
      <x:alignment wrapText="1"/>
    </x:xf>
    <x:xf numFmtId="0" fontId="0" fillId="5" borderId="11" xfId="0" applyNumberFormat="1" applyFont="1" applyFill="1" applyBorder="1" applyAlignment="1">
      <x:alignment wrapText="1"/>
    </x:xf>
    <x:xf numFmtId="0" fontId="0" fillId="5" borderId="4" xfId="0" applyNumberFormat="1" applyFont="1" applyFill="1" applyBorder="1" applyAlignment="1">
      <x:alignment wrapText="1"/>
    </x:xf>
    <x:xf numFmtId="0" fontId="0" fillId="5" borderId="5" xfId="0" applyNumberFormat="1" applyFont="1" applyFill="1" applyBorder="1" applyAlignment="1">
      <x:alignment wrapText="1"/>
    </x:xf>
    <x:xf numFmtId="0" fontId="0" fillId="5" borderId="12" xfId="0" applyNumberFormat="1" applyFont="1" applyFill="1" applyBorder="1" applyAlignment="1">
      <x:alignment wrapText="1"/>
    </x:xf>
    <x:xf numFmtId="0" fontId="0" fillId="5" borderId="6"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5" borderId="10" xfId="0" applyNumberFormat="1" applyFont="1" applyFill="1" applyBorder="1" applyAlignment="1">
      <x:alignment vertical="top" wrapText="1"/>
    </x:xf>
    <x:xf numFmtId="0" fontId="0" fillId="5" borderId="2" xfId="0" applyNumberFormat="1" applyFont="1" applyFill="1" applyBorder="1" applyAlignment="1">
      <x:alignment vertical="top" wrapText="1"/>
    </x:xf>
    <x:xf numFmtId="0" fontId="0" fillId="5" borderId="3"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4" xfId="0" applyNumberFormat="1" applyFont="1" applyFill="1" applyBorder="1" applyAlignment="1">
      <x:alignment vertical="top" wrapText="1"/>
    </x:xf>
    <x:xf numFmtId="0" fontId="0" fillId="5" borderId="5" xfId="0" applyNumberFormat="1" applyFont="1" applyFill="1" applyBorder="1" applyAlignment="1">
      <x:alignment vertical="top" wrapText="1"/>
    </x:xf>
    <x:xf numFmtId="0" fontId="0" fillId="5" borderId="12" xfId="0" applyNumberFormat="1" applyFont="1" applyFill="1" applyBorder="1" applyAlignment="1">
      <x:alignment vertical="top" wrapText="1"/>
    </x:xf>
    <x:xf numFmtId="0" fontId="0" fillId="5" borderId="6"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898a8aba5f9495f" /><Relationship Type="http://schemas.openxmlformats.org/officeDocument/2006/relationships/theme" Target="/xl/theme/theme1.xml" Id="Rcaceea2145ce4db1" /><Relationship Type="http://schemas.microsoft.com/office/2022/11/relationships/FeaturePropertyBag" Target="/xl/featurePropertyBag/featurePropertyBag.xml" Id="R7bfed06f681a4950" /><Relationship Type="http://schemas.openxmlformats.org/officeDocument/2006/relationships/sharedStrings" Target="/xl/sharedStrings.xml" Id="R9fda43bed6f346fa" /><Relationship Type="http://schemas.openxmlformats.org/officeDocument/2006/relationships/worksheet" Target="/xl/worksheets/sheet1.xml" Id="Rca16b3e68ba84fab" /><Relationship Type="http://schemas.openxmlformats.org/officeDocument/2006/relationships/worksheet" Target="/xl/worksheets/sheet2.xml" Id="Rb0e0837b6abe4e38" /><Relationship Type="http://schemas.openxmlformats.org/officeDocument/2006/relationships/worksheet" Target="/xl/worksheets/sheet3.xml" Id="R8b69eae8a8cd4335" /><Relationship Type="http://schemas.openxmlformats.org/officeDocument/2006/relationships/worksheet" Target="/xl/worksheets/sheet4.xml" Id="Rbba4402595584f44" /><Relationship Type="http://schemas.openxmlformats.org/officeDocument/2006/relationships/worksheet" Target="/xl/worksheets/sheet5.xml" Id="Rcf33bef554d146e9" /><Relationship Type="http://schemas.openxmlformats.org/officeDocument/2006/relationships/worksheet" Target="/xl/worksheets/sheet6.xml" Id="Ra63e96fb13684a0b" /><Relationship Type="http://schemas.openxmlformats.org/officeDocument/2006/relationships/worksheet" Target="/xl/worksheets/sheet7.xml" Id="R8ca00c5b7d8740e0" /><Relationship Type="http://schemas.openxmlformats.org/officeDocument/2006/relationships/worksheet" Target="/xl/worksheets/sheet8.xml" Id="R80a981a272234c10" /><Relationship Type="http://schemas.openxmlformats.org/officeDocument/2006/relationships/worksheet" Target="/xl/worksheets/sheet9.xml" Id="R36dc4f5888834e9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NetherlandsCourseMaster" displayName="NetherlandsCourseMaster" ref="A1:AP420" headerRowCount="1" totalsRowCount="0" totalsRowShown="0">
  <x:tableColumns count="42">
    <x:tableColumn id="1" name="hl_club_id"/>
    <x:tableColumn id="2" name="hl_course_id"/>
    <x:tableColumn id="3" name="display_name"/>
    <x:tableColumn id="4" name="club_name"/>
    <x:tableColumn id="5" name="course_name"/>
    <x:tableColumn id="6" name="country"/>
    <x:tableColumn id="7" name="region"/>
    <x:tableColumn id="8" name="county"/>
    <x:tableColumn id="9" name="town_city"/>
    <x:tableColumn id="10" name="street_address"/>
    <x:tableColumn id="11" name="postal_code"/>
    <x:tableColumn id="12" name="latitude"/>
    <x:tableColumn id="13" name="longitude"/>
    <x:tableColumn id="14" name="coordinate_system"/>
    <x:tableColumn id="15" name="coordinate_source"/>
    <x:tableColumn id="16" name="coordinate_verified_at"/>
    <x:tableColumn id="17" name="length_yards"/>
    <x:tableColumn id="18" name="length_metres"/>
    <x:tableColumn id="19" name="holes"/>
    <x:tableColumn id="20" name="par"/>
    <x:tableColumn id="21" name="course_type"/>
    <x:tableColumn id="22" name="architect_original"/>
    <x:tableColumn id="23" name="architect_redesign"/>
    <x:tableColumn id="24" name="year_opened"/>
    <x:tableColumn id="25" name="official_website_url"/>
    <x:tableColumn id="26" name="map_ready"/>
    <x:tableColumn id="27" name="show_on_map"/>
    <x:tableColumn id="28" name="map_display_reason"/>
    <x:tableColumn id="29" name="course_status"/>
    <x:tableColumn id="30" name="access_type"/>
    <x:tableColumn id="31" name="qualifying"/>
    <x:tableColumn id="32" name="is_claimed"/>
    <x:tableColumn id="33" name="ranking_source"/>
    <x:tableColumn id="34" name="ranking_year"/>
    <x:tableColumn id="35" name="ranking_position"/>
    <x:tableColumn id="36" name="major_collection"/>
    <x:tableColumn id="37" name="featured_partner"/>
    <x:tableColumn id="38" name="verification_status"/>
    <x:tableColumn id="39" name="verification_source_url"/>
    <x:tableColumn id="40" name="last_verified_at"/>
    <x:tableColumn id="41" name="phone"/>
    <x:tableColumn id="42" name="notes"/>
  </x:tableColumns>
  <x:tableStyleInfo name="TableStyleMedium2" showFirstColumn="0" showLastColumn="0" showRowStripes="1" showColumnStripes="0"/>
</x:table>
</file>

<file path=xl/tables/table2.xml><?xml version="1.0" encoding="utf-8"?>
<x:table xmlns:x="http://schemas.openxmlformats.org/spreadsheetml/2006/main" id="2" name="NetherlandsDeveloperImport" displayName="NetherlandsDeveloperImport" ref="A1:V420" headerRowCount="1" totalsRowCount="0" totalsRowShown="0">
  <x:tableColumns count="22">
    <x:tableColumn id="1" name="hl_course_id"/>
    <x:tableColumn id="2" name="display_name"/>
    <x:tableColumn id="3" name="club_name"/>
    <x:tableColumn id="4" name="course_name"/>
    <x:tableColumn id="5" name="country"/>
    <x:tableColumn id="6" name="region"/>
    <x:tableColumn id="7" name="county"/>
    <x:tableColumn id="8" name="town_city"/>
    <x:tableColumn id="9" name="postal_code"/>
    <x:tableColumn id="10" name="latitude"/>
    <x:tableColumn id="11" name="longitude"/>
    <x:tableColumn id="12" name="holes"/>
    <x:tableColumn id="13" name="par"/>
    <x:tableColumn id="14" name="length_yards"/>
    <x:tableColumn id="15" name="length_metres"/>
    <x:tableColumn id="16" name="course_type"/>
    <x:tableColumn id="17" name="access_type"/>
    <x:tableColumn id="18" name="course_status"/>
    <x:tableColumn id="19" name="official_website_url"/>
    <x:tableColumn id="20" name="map_ready"/>
    <x:tableColumn id="21" name="show_on_map"/>
    <x:tableColumn id="22" name="verification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1d0460ffc8e4ed9" /></Relationships>
</file>

<file path=xl/worksheets/_rels/sheet3.xml.rels>&#65279;<?xml version="1.0" encoding="utf-8"?><Relationships xmlns="http://schemas.openxmlformats.org/package/2006/relationships"><Relationship Type="http://schemas.openxmlformats.org/officeDocument/2006/relationships/table" Target="/xl/tables/table2.xml" Id="R999924bed82e42f2" /></Relationships>
</file>

<file path=xl/worksheets/sheet1.xml><?xml version="1.0" encoding="utf-8"?>
<x:worksheet xmlns:x="http://schemas.openxmlformats.org/spreadsheetml/2006/main">
  <x:sheetViews>
    <x:sheetView showGridLines="0" workbookViewId="0"/>
  </x:sheetViews>
  <x:sheetFormatPr defaultRowHeight="15"/>
  <x:cols>
    <x:col min="1" max="1" width="27" hidden="0" customWidth="1"/>
    <x:col min="2" max="2" width="105" hidden="0" customWidth="1"/>
  </x:cols>
  <x:sheetData>
    <x:row r="1" ht="42" customHeight="1">
      <x:c r="A1" s="11" t="str">
        <x:v>HEATHLAND LINKS — NETHERLANDS MASTER COURSE DATABASE — ENRICHED / MAP-READY / QC</x:v>
      </x:c>
      <x:c r="B1" s="12"/>
    </x:row>
    <x:row r="2" ht="38" customHeight="1">
      <x:c r="A2" s="13" t="str">
        <x:v>Scope</x:v>
      </x:c>
      <x:c r="B2" s="14" t="str">
        <x:v>Current physical, playable outdoor golf layouts in the Netherlands. One row per distinct named loop/layout; paired numbered front/back nines are consolidated into a complete physical course.</x:v>
      </x:c>
    </x:row>
    <x:row r="3" ht="38" customHeight="1">
      <x:c r="A3" s="13" t="str">
        <x:v>Active layouts</x:v>
      </x:c>
      <x:c r="B3" s="14" t="n">
        <x:v>419</x:v>
      </x:c>
    </x:row>
    <x:row r="4" ht="38" customHeight="1">
      <x:c r="A4" s="13" t="str">
        <x:v>Facilities</x:v>
      </x:c>
      <x:c r="B4" s="14" t="n">
        <x:v>277</x:v>
      </x:c>
    </x:row>
    <x:row r="5" ht="38" customHeight="1">
      <x:c r="A5" s="13" t="str">
        <x:v>Provinces represented</x:v>
      </x:c>
      <x:c r="B5" s="14" t="n">
        <x:v>12</x:v>
      </x:c>
    </x:row>
    <x:row r="6" ht="38" customHeight="1">
      <x:c r="A6" s="13" t="str">
        <x:v>Map-ready</x:v>
      </x:c>
      <x:c r="B6" s="14" t="str">
        <x:v>419 records have a verified WGS84 BAG address point matched by exact postcode.</x:v>
      </x:c>
    </x:row>
    <x:row r="7" ht="38" customHeight="1">
      <x:c r="A7" s="13" t="str">
        <x:v>Specifications</x:v>
      </x:c>
      <x:c r="B7" s="14" t="str">
        <x:v>Hole count and par are populated for every layout. Exact course length is populated for 417; unsupported totals remain blank.</x:v>
      </x:c>
    </x:row>
    <x:row r="8" ht="38" customHeight="1">
      <x:c r="A8" s="13" t="str">
        <x:v>Primary source</x:v>
      </x:c>
      <x:c r="B8" s="14" t="str">
        <x:v>The current GOLF.NL/NGF nationwide playing-requirements register supplies facility identity, official website, address, layout type, holes, par and metric length.</x:v>
      </x:c>
    </x:row>
    <x:row r="9" ht="38" customHeight="1">
      <x:c r="A9" s="13" t="str">
        <x:v>Boundary</x:v>
      </x:c>
      <x:c r="B9" s="14" t="str">
        <x:v>Included: full-length, par-3, par-3/4 and shortgolf/pitch-and-putt layouts. Excluded: rows explicitly labelled Oefenholes (practice holes), driving ranges, indoor/simulator venues and non-current proposals.</x:v>
      </x:c>
    </x:row>
    <x:row r="10" ht="38" customHeight="1">
      <x:c r="A10" s="13" t="str">
        <x:v>Length policy</x:v>
      </x:c>
      <x:c r="B10" s="14" t="str">
        <x:v>Exact published metric totals are retained. length_yards is formula-derived using 1 metre = 1.0936133 yards. Exact source-loop totals may be added where a complete course is consolidated.</x:v>
      </x:c>
    </x:row>
    <x:row r="11" ht="38" customHeight="1">
      <x:c r="A11" s="13" t="str">
        <x:v>Map policy</x:v>
      </x:c>
      <x:c r="B11" s="14" t="str">
        <x:v>map_ready requires identity, a Netherlands coordinate pair and a non-closed status. Missing length does not prevent display.</x:v>
      </x:c>
    </x:row>
    <x:row r="12" ht="38" customHeight="1">
      <x:c r="A12" s="13" t="str">
        <x:v>Corrections</x:v>
      </x:c>
      <x:c r="B12" s="14" t="str">
        <x:v>Six postcode errors and two implausible par values in the national overview were changed only where current official/exact evidence and BAG data agreed; all are documented.</x:v>
      </x:c>
    </x:row>
    <x:row r="13" ht="38" customHeight="1">
      <x:c r="A13" s="13" t="str">
        <x:v>Verification policy</x:v>
      </x:c>
      <x:c r="B13" s="14" t="str">
        <x:v>No uncertain value was invented. Unsupported architects, opening years and two course lengths remain blank.</x:v>
      </x:c>
    </x:row>
    <x:row r="14" ht="38" customHeight="1">
      <x:c r="A14" s="13" t="str">
        <x:v>Evidence</x:v>
      </x:c>
      <x:c r="B14" s="14" t="str">
        <x:v>Every retained course has specification and coordinate evidence in Source_Records; excluded practice-hole rows and corrections are documented in Reconciliation_Log.</x:v>
      </x:c>
    </x:row>
    <x:row r="15" ht="38" customHeight="1">
      <x:c r="A15" s="15" t="str">
        <x:v>QA / verification date</x:v>
      </x:c>
      <x:c r="B15" s="16" t="str">
        <x:v>2026-08-15</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17" hidden="0" customWidth="1"/>
    <x:col min="3" max="3" width="32" hidden="0" customWidth="1"/>
    <x:col min="4" max="4" width="32" hidden="0" customWidth="1"/>
    <x:col min="5" max="5" width="32" hidden="0" customWidth="1"/>
    <x:col min="6" max="6" width="17" hidden="0" customWidth="1"/>
    <x:col min="7" max="7" width="17" hidden="0" customWidth="1"/>
    <x:col min="8" max="8" width="17" hidden="0" customWidth="1"/>
    <x:col min="9" max="9" width="17" hidden="0" customWidth="1"/>
    <x:col min="10" max="10" width="32" hidden="0" customWidth="1"/>
    <x:col min="11" max="11" width="17" hidden="0" customWidth="1"/>
    <x:col min="12" max="12" width="17" hidden="0" customWidth="1"/>
    <x:col min="13" max="13" width="17" hidden="0" customWidth="1"/>
    <x:col min="14" max="14" width="17" hidden="0" customWidth="1"/>
    <x:col min="15" max="15" width="32" hidden="0" customWidth="1"/>
    <x:col min="16" max="16" width="17" hidden="0" customWidth="1"/>
    <x:col min="17" max="17" width="17" hidden="0" customWidth="1"/>
    <x:col min="18" max="18" width="17" hidden="0" customWidth="1"/>
    <x:col min="19" max="19" width="17" hidden="0" customWidth="1"/>
    <x:col min="20" max="20" width="17" hidden="0" customWidth="1"/>
    <x:col min="21" max="21" width="32" hidden="0" customWidth="1"/>
    <x:col min="22" max="22" width="17" hidden="0" customWidth="1"/>
    <x:col min="23" max="23" width="17" hidden="0" customWidth="1"/>
    <x:col min="24" max="24" width="17" hidden="0" customWidth="1"/>
    <x:col min="25" max="25" width="32" hidden="0" customWidth="1"/>
    <x:col min="26" max="26" width="17" hidden="0" customWidth="1"/>
    <x:col min="27" max="27" width="17" hidden="0" customWidth="1"/>
    <x:col min="28" max="28" width="17" hidden="0" customWidth="1"/>
    <x:col min="29" max="29" width="17" hidden="0" customWidth="1"/>
    <x:col min="30" max="30" width="32" hidden="0" customWidth="1"/>
    <x:col min="31" max="31" width="17" hidden="0" customWidth="1"/>
    <x:col min="32" max="32" width="17" hidden="0" customWidth="1"/>
    <x:col min="33" max="33" width="17" hidden="0" customWidth="1"/>
    <x:col min="34" max="34" width="17" hidden="0" customWidth="1"/>
    <x:col min="35" max="35" width="17" hidden="0" customWidth="1"/>
    <x:col min="36" max="36" width="17" hidden="0" customWidth="1"/>
    <x:col min="37" max="37" width="17" hidden="0" customWidth="1"/>
    <x:col min="38" max="38" width="32" hidden="0" customWidth="1"/>
    <x:col min="39" max="39" width="32" hidden="0" customWidth="1"/>
    <x:col min="40" max="40" width="17" hidden="0" customWidth="1"/>
    <x:col min="41" max="41" width="17" hidden="0" customWidth="1"/>
    <x:col min="42" max="42" width="64" hidden="0" customWidth="1"/>
  </x:cols>
  <x:sheetData>
    <x:row r="1">
      <x:c r="A1" s="25" t="str">
        <x:v>hl_club_id</x:v>
      </x:c>
      <x:c r="B1" s="26" t="str">
        <x:v>hl_course_id</x:v>
      </x:c>
      <x:c r="C1" s="26" t="str">
        <x:v>display_name</x:v>
      </x:c>
      <x:c r="D1" s="26" t="str">
        <x:v>club_name</x:v>
      </x:c>
      <x:c r="E1" s="26" t="str">
        <x:v>course_name</x:v>
      </x:c>
      <x:c r="F1" s="26" t="str">
        <x:v>country</x:v>
      </x:c>
      <x:c r="G1" s="26" t="str">
        <x:v>region</x:v>
      </x:c>
      <x:c r="H1" s="26" t="str">
        <x:v>county</x:v>
      </x:c>
      <x:c r="I1" s="26" t="str">
        <x:v>town_city</x:v>
      </x:c>
      <x:c r="J1" s="26" t="str">
        <x:v>street_address</x:v>
      </x:c>
      <x:c r="K1" s="26" t="str">
        <x:v>postal_code</x:v>
      </x:c>
      <x:c r="L1" s="26" t="str">
        <x:v>latitude</x:v>
      </x:c>
      <x:c r="M1" s="26" t="str">
        <x:v>longitude</x:v>
      </x:c>
      <x:c r="N1" s="26" t="str">
        <x:v>coordinate_system</x:v>
      </x:c>
      <x:c r="O1" s="26" t="str">
        <x:v>coordinate_source</x:v>
      </x:c>
      <x:c r="P1" s="26" t="str">
        <x:v>coordinate_verified_at</x:v>
      </x:c>
      <x:c r="Q1" s="26" t="str">
        <x:v>length_yards</x:v>
      </x:c>
      <x:c r="R1" s="26" t="str">
        <x:v>length_metres</x:v>
      </x:c>
      <x:c r="S1" s="26" t="str">
        <x:v>holes</x:v>
      </x:c>
      <x:c r="T1" s="26" t="str">
        <x:v>par</x:v>
      </x:c>
      <x:c r="U1" s="26" t="str">
        <x:v>course_type</x:v>
      </x:c>
      <x:c r="V1" s="26" t="str">
        <x:v>architect_original</x:v>
      </x:c>
      <x:c r="W1" s="26" t="str">
        <x:v>architect_redesign</x:v>
      </x:c>
      <x:c r="X1" s="26" t="str">
        <x:v>year_opened</x:v>
      </x:c>
      <x:c r="Y1" s="26" t="str">
        <x:v>official_website_url</x:v>
      </x:c>
      <x:c r="Z1" s="26" t="str">
        <x:v>map_ready</x:v>
      </x:c>
      <x:c r="AA1" s="26" t="str">
        <x:v>show_on_map</x:v>
      </x:c>
      <x:c r="AB1" s="26" t="str">
        <x:v>map_display_reason</x:v>
      </x:c>
      <x:c r="AC1" s="26" t="str">
        <x:v>course_status</x:v>
      </x:c>
      <x:c r="AD1" s="26" t="str">
        <x:v>access_type</x:v>
      </x:c>
      <x:c r="AE1" s="26" t="str">
        <x:v>qualifying</x:v>
      </x:c>
      <x:c r="AF1" s="26" t="str">
        <x:v>is_claimed</x:v>
      </x:c>
      <x:c r="AG1" s="26" t="str">
        <x:v>ranking_source</x:v>
      </x:c>
      <x:c r="AH1" s="26" t="str">
        <x:v>ranking_year</x:v>
      </x:c>
      <x:c r="AI1" s="26" t="str">
        <x:v>ranking_position</x:v>
      </x:c>
      <x:c r="AJ1" s="26" t="str">
        <x:v>major_collection</x:v>
      </x:c>
      <x:c r="AK1" s="26" t="str">
        <x:v>featured_partner</x:v>
      </x:c>
      <x:c r="AL1" s="26" t="str">
        <x:v>verification_status</x:v>
      </x:c>
      <x:c r="AM1" s="26" t="str">
        <x:v>verification_source_url</x:v>
      </x:c>
      <x:c r="AN1" s="26" t="str">
        <x:v>last_verified_at</x:v>
      </x:c>
      <x:c r="AO1" s="26" t="str">
        <x:v>phone</x:v>
      </x:c>
      <x:c r="AP1" s="27" t="str">
        <x:v>notes</x:v>
      </x:c>
    </x:row>
    <x:row r="2">
      <x:c r="A2" s="30" t="str">
        <x:v>NL-C0001</x:v>
      </x:c>
      <x:c r="B2" s="30" t="str">
        <x:v>NL-0001</x:v>
      </x:c>
      <x:c r="C2" s="30" t="str">
        <x:v>Country Golf Ees — Par-3 Course</x:v>
      </x:c>
      <x:c r="D2" s="30" t="str">
        <x:v>Country Golf Ees</x:v>
      </x:c>
      <x:c r="E2" s="30" t="str">
        <x:v>Par-3 Course</x:v>
      </x:c>
      <x:c r="F2" s="30" t="str">
        <x:v>Netherlands</x:v>
      </x:c>
      <x:c r="G2" s="30" t="str">
        <x:v>Drenthe</x:v>
      </x:c>
      <x:c r="H2" s="30" t="str">
        <x:v>Borger-Odoorn</x:v>
      </x:c>
      <x:c r="I2" s="30" t="str">
        <x:v>Ees</x:v>
      </x:c>
      <x:c r="J2" s="30" t="str">
        <x:v>Oosterweg 1</x:v>
      </x:c>
      <x:c r="K2" s="30" t="str">
        <x:v>9536 PR</x:v>
      </x:c>
      <x:c r="L2" s="32" t="n">
        <x:v>52.90667054</x:v>
      </x:c>
      <x:c r="M2" s="32" t="n">
        <x:v>6.81355913</x:v>
      </x:c>
      <x:c r="N2" s="30" t="str">
        <x:v>WGS84 / EPSG:4326</x:v>
      </x:c>
      <x:c r="O2" s="30" t="str">
        <x:v>Verified BAG address point via PDOK</x:v>
      </x:c>
      <x:c r="P2" s="30" t="str">
        <x:v>2026-08-15</x:v>
      </x:c>
      <x:c r="Q2" s="33" t="n">
        <x:f>IF(R2="","",ROUND(R2/0.9144,0))</x:f>
        <x:v>1482</x:v>
      </x:c>
      <x:c r="R2" s="33" t="n">
        <x:v>1355</x:v>
      </x:c>
      <x:c r="S2" s="33" t="n">
        <x:v>18</x:v>
      </x:c>
      <x:c r="T2" s="33" t="n">
        <x:v>54</x:v>
      </x:c>
      <x:c r="U2" s="30" t="str">
        <x:v>Par-3 course</x:v>
      </x:c>
      <x:c r="V2" s="30"/>
      <x:c r="W2" s="30"/>
      <x:c r="X2" s="30"/>
      <x:c r="Y2" s="30" t="str">
        <x:v>https://countrygolfees.nl/</x:v>
      </x:c>
      <x:c r="Z2" s="30" t="b">
        <x:f>IF(AND(F2="Netherlands",ISNUMBER(L2),ISNUMBER(M2),L2&gt;=50.7,L2&lt;=53.7,M2&gt;=3.2,M2&lt;=7.3,AC2&lt;&gt;"Closed"),TRUE,FALSE)</x:f>
        <x:v>1</x:v>
      </x:c>
      <x:c r="AA2" s="30" t="b">
        <x:f>Z2</x:f>
        <x:v>1</x:v>
      </x:c>
      <x:c r="AB2" s="30" t="str">
        <x:f>IF(Z2,"verified_coordinate_and_open","not_map_ready")</x:f>
        <x:v>verified_coordinate_and_open</x:v>
      </x:c>
      <x:c r="AC2" s="30" t="str">
        <x:v>Open</x:v>
      </x:c>
      <x:c r="AD2" s="30" t="str">
        <x:v>Public — no playing requirement</x:v>
      </x:c>
      <x:c r="AE2" s="31" t="b">
        <x:v>0</x:v>
      </x:c>
      <x:c r="AF2" s="31" t="b">
        <x:v>0</x:v>
      </x:c>
      <x:c r="AG2" s="30"/>
      <x:c r="AH2" s="30"/>
      <x:c r="AI2" s="30"/>
      <x:c r="AJ2" s="31" t="b">
        <x:v>0</x:v>
      </x:c>
      <x:c r="AK2" s="31" t="b">
        <x:v>0</x:v>
      </x:c>
      <x:c r="AL2" s="30" t="str">
        <x:v>Verified — national register and exact BAG address</x:v>
      </x:c>
      <x:c r="AM2" s="30" t="str">
        <x:v>https://www.golf.nl/de-baan-op/banenzoeker/overzicht</x:v>
      </x:c>
      <x:c r="AN2" s="30" t="str">
        <x:v>2026-08-15</x:v>
      </x:c>
      <x:c r="AO2" s="30" t="str">
        <x:v>+31 599-236328</x:v>
      </x:c>
      <x:c r="AP2" s="30" t="str">
        <x:v>Current NGF/GOLF.NL listing: 18 holes, par 54, 1355 metres. Combined from exact NGF-listed constituent nine-hole loops: 1ste negen (9 holes, par 27, 628 m); 2de negen (9 holes, par 27, 727 m) Listed as non-qualifying.</x:v>
      </x:c>
    </x:row>
    <x:row r="3">
      <x:c r="A3" s="30" t="str">
        <x:v>NL-C0002</x:v>
      </x:c>
      <x:c r="B3" s="30" t="str">
        <x:v>NL-0002</x:v>
      </x:c>
      <x:c r="C3" s="30" t="str">
        <x:v>Drentsche Golf &amp; Country Club — Geel</x:v>
      </x:c>
      <x:c r="D3" s="30" t="str">
        <x:v>Drentsche Golf &amp; Country Club</x:v>
      </x:c>
      <x:c r="E3" s="30" t="str">
        <x:v>Geel</x:v>
      </x:c>
      <x:c r="F3" s="30" t="str">
        <x:v>Netherlands</x:v>
      </x:c>
      <x:c r="G3" s="30" t="str">
        <x:v>Drenthe</x:v>
      </x:c>
      <x:c r="H3" s="30" t="str">
        <x:v>Assen</x:v>
      </x:c>
      <x:c r="I3" s="30" t="str">
        <x:v>Zeijerveen</x:v>
      </x:c>
      <x:c r="J3" s="30" t="str">
        <x:v>Ten Oeverstraat 13</x:v>
      </x:c>
      <x:c r="K3" s="30" t="str">
        <x:v>9489 TH</x:v>
      </x:c>
      <x:c r="L3" s="32" t="n">
        <x:v>53.01761741</x:v>
      </x:c>
      <x:c r="M3" s="32" t="n">
        <x:v>6.52863005</x:v>
      </x:c>
      <x:c r="N3" s="30" t="str">
        <x:v>WGS84 / EPSG:4326</x:v>
      </x:c>
      <x:c r="O3" s="30" t="str">
        <x:v>Verified BAG address point via PDOK</x:v>
      </x:c>
      <x:c r="P3" s="30" t="str">
        <x:v>2026-08-15</x:v>
      </x:c>
      <x:c r="Q3" s="33" t="n">
        <x:f>IF(R3="","",ROUND(R3/0.9144,0))</x:f>
        <x:v>2847</x:v>
      </x:c>
      <x:c r="R3" s="33" t="n">
        <x:v>2603</x:v>
      </x:c>
      <x:c r="S3" s="33" t="n">
        <x:v>9</x:v>
      </x:c>
      <x:c r="T3" s="33" t="n">
        <x:v>35</x:v>
      </x:c>
      <x:c r="U3" s="30" t="str">
        <x:v>Full-length course</x:v>
      </x:c>
      <x:c r="V3" s="30"/>
      <x:c r="W3" s="30"/>
      <x:c r="X3" s="30"/>
      <x:c r="Y3" s="30" t="str">
        <x:v>https://dgcc.nl/</x:v>
      </x:c>
      <x:c r="Z3" s="30" t="b">
        <x:f>IF(AND(F3="Netherlands",ISNUMBER(L3),ISNUMBER(M3),L3&gt;=50.7,L3&lt;=53.7,M3&gt;=3.2,M3&lt;=7.3,AC3&lt;&gt;"Closed"),TRUE,FALSE)</x:f>
        <x:v>1</x:v>
      </x:c>
      <x:c r="AA3" s="30" t="b">
        <x:f>Z3</x:f>
        <x:v>1</x:v>
      </x:c>
      <x:c r="AB3" s="30" t="str">
        <x:f>IF(Z3,"verified_coordinate_and_open","not_map_ready")</x:f>
        <x:v>verified_coordinate_and_open</x:v>
      </x:c>
      <x:c r="AC3" s="30" t="str">
        <x:v>Open</x:v>
      </x:c>
      <x:c r="AD3" s="30" t="str">
        <x:v>Public — handicap 54 or lower</x:v>
      </x:c>
      <x:c r="AE3" s="31" t="b">
        <x:v>1</x:v>
      </x:c>
      <x:c r="AF3" s="31" t="b">
        <x:v>0</x:v>
      </x:c>
      <x:c r="AG3" s="30"/>
      <x:c r="AH3" s="30"/>
      <x:c r="AI3" s="30"/>
      <x:c r="AJ3" s="31" t="b">
        <x:v>0</x:v>
      </x:c>
      <x:c r="AK3" s="31" t="b">
        <x:v>0</x:v>
      </x:c>
      <x:c r="AL3" s="30" t="str">
        <x:v>Verified — national register and exact BAG address</x:v>
      </x:c>
      <x:c r="AM3" s="30" t="str">
        <x:v>https://www.golf.nl/de-baan-op/banenzoeker/overzicht</x:v>
      </x:c>
      <x:c r="AN3" s="30" t="str">
        <x:v>2026-08-15</x:v>
      </x:c>
      <x:c r="AO3" s="30" t="str">
        <x:v>+31 592-379680</x:v>
      </x:c>
      <x:c r="AP3" s="30" t="str">
        <x:v>Current NGF/GOLF.NL listing: 9 holes, par 35, 2603 metres. Listed as qualifying.</x:v>
      </x:c>
    </x:row>
    <x:row r="4">
      <x:c r="A4" s="30" t="str">
        <x:v>NL-C0002</x:v>
      </x:c>
      <x:c r="B4" s="30" t="str">
        <x:v>NL-0003</x:v>
      </x:c>
      <x:c r="C4" s="30" t="str">
        <x:v>Drentsche Golf &amp; Country Club — Par-3 Course</x:v>
      </x:c>
      <x:c r="D4" s="30" t="str">
        <x:v>Drentsche Golf &amp; Country Club</x:v>
      </x:c>
      <x:c r="E4" s="30" t="str">
        <x:v>Par-3 Course</x:v>
      </x:c>
      <x:c r="F4" s="30" t="str">
        <x:v>Netherlands</x:v>
      </x:c>
      <x:c r="G4" s="30" t="str">
        <x:v>Drenthe</x:v>
      </x:c>
      <x:c r="H4" s="30" t="str">
        <x:v>Assen</x:v>
      </x:c>
      <x:c r="I4" s="30" t="str">
        <x:v>Zeijerveen</x:v>
      </x:c>
      <x:c r="J4" s="30" t="str">
        <x:v>Ten Oeverstraat 13</x:v>
      </x:c>
      <x:c r="K4" s="30" t="str">
        <x:v>9489 TH</x:v>
      </x:c>
      <x:c r="L4" s="32" t="n">
        <x:v>53.01761741</x:v>
      </x:c>
      <x:c r="M4" s="32" t="n">
        <x:v>6.52863005</x:v>
      </x:c>
      <x:c r="N4" s="30" t="str">
        <x:v>WGS84 / EPSG:4326</x:v>
      </x:c>
      <x:c r="O4" s="30" t="str">
        <x:v>Verified BAG address point via PDOK</x:v>
      </x:c>
      <x:c r="P4" s="30" t="str">
        <x:v>2026-08-15</x:v>
      </x:c>
      <x:c r="Q4" s="33" t="n">
        <x:f>IF(R4="","",ROUND(R4/0.9144,0))</x:f>
        <x:v>960</x:v>
      </x:c>
      <x:c r="R4" s="33" t="n">
        <x:v>878</x:v>
      </x:c>
      <x:c r="S4" s="33" t="n">
        <x:v>9</x:v>
      </x:c>
      <x:c r="T4" s="33" t="n">
        <x:v>27</x:v>
      </x:c>
      <x:c r="U4" s="30" t="str">
        <x:v>Par-3 course</x:v>
      </x:c>
      <x:c r="V4" s="30"/>
      <x:c r="W4" s="30"/>
      <x:c r="X4" s="30"/>
      <x:c r="Y4" s="30" t="str">
        <x:v>https://dgcc.nl/</x:v>
      </x:c>
      <x:c r="Z4" s="30" t="b">
        <x:f>IF(AND(F4="Netherlands",ISNUMBER(L4),ISNUMBER(M4),L4&gt;=50.7,L4&lt;=53.7,M4&gt;=3.2,M4&lt;=7.3,AC4&lt;&gt;"Closed"),TRUE,FALSE)</x:f>
        <x:v>1</x:v>
      </x:c>
      <x:c r="AA4" s="30" t="b">
        <x:f>Z4</x:f>
        <x:v>1</x:v>
      </x:c>
      <x:c r="AB4" s="30" t="str">
        <x:f>IF(Z4,"verified_coordinate_and_open","not_map_ready")</x:f>
        <x:v>verified_coordinate_and_open</x:v>
      </x:c>
      <x:c r="AC4" s="30" t="str">
        <x:v>Open</x:v>
      </x:c>
      <x:c r="AD4" s="30" t="str">
        <x:v>Public — NGF course permission</x:v>
      </x:c>
      <x:c r="AE4" s="31" t="b">
        <x:v>1</x:v>
      </x:c>
      <x:c r="AF4" s="31" t="b">
        <x:v>0</x:v>
      </x:c>
      <x:c r="AG4" s="30"/>
      <x:c r="AH4" s="30"/>
      <x:c r="AI4" s="30"/>
      <x:c r="AJ4" s="31" t="b">
        <x:v>0</x:v>
      </x:c>
      <x:c r="AK4" s="31" t="b">
        <x:v>0</x:v>
      </x:c>
      <x:c r="AL4" s="30" t="str">
        <x:v>Verified — national register and exact BAG address</x:v>
      </x:c>
      <x:c r="AM4" s="30" t="str">
        <x:v>https://www.golf.nl/de-baan-op/banenzoeker/overzicht</x:v>
      </x:c>
      <x:c r="AN4" s="30" t="str">
        <x:v>2026-08-15</x:v>
      </x:c>
      <x:c r="AO4" s="30" t="str">
        <x:v>+31 592-379680</x:v>
      </x:c>
      <x:c r="AP4" s="30" t="str">
        <x:v>Current NGF/GOLF.NL listing: 9 holes, par 27, 878 metres. Listed as qualifying.</x:v>
      </x:c>
    </x:row>
    <x:row r="5">
      <x:c r="A5" s="30" t="str">
        <x:v>NL-C0002</x:v>
      </x:c>
      <x:c r="B5" s="30" t="str">
        <x:v>NL-0004</x:v>
      </x:c>
      <x:c r="C5" s="30" t="str">
        <x:v>Drentsche Golf &amp; Country Club — Rood</x:v>
      </x:c>
      <x:c r="D5" s="30" t="str">
        <x:v>Drentsche Golf &amp; Country Club</x:v>
      </x:c>
      <x:c r="E5" s="30" t="str">
        <x:v>Rood</x:v>
      </x:c>
      <x:c r="F5" s="30" t="str">
        <x:v>Netherlands</x:v>
      </x:c>
      <x:c r="G5" s="30" t="str">
        <x:v>Drenthe</x:v>
      </x:c>
      <x:c r="H5" s="30" t="str">
        <x:v>Assen</x:v>
      </x:c>
      <x:c r="I5" s="30" t="str">
        <x:v>Zeijerveen</x:v>
      </x:c>
      <x:c r="J5" s="30" t="str">
        <x:v>Ten Oeverstraat 13</x:v>
      </x:c>
      <x:c r="K5" s="30" t="str">
        <x:v>9489 TH</x:v>
      </x:c>
      <x:c r="L5" s="32" t="n">
        <x:v>53.01761741</x:v>
      </x:c>
      <x:c r="M5" s="32" t="n">
        <x:v>6.52863005</x:v>
      </x:c>
      <x:c r="N5" s="30" t="str">
        <x:v>WGS84 / EPSG:4326</x:v>
      </x:c>
      <x:c r="O5" s="30" t="str">
        <x:v>Verified BAG address point via PDOK</x:v>
      </x:c>
      <x:c r="P5" s="30" t="str">
        <x:v>2026-08-15</x:v>
      </x:c>
      <x:c r="Q5" s="33" t="n">
        <x:f>IF(R5="","",ROUND(R5/0.9144,0))</x:f>
        <x:v>3215</x:v>
      </x:c>
      <x:c r="R5" s="33" t="n">
        <x:v>2940</x:v>
      </x:c>
      <x:c r="S5" s="33" t="n">
        <x:v>9</x:v>
      </x:c>
      <x:c r="T5" s="33" t="n">
        <x:v>37</x:v>
      </x:c>
      <x:c r="U5" s="30" t="str">
        <x:v>Full-length course</x:v>
      </x:c>
      <x:c r="V5" s="30"/>
      <x:c r="W5" s="30"/>
      <x:c r="X5" s="30"/>
      <x:c r="Y5" s="30" t="str">
        <x:v>https://dgcc.nl/</x:v>
      </x:c>
      <x:c r="Z5" s="30" t="b">
        <x:f>IF(AND(F5="Netherlands",ISNUMBER(L5),ISNUMBER(M5),L5&gt;=50.7,L5&lt;=53.7,M5&gt;=3.2,M5&lt;=7.3,AC5&lt;&gt;"Closed"),TRUE,FALSE)</x:f>
        <x:v>1</x:v>
      </x:c>
      <x:c r="AA5" s="30" t="b">
        <x:f>Z5</x:f>
        <x:v>1</x:v>
      </x:c>
      <x:c r="AB5" s="30" t="str">
        <x:f>IF(Z5,"verified_coordinate_and_open","not_map_ready")</x:f>
        <x:v>verified_coordinate_and_open</x:v>
      </x:c>
      <x:c r="AC5" s="30" t="str">
        <x:v>Open</x:v>
      </x:c>
      <x:c r="AD5" s="30" t="str">
        <x:v>Public — handicap 54 or lower</x:v>
      </x:c>
      <x:c r="AE5" s="31" t="b">
        <x:v>1</x:v>
      </x:c>
      <x:c r="AF5" s="31" t="b">
        <x:v>0</x:v>
      </x:c>
      <x:c r="AG5" s="30"/>
      <x:c r="AH5" s="30"/>
      <x:c r="AI5" s="30"/>
      <x:c r="AJ5" s="31" t="b">
        <x:v>0</x:v>
      </x:c>
      <x:c r="AK5" s="31" t="b">
        <x:v>0</x:v>
      </x:c>
      <x:c r="AL5" s="30" t="str">
        <x:v>Verified — national register and exact BAG address</x:v>
      </x:c>
      <x:c r="AM5" s="30" t="str">
        <x:v>https://www.golf.nl/de-baan-op/banenzoeker/overzicht</x:v>
      </x:c>
      <x:c r="AN5" s="30" t="str">
        <x:v>2026-08-15</x:v>
      </x:c>
      <x:c r="AO5" s="30" t="str">
        <x:v>+31 592-379680</x:v>
      </x:c>
      <x:c r="AP5" s="30" t="str">
        <x:v>Current NGF/GOLF.NL listing: 9 holes, par 37, 2940 metres. Listed as qualifying.</x:v>
      </x:c>
    </x:row>
    <x:row r="6">
      <x:c r="A6" s="30" t="str">
        <x:v>NL-C0002</x:v>
      </x:c>
      <x:c r="B6" s="30" t="str">
        <x:v>NL-0005</x:v>
      </x:c>
      <x:c r="C6" s="30" t="str">
        <x:v>Drentsche Golf &amp; Country Club — Wit</x:v>
      </x:c>
      <x:c r="D6" s="30" t="str">
        <x:v>Drentsche Golf &amp; Country Club</x:v>
      </x:c>
      <x:c r="E6" s="30" t="str">
        <x:v>Wit</x:v>
      </x:c>
      <x:c r="F6" s="30" t="str">
        <x:v>Netherlands</x:v>
      </x:c>
      <x:c r="G6" s="30" t="str">
        <x:v>Drenthe</x:v>
      </x:c>
      <x:c r="H6" s="30" t="str">
        <x:v>Assen</x:v>
      </x:c>
      <x:c r="I6" s="30" t="str">
        <x:v>Zeijerveen</x:v>
      </x:c>
      <x:c r="J6" s="30" t="str">
        <x:v>Ten Oeverstraat 13</x:v>
      </x:c>
      <x:c r="K6" s="30" t="str">
        <x:v>9489 TH</x:v>
      </x:c>
      <x:c r="L6" s="32" t="n">
        <x:v>53.01761741</x:v>
      </x:c>
      <x:c r="M6" s="32" t="n">
        <x:v>6.52863005</x:v>
      </x:c>
      <x:c r="N6" s="30" t="str">
        <x:v>WGS84 / EPSG:4326</x:v>
      </x:c>
      <x:c r="O6" s="30" t="str">
        <x:v>Verified BAG address point via PDOK</x:v>
      </x:c>
      <x:c r="P6" s="30" t="str">
        <x:v>2026-08-15</x:v>
      </x:c>
      <x:c r="Q6" s="33" t="n">
        <x:f>IF(R6="","",ROUND(R6/0.9144,0))</x:f>
        <x:v>2956</x:v>
      </x:c>
      <x:c r="R6" s="33" t="n">
        <x:v>2703</x:v>
      </x:c>
      <x:c r="S6" s="33" t="n">
        <x:v>9</x:v>
      </x:c>
      <x:c r="T6" s="33" t="n">
        <x:v>36</x:v>
      </x:c>
      <x:c r="U6" s="30" t="str">
        <x:v>Full-length course</x:v>
      </x:c>
      <x:c r="V6" s="30"/>
      <x:c r="W6" s="30"/>
      <x:c r="X6" s="30"/>
      <x:c r="Y6" s="30" t="str">
        <x:v>https://dgcc.nl/</x:v>
      </x:c>
      <x:c r="Z6" s="30" t="b">
        <x:f>IF(AND(F6="Netherlands",ISNUMBER(L6),ISNUMBER(M6),L6&gt;=50.7,L6&lt;=53.7,M6&gt;=3.2,M6&lt;=7.3,AC6&lt;&gt;"Closed"),TRUE,FALSE)</x:f>
        <x:v>1</x:v>
      </x:c>
      <x:c r="AA6" s="30" t="b">
        <x:f>Z6</x:f>
        <x:v>1</x:v>
      </x:c>
      <x:c r="AB6" s="30" t="str">
        <x:f>IF(Z6,"verified_coordinate_and_open","not_map_ready")</x:f>
        <x:v>verified_coordinate_and_open</x:v>
      </x:c>
      <x:c r="AC6" s="30" t="str">
        <x:v>Open</x:v>
      </x:c>
      <x:c r="AD6" s="30" t="str">
        <x:v>Public — handicap 54 or lower</x:v>
      </x:c>
      <x:c r="AE6" s="31" t="b">
        <x:v>1</x:v>
      </x:c>
      <x:c r="AF6" s="31" t="b">
        <x:v>0</x:v>
      </x:c>
      <x:c r="AG6" s="30"/>
      <x:c r="AH6" s="30"/>
      <x:c r="AI6" s="30"/>
      <x:c r="AJ6" s="31" t="b">
        <x:v>0</x:v>
      </x:c>
      <x:c r="AK6" s="31" t="b">
        <x:v>0</x:v>
      </x:c>
      <x:c r="AL6" s="30" t="str">
        <x:v>Verified — national register and exact BAG address</x:v>
      </x:c>
      <x:c r="AM6" s="30" t="str">
        <x:v>https://www.golf.nl/de-baan-op/banenzoeker/overzicht</x:v>
      </x:c>
      <x:c r="AN6" s="30" t="str">
        <x:v>2026-08-15</x:v>
      </x:c>
      <x:c r="AO6" s="30" t="str">
        <x:v>+31 592-379680</x:v>
      </x:c>
      <x:c r="AP6" s="30" t="str">
        <x:v>Current NGF/GOLF.NL listing: 9 holes, par 36, 2703 metres. Listed as qualifying.</x:v>
      </x:c>
    </x:row>
    <x:row r="7">
      <x:c r="A7" s="30" t="str">
        <x:v>NL-C0003</x:v>
      </x:c>
      <x:c r="B7" s="30" t="str">
        <x:v>NL-0006</x:v>
      </x:c>
      <x:c r="C7" s="30" t="str">
        <x:v>Drentse Golfclub De Gelpenberg — Main Course</x:v>
      </x:c>
      <x:c r="D7" s="30" t="str">
        <x:v>Drentse Golfclub De Gelpenberg</x:v>
      </x:c>
      <x:c r="E7" s="30" t="str">
        <x:v>Main Course</x:v>
      </x:c>
      <x:c r="F7" s="30" t="str">
        <x:v>Netherlands</x:v>
      </x:c>
      <x:c r="G7" s="30" t="str">
        <x:v>Drenthe</x:v>
      </x:c>
      <x:c r="H7" s="30" t="str">
        <x:v>Coevorden</x:v>
      </x:c>
      <x:c r="I7" s="30" t="str">
        <x:v>Aalden</x:v>
      </x:c>
      <x:c r="J7" s="30" t="str">
        <x:v>Gebbeveenweg 1</x:v>
      </x:c>
      <x:c r="K7" s="30" t="str">
        <x:v>7854 TD</x:v>
      </x:c>
      <x:c r="L7" s="32" t="n">
        <x:v>52.80069467</x:v>
      </x:c>
      <x:c r="M7" s="32" t="n">
        <x:v>6.69675076</x:v>
      </x:c>
      <x:c r="N7" s="30" t="str">
        <x:v>WGS84 / EPSG:4326</x:v>
      </x:c>
      <x:c r="O7" s="30" t="str">
        <x:v>Verified BAG address point via PDOK</x:v>
      </x:c>
      <x:c r="P7" s="30" t="str">
        <x:v>2026-08-15</x:v>
      </x:c>
      <x:c r="Q7" s="33" t="n">
        <x:f>IF(R7="","",ROUND(R7/0.9144,0))</x:f>
        <x:v>6913</x:v>
      </x:c>
      <x:c r="R7" s="33" t="n">
        <x:v>6321</x:v>
      </x:c>
      <x:c r="S7" s="33" t="n">
        <x:v>18</x:v>
      </x:c>
      <x:c r="T7" s="33" t="n">
        <x:v>72</x:v>
      </x:c>
      <x:c r="U7" s="30" t="str">
        <x:v>Full-length course</x:v>
      </x:c>
      <x:c r="V7" s="30"/>
      <x:c r="W7" s="30"/>
      <x:c r="X7" s="30"/>
      <x:c r="Y7" s="30" t="str">
        <x:v>https://dgcdegelpenberg.nl/</x:v>
      </x:c>
      <x:c r="Z7" s="30" t="b">
        <x:f>IF(AND(F7="Netherlands",ISNUMBER(L7),ISNUMBER(M7),L7&gt;=50.7,L7&lt;=53.7,M7&gt;=3.2,M7&lt;=7.3,AC7&lt;&gt;"Closed"),TRUE,FALSE)</x:f>
        <x:v>1</x:v>
      </x:c>
      <x:c r="AA7" s="30" t="b">
        <x:f>Z7</x:f>
        <x:v>1</x:v>
      </x:c>
      <x:c r="AB7" s="30" t="str">
        <x:f>IF(Z7,"verified_coordinate_and_open","not_map_ready")</x:f>
        <x:v>verified_coordinate_and_open</x:v>
      </x:c>
      <x:c r="AC7" s="30" t="str">
        <x:v>Open</x:v>
      </x:c>
      <x:c r="AD7" s="30" t="str">
        <x:v>Public — handicap 36 or lower</x:v>
      </x:c>
      <x:c r="AE7" s="31" t="b">
        <x:v>1</x:v>
      </x:c>
      <x:c r="AF7" s="31" t="b">
        <x:v>0</x:v>
      </x:c>
      <x:c r="AG7" s="30"/>
      <x:c r="AH7" s="30"/>
      <x:c r="AI7" s="30"/>
      <x:c r="AJ7" s="31" t="b">
        <x:v>0</x:v>
      </x:c>
      <x:c r="AK7" s="31" t="b">
        <x:v>0</x:v>
      </x:c>
      <x:c r="AL7" s="30" t="str">
        <x:v>Verified — national register and exact BAG address</x:v>
      </x:c>
      <x:c r="AM7" s="30" t="str">
        <x:v>https://www.golf.nl/de-baan-op/banenzoeker/overzicht</x:v>
      </x:c>
      <x:c r="AN7" s="30" t="str">
        <x:v>2026-08-15</x:v>
      </x:c>
      <x:c r="AO7" s="30" t="str">
        <x:v>+31 591-371929</x:v>
      </x:c>
      <x:c r="AP7" s="30" t="str">
        <x:v>Current NGF/GOLF.NL listing: 18 holes, par 72, 6321 metres. Combined from exact NGF-listed constituent nine-hole loops: 1ste negen (9 holes, par 36, 3166 m); 2de negen (9 holes, par 36, 3155 m) Listed as qualifying.</x:v>
      </x:c>
    </x:row>
    <x:row r="8">
      <x:c r="A8" s="30" t="str">
        <x:v>NL-C0003</x:v>
      </x:c>
      <x:c r="B8" s="30" t="str">
        <x:v>NL-0007</x:v>
      </x:c>
      <x:c r="C8" s="30" t="str">
        <x:v>Drentse Golfclub De Gelpenberg — Par-3 Course</x:v>
      </x:c>
      <x:c r="D8" s="30" t="str">
        <x:v>Drentse Golfclub De Gelpenberg</x:v>
      </x:c>
      <x:c r="E8" s="30" t="str">
        <x:v>Par-3 Course</x:v>
      </x:c>
      <x:c r="F8" s="30" t="str">
        <x:v>Netherlands</x:v>
      </x:c>
      <x:c r="G8" s="30" t="str">
        <x:v>Drenthe</x:v>
      </x:c>
      <x:c r="H8" s="30" t="str">
        <x:v>Coevorden</x:v>
      </x:c>
      <x:c r="I8" s="30" t="str">
        <x:v>Aalden</x:v>
      </x:c>
      <x:c r="J8" s="30" t="str">
        <x:v>Gebbeveenweg 1</x:v>
      </x:c>
      <x:c r="K8" s="30" t="str">
        <x:v>7854 TD</x:v>
      </x:c>
      <x:c r="L8" s="32" t="n">
        <x:v>52.80069467</x:v>
      </x:c>
      <x:c r="M8" s="32" t="n">
        <x:v>6.69675076</x:v>
      </x:c>
      <x:c r="N8" s="30" t="str">
        <x:v>WGS84 / EPSG:4326</x:v>
      </x:c>
      <x:c r="O8" s="30" t="str">
        <x:v>Verified BAG address point via PDOK</x:v>
      </x:c>
      <x:c r="P8" s="30" t="str">
        <x:v>2026-08-15</x:v>
      </x:c>
      <x:c r="Q8" s="33" t="n">
        <x:f>IF(R8="","",ROUND(R8/0.9144,0))</x:f>
        <x:v>890</x:v>
      </x:c>
      <x:c r="R8" s="33" t="n">
        <x:v>814</x:v>
      </x:c>
      <x:c r="S8" s="33" t="n">
        <x:v>9</x:v>
      </x:c>
      <x:c r="T8" s="33" t="n">
        <x:v>27</x:v>
      </x:c>
      <x:c r="U8" s="30" t="str">
        <x:v>Par-3 course</x:v>
      </x:c>
      <x:c r="V8" s="30"/>
      <x:c r="W8" s="30"/>
      <x:c r="X8" s="30"/>
      <x:c r="Y8" s="30" t="str">
        <x:v>https://dgcdegelpenberg.nl/</x:v>
      </x:c>
      <x:c r="Z8" s="30" t="b">
        <x:f>IF(AND(F8="Netherlands",ISNUMBER(L8),ISNUMBER(M8),L8&gt;=50.7,L8&lt;=53.7,M8&gt;=3.2,M8&lt;=7.3,AC8&lt;&gt;"Closed"),TRUE,FALSE)</x:f>
        <x:v>1</x:v>
      </x:c>
      <x:c r="AA8" s="30" t="b">
        <x:f>Z8</x:f>
        <x:v>1</x:v>
      </x:c>
      <x:c r="AB8" s="30" t="str">
        <x:f>IF(Z8,"verified_coordinate_and_open","not_map_ready")</x:f>
        <x:v>verified_coordinate_and_open</x:v>
      </x:c>
      <x:c r="AC8" s="30" t="str">
        <x:v>Open</x:v>
      </x:c>
      <x:c r="AD8" s="30" t="str">
        <x:v>Public — no playing requirement</x:v>
      </x:c>
      <x:c r="AE8" s="31" t="b">
        <x:v>1</x:v>
      </x:c>
      <x:c r="AF8" s="31" t="b">
        <x:v>0</x:v>
      </x:c>
      <x:c r="AG8" s="30"/>
      <x:c r="AH8" s="30"/>
      <x:c r="AI8" s="30"/>
      <x:c r="AJ8" s="31" t="b">
        <x:v>0</x:v>
      </x:c>
      <x:c r="AK8" s="31" t="b">
        <x:v>0</x:v>
      </x:c>
      <x:c r="AL8" s="30" t="str">
        <x:v>Verified — national register and exact BAG address</x:v>
      </x:c>
      <x:c r="AM8" s="30" t="str">
        <x:v>https://www.golf.nl/de-baan-op/banenzoeker/overzicht</x:v>
      </x:c>
      <x:c r="AN8" s="30" t="str">
        <x:v>2026-08-15</x:v>
      </x:c>
      <x:c r="AO8" s="30" t="str">
        <x:v>+31 591-371929</x:v>
      </x:c>
      <x:c r="AP8" s="30" t="str">
        <x:v>Current NGF/GOLF.NL listing: 9 holes, par 27, 814 metres. Listed as qualifying.</x:v>
      </x:c>
    </x:row>
    <x:row r="9">
      <x:c r="A9" s="30" t="str">
        <x:v>NL-C0004</x:v>
      </x:c>
      <x:c r="B9" s="30" t="str">
        <x:v>NL-0008</x:v>
      </x:c>
      <x:c r="C9" s="30" t="str">
        <x:v>Golf Club Havelte — Main Course</x:v>
      </x:c>
      <x:c r="D9" s="30" t="str">
        <x:v>Golf Club Havelte</x:v>
      </x:c>
      <x:c r="E9" s="30" t="str">
        <x:v>Main Course</x:v>
      </x:c>
      <x:c r="F9" s="30" t="str">
        <x:v>Netherlands</x:v>
      </x:c>
      <x:c r="G9" s="30" t="str">
        <x:v>Drenthe</x:v>
      </x:c>
      <x:c r="H9" s="30" t="str">
        <x:v>Westerveld</x:v>
      </x:c>
      <x:c r="I9" s="30" t="str">
        <x:v>Havelte</x:v>
      </x:c>
      <x:c r="J9" s="30" t="str">
        <x:v>Kolonieweg 2</x:v>
      </x:c>
      <x:c r="K9" s="30" t="str">
        <x:v>7971 RA</x:v>
      </x:c>
      <x:c r="L9" s="32" t="n">
        <x:v>52.78411647</x:v>
      </x:c>
      <x:c r="M9" s="32" t="n">
        <x:v>6.24815353</x:v>
      </x:c>
      <x:c r="N9" s="30" t="str">
        <x:v>WGS84 / EPSG:4326</x:v>
      </x:c>
      <x:c r="O9" s="30" t="str">
        <x:v>Verified BAG address point via PDOK</x:v>
      </x:c>
      <x:c r="P9" s="30" t="str">
        <x:v>2026-08-15</x:v>
      </x:c>
      <x:c r="Q9" s="33" t="n">
        <x:f>IF(R9="","",ROUND(R9/0.9144,0))</x:f>
        <x:v>6959</x:v>
      </x:c>
      <x:c r="R9" s="33" t="n">
        <x:v>6363</x:v>
      </x:c>
      <x:c r="S9" s="33" t="n">
        <x:v>18</x:v>
      </x:c>
      <x:c r="T9" s="33" t="n">
        <x:v>72</x:v>
      </x:c>
      <x:c r="U9" s="30" t="str">
        <x:v>Full-length course</x:v>
      </x:c>
      <x:c r="V9" s="30"/>
      <x:c r="W9" s="30"/>
      <x:c r="X9" s="30"/>
      <x:c r="Y9" s="30" t="str">
        <x:v>https://www.golfclubhavelte.nl/</x:v>
      </x:c>
      <x:c r="Z9" s="30" t="b">
        <x:f>IF(AND(F9="Netherlands",ISNUMBER(L9),ISNUMBER(M9),L9&gt;=50.7,L9&lt;=53.7,M9&gt;=3.2,M9&lt;=7.3,AC9&lt;&gt;"Closed"),TRUE,FALSE)</x:f>
        <x:v>1</x:v>
      </x:c>
      <x:c r="AA9" s="30" t="b">
        <x:f>Z9</x:f>
        <x:v>1</x:v>
      </x:c>
      <x:c r="AB9" s="30" t="str">
        <x:f>IF(Z9,"verified_coordinate_and_open","not_map_ready")</x:f>
        <x:v>verified_coordinate_and_open</x:v>
      </x:c>
      <x:c r="AC9" s="30" t="str">
        <x:v>Open</x:v>
      </x:c>
      <x:c r="AD9" s="30" t="str">
        <x:v>Public — handicap 54 or lower</x:v>
      </x:c>
      <x:c r="AE9" s="31" t="b">
        <x:v>1</x:v>
      </x:c>
      <x:c r="AF9" s="31" t="b">
        <x:v>0</x:v>
      </x:c>
      <x:c r="AG9" s="30"/>
      <x:c r="AH9" s="30"/>
      <x:c r="AI9" s="30"/>
      <x:c r="AJ9" s="31" t="b">
        <x:v>0</x:v>
      </x:c>
      <x:c r="AK9" s="31" t="b">
        <x:v>0</x:v>
      </x:c>
      <x:c r="AL9" s="30" t="str">
        <x:v>Verified — national register and exact BAG address</x:v>
      </x:c>
      <x:c r="AM9" s="30" t="str">
        <x:v>https://www.golf.nl/de-baan-op/banenzoeker/overzicht</x:v>
      </x:c>
      <x:c r="AN9" s="30" t="str">
        <x:v>2026-08-15</x:v>
      </x:c>
      <x:c r="AO9" s="30" t="str">
        <x:v>+31 521-342200</x:v>
      </x:c>
      <x:c r="AP9" s="30" t="str">
        <x:v>Current NGF/GOLF.NL listing: 18 holes, par 72, 6363 metres. Combined from exact NGF-listed constituent nine-hole loops: 1ste negen (9 holes, par 36, 3107 m); 2de negen (9 holes, par 36, 3256 m) Listed as qualifying.</x:v>
      </x:c>
    </x:row>
    <x:row r="10">
      <x:c r="A10" s="30" t="str">
        <x:v>NL-C0005</x:v>
      </x:c>
      <x:c r="B10" s="30" t="str">
        <x:v>NL-0009</x:v>
      </x:c>
      <x:c r="C10" s="30" t="str">
        <x:v>Golfbaan Zuid-Drenthe</x:v>
      </x:c>
      <x:c r="D10" s="30" t="str">
        <x:v>Golfbaan Zuid-Drenthe</x:v>
      </x:c>
      <x:c r="E10" s="30" t="str">
        <x:v>Course</x:v>
      </x:c>
      <x:c r="F10" s="30" t="str">
        <x:v>Netherlands</x:v>
      </x:c>
      <x:c r="G10" s="30" t="str">
        <x:v>Drenthe</x:v>
      </x:c>
      <x:c r="H10" s="30" t="str">
        <x:v>Emmen</x:v>
      </x:c>
      <x:c r="I10" s="30" t="str">
        <x:v>Erica</x:v>
      </x:c>
      <x:c r="J10" s="30" t="str">
        <x:v>Amsterdamscheveldlaan 9-10</x:v>
      </x:c>
      <x:c r="K10" s="30" t="str">
        <x:v>7887 VD</x:v>
      </x:c>
      <x:c r="L10" s="32" t="n">
        <x:v>52.68071095</x:v>
      </x:c>
      <x:c r="M10" s="32" t="n">
        <x:v>6.94125585</x:v>
      </x:c>
      <x:c r="N10" s="30" t="str">
        <x:v>WGS84 / EPSG:4326</x:v>
      </x:c>
      <x:c r="O10" s="30" t="str">
        <x:v>Verified BAG address point via PDOK</x:v>
      </x:c>
      <x:c r="P10" s="30" t="str">
        <x:v>2026-08-15</x:v>
      </x:c>
      <x:c r="Q10" s="33" t="n">
        <x:f>IF(R10="","",ROUND(R10/0.9144,0))</x:f>
        <x:v>3155</x:v>
      </x:c>
      <x:c r="R10" s="33" t="n">
        <x:v>2885</x:v>
      </x:c>
      <x:c r="S10" s="33" t="n">
        <x:v>9</x:v>
      </x:c>
      <x:c r="T10" s="33" t="n">
        <x:v>35</x:v>
      </x:c>
      <x:c r="U10" s="30" t="str">
        <x:v>Full-length course</x:v>
      </x:c>
      <x:c r="V10" s="30"/>
      <x:c r="W10" s="30"/>
      <x:c r="X10" s="30"/>
      <x:c r="Y10" s="30" t="str">
        <x:v>https://golfclubzuiddrenthe.nl/</x:v>
      </x:c>
      <x:c r="Z10" s="30" t="b">
        <x:f>IF(AND(F10="Netherlands",ISNUMBER(L10),ISNUMBER(M10),L10&gt;=50.7,L10&lt;=53.7,M10&gt;=3.2,M10&lt;=7.3,AC10&lt;&gt;"Closed"),TRUE,FALSE)</x:f>
        <x:v>1</x:v>
      </x:c>
      <x:c r="AA10" s="30" t="b">
        <x:f>Z10</x:f>
        <x:v>1</x:v>
      </x:c>
      <x:c r="AB10" s="30" t="str">
        <x:f>IF(Z10,"verified_coordinate_and_open","not_map_ready")</x:f>
        <x:v>verified_coordinate_and_open</x:v>
      </x:c>
      <x:c r="AC10" s="30" t="str">
        <x:v>Open</x:v>
      </x:c>
      <x:c r="AD10" s="30" t="str">
        <x:v>Public — handicap 54 or lower</x:v>
      </x:c>
      <x:c r="AE10" s="31" t="b">
        <x:v>1</x:v>
      </x:c>
      <x:c r="AF10" s="31" t="b">
        <x:v>0</x:v>
      </x:c>
      <x:c r="AG10" s="30"/>
      <x:c r="AH10" s="30"/>
      <x:c r="AI10" s="30"/>
      <x:c r="AJ10" s="31" t="b">
        <x:v>0</x:v>
      </x:c>
      <x:c r="AK10" s="31" t="b">
        <x:v>0</x:v>
      </x:c>
      <x:c r="AL10" s="30" t="str">
        <x:v>Verified — national register and exact BAG address</x:v>
      </x:c>
      <x:c r="AM10" s="30" t="str">
        <x:v>https://www.golf.nl/de-baan-op/banenzoeker/overzicht</x:v>
      </x:c>
      <x:c r="AN10" s="30" t="str">
        <x:v>2026-08-15</x:v>
      </x:c>
      <x:c r="AO10" s="30" t="str">
        <x:v>+31 6-27129726</x:v>
      </x:c>
      <x:c r="AP10" s="30" t="str">
        <x:v>Current NGF/GOLF.NL listing: 9 holes, par 35, 2885 metres. Listed as qualifying.</x:v>
      </x:c>
    </x:row>
    <x:row r="11">
      <x:c r="A11" s="30" t="str">
        <x:v>NL-C0006</x:v>
      </x:c>
      <x:c r="B11" s="30" t="str">
        <x:v>NL-0010</x:v>
      </x:c>
      <x:c r="C11" s="30" t="str">
        <x:v>Golfclub De Semslanden — Boerveen</x:v>
      </x:c>
      <x:c r="D11" s="30" t="str">
        <x:v>Golfclub De Semslanden</x:v>
      </x:c>
      <x:c r="E11" s="30" t="str">
        <x:v>Boerveen</x:v>
      </x:c>
      <x:c r="F11" s="30" t="str">
        <x:v>Netherlands</x:v>
      </x:c>
      <x:c r="G11" s="30" t="str">
        <x:v>Drenthe</x:v>
      </x:c>
      <x:c r="H11" s="30" t="str">
        <x:v>Aa en Hunze</x:v>
      </x:c>
      <x:c r="I11" s="30" t="str">
        <x:v>Gasselternijveen</x:v>
      </x:c>
      <x:c r="J11" s="30" t="str">
        <x:v>Nieuwe Dijk 1</x:v>
      </x:c>
      <x:c r="K11" s="30" t="str">
        <x:v>9514 BX</x:v>
      </x:c>
      <x:c r="L11" s="32" t="n">
        <x:v>52.98567431</x:v>
      </x:c>
      <x:c r="M11" s="32" t="n">
        <x:v>6.80671026</x:v>
      </x:c>
      <x:c r="N11" s="30" t="str">
        <x:v>WGS84 / EPSG:4326</x:v>
      </x:c>
      <x:c r="O11" s="30" t="str">
        <x:v>Verified BAG address point via PDOK</x:v>
      </x:c>
      <x:c r="P11" s="30" t="str">
        <x:v>2026-08-15</x:v>
      </x:c>
      <x:c r="Q11" s="33" t="n">
        <x:f>IF(R11="","",ROUND(R11/0.9144,0))</x:f>
        <x:v>3379</x:v>
      </x:c>
      <x:c r="R11" s="33" t="n">
        <x:v>3090</x:v>
      </x:c>
      <x:c r="S11" s="33" t="n">
        <x:v>9</x:v>
      </x:c>
      <x:c r="T11" s="33" t="n">
        <x:v>36</x:v>
      </x:c>
      <x:c r="U11" s="30" t="str">
        <x:v>Full-length course</x:v>
      </x:c>
      <x:c r="V11" s="30"/>
      <x:c r="W11" s="30"/>
      <x:c r="X11" s="30"/>
      <x:c r="Y11" s="30" t="str">
        <x:v>https://semslanden.nl/</x:v>
      </x:c>
      <x:c r="Z11" s="30" t="b">
        <x:f>IF(AND(F11="Netherlands",ISNUMBER(L11),ISNUMBER(M11),L11&gt;=50.7,L11&lt;=53.7,M11&gt;=3.2,M11&lt;=7.3,AC11&lt;&gt;"Closed"),TRUE,FALSE)</x:f>
        <x:v>1</x:v>
      </x:c>
      <x:c r="AA11" s="30" t="b">
        <x:f>Z11</x:f>
        <x:v>1</x:v>
      </x:c>
      <x:c r="AB11" s="30" t="str">
        <x:f>IF(Z11,"verified_coordinate_and_open","not_map_ready")</x:f>
        <x:v>verified_coordinate_and_open</x:v>
      </x:c>
      <x:c r="AC11" s="30" t="str">
        <x:v>Open</x:v>
      </x:c>
      <x:c r="AD11" s="30" t="str">
        <x:v>Public — handicap 54 or lower</x:v>
      </x:c>
      <x:c r="AE11" s="31" t="b">
        <x:v>1</x:v>
      </x:c>
      <x:c r="AF11" s="31" t="b">
        <x:v>0</x:v>
      </x:c>
      <x:c r="AG11" s="30"/>
      <x:c r="AH11" s="30"/>
      <x:c r="AI11" s="30"/>
      <x:c r="AJ11" s="31" t="b">
        <x:v>0</x:v>
      </x:c>
      <x:c r="AK11" s="31" t="b">
        <x:v>0</x:v>
      </x:c>
      <x:c r="AL11" s="30" t="str">
        <x:v>Verified — national register and exact BAG address</x:v>
      </x:c>
      <x:c r="AM11" s="30" t="str">
        <x:v>https://www.golf.nl/de-baan-op/banenzoeker/overzicht</x:v>
      </x:c>
      <x:c r="AN11" s="30" t="str">
        <x:v>2026-08-15</x:v>
      </x:c>
      <x:c r="AO11" s="30" t="str">
        <x:v>+31 599-564661</x:v>
      </x:c>
      <x:c r="AP11" s="30" t="str">
        <x:v>Current NGF/GOLF.NL listing: 9 holes, par 36, 3090 metres. Listed as qualifying.</x:v>
      </x:c>
    </x:row>
    <x:row r="12">
      <x:c r="A12" s="30" t="str">
        <x:v>NL-C0006</x:v>
      </x:c>
      <x:c r="B12" s="30" t="str">
        <x:v>NL-0011</x:v>
      </x:c>
      <x:c r="C12" s="30" t="str">
        <x:v>Golfclub De Semslanden — Drieveld</x:v>
      </x:c>
      <x:c r="D12" s="30" t="str">
        <x:v>Golfclub De Semslanden</x:v>
      </x:c>
      <x:c r="E12" s="30" t="str">
        <x:v>Drieveld</x:v>
      </x:c>
      <x:c r="F12" s="30" t="str">
        <x:v>Netherlands</x:v>
      </x:c>
      <x:c r="G12" s="30" t="str">
        <x:v>Drenthe</x:v>
      </x:c>
      <x:c r="H12" s="30" t="str">
        <x:v>Aa en Hunze</x:v>
      </x:c>
      <x:c r="I12" s="30" t="str">
        <x:v>Gasselternijveen</x:v>
      </x:c>
      <x:c r="J12" s="30" t="str">
        <x:v>Nieuwe Dijk 1</x:v>
      </x:c>
      <x:c r="K12" s="30" t="str">
        <x:v>9514 BX</x:v>
      </x:c>
      <x:c r="L12" s="32" t="n">
        <x:v>52.98567431</x:v>
      </x:c>
      <x:c r="M12" s="32" t="n">
        <x:v>6.80671026</x:v>
      </x:c>
      <x:c r="N12" s="30" t="str">
        <x:v>WGS84 / EPSG:4326</x:v>
      </x:c>
      <x:c r="O12" s="30" t="str">
        <x:v>Verified BAG address point via PDOK</x:v>
      </x:c>
      <x:c r="P12" s="30" t="str">
        <x:v>2026-08-15</x:v>
      </x:c>
      <x:c r="Q12" s="33" t="n">
        <x:f>IF(R12="","",ROUND(R12/0.9144,0))</x:f>
        <x:v>841</x:v>
      </x:c>
      <x:c r="R12" s="33" t="n">
        <x:v>769</x:v>
      </x:c>
      <x:c r="S12" s="33" t="n">
        <x:v>9</x:v>
      </x:c>
      <x:c r="T12" s="33" t="n">
        <x:v>27</x:v>
      </x:c>
      <x:c r="U12" s="30" t="str">
        <x:v>Par-3 course</x:v>
      </x:c>
      <x:c r="V12" s="30"/>
      <x:c r="W12" s="30"/>
      <x:c r="X12" s="30"/>
      <x:c r="Y12" s="30" t="str">
        <x:v>https://semslanden.nl/</x:v>
      </x:c>
      <x:c r="Z12" s="30" t="b">
        <x:f>IF(AND(F12="Netherlands",ISNUMBER(L12),ISNUMBER(M12),L12&gt;=50.7,L12&lt;=53.7,M12&gt;=3.2,M12&lt;=7.3,AC12&lt;&gt;"Closed"),TRUE,FALSE)</x:f>
        <x:v>1</x:v>
      </x:c>
      <x:c r="AA12" s="30" t="b">
        <x:f>Z12</x:f>
        <x:v>1</x:v>
      </x:c>
      <x:c r="AB12" s="30" t="str">
        <x:f>IF(Z12,"verified_coordinate_and_open","not_map_ready")</x:f>
        <x:v>verified_coordinate_and_open</x:v>
      </x:c>
      <x:c r="AC12" s="30" t="str">
        <x:v>Open</x:v>
      </x:c>
      <x:c r="AD12" s="30" t="str">
        <x:v>Public — handicap 54 or lower</x:v>
      </x:c>
      <x:c r="AE12" s="31" t="b">
        <x:v>1</x:v>
      </x:c>
      <x:c r="AF12" s="31" t="b">
        <x:v>0</x:v>
      </x:c>
      <x:c r="AG12" s="30"/>
      <x:c r="AH12" s="30"/>
      <x:c r="AI12" s="30"/>
      <x:c r="AJ12" s="31" t="b">
        <x:v>0</x:v>
      </x:c>
      <x:c r="AK12" s="31" t="b">
        <x:v>0</x:v>
      </x:c>
      <x:c r="AL12" s="30" t="str">
        <x:v>Verified — national register and exact BAG address</x:v>
      </x:c>
      <x:c r="AM12" s="30" t="str">
        <x:v>https://www.golf.nl/de-baan-op/banenzoeker/overzicht</x:v>
      </x:c>
      <x:c r="AN12" s="30" t="str">
        <x:v>2026-08-15</x:v>
      </x:c>
      <x:c r="AO12" s="30" t="str">
        <x:v>+31 599-564661</x:v>
      </x:c>
      <x:c r="AP12" s="30" t="str">
        <x:v>Current NGF/GOLF.NL listing: 9 holes, par 27, 769 metres. Listed as qualifying.</x:v>
      </x:c>
    </x:row>
    <x:row r="13">
      <x:c r="A13" s="30" t="str">
        <x:v>NL-C0006</x:v>
      </x:c>
      <x:c r="B13" s="30" t="str">
        <x:v>NL-0012</x:v>
      </x:c>
      <x:c r="C13" s="30" t="str">
        <x:v>Golfclub De Semslanden — Hondsrug</x:v>
      </x:c>
      <x:c r="D13" s="30" t="str">
        <x:v>Golfclub De Semslanden</x:v>
      </x:c>
      <x:c r="E13" s="30" t="str">
        <x:v>Hondsrug</x:v>
      </x:c>
      <x:c r="F13" s="30" t="str">
        <x:v>Netherlands</x:v>
      </x:c>
      <x:c r="G13" s="30" t="str">
        <x:v>Drenthe</x:v>
      </x:c>
      <x:c r="H13" s="30" t="str">
        <x:v>Aa en Hunze</x:v>
      </x:c>
      <x:c r="I13" s="30" t="str">
        <x:v>Gasselternijveen</x:v>
      </x:c>
      <x:c r="J13" s="30" t="str">
        <x:v>Nieuwe Dijk 1</x:v>
      </x:c>
      <x:c r="K13" s="30" t="str">
        <x:v>9514 BX</x:v>
      </x:c>
      <x:c r="L13" s="32" t="n">
        <x:v>52.98567431</x:v>
      </x:c>
      <x:c r="M13" s="32" t="n">
        <x:v>6.80671026</x:v>
      </x:c>
      <x:c r="N13" s="30" t="str">
        <x:v>WGS84 / EPSG:4326</x:v>
      </x:c>
      <x:c r="O13" s="30" t="str">
        <x:v>Verified BAG address point via PDOK</x:v>
      </x:c>
      <x:c r="P13" s="30" t="str">
        <x:v>2026-08-15</x:v>
      </x:c>
      <x:c r="Q13" s="33" t="n">
        <x:f>IF(R13="","",ROUND(R13/0.9144,0))</x:f>
        <x:v>3513</x:v>
      </x:c>
      <x:c r="R13" s="33" t="n">
        <x:v>3212</x:v>
      </x:c>
      <x:c r="S13" s="33" t="n">
        <x:v>9</x:v>
      </x:c>
      <x:c r="T13" s="33" t="n">
        <x:v>36</x:v>
      </x:c>
      <x:c r="U13" s="30" t="str">
        <x:v>Full-length course</x:v>
      </x:c>
      <x:c r="V13" s="30"/>
      <x:c r="W13" s="30"/>
      <x:c r="X13" s="30"/>
      <x:c r="Y13" s="30" t="str">
        <x:v>https://semslanden.nl/</x:v>
      </x:c>
      <x:c r="Z13" s="30" t="b">
        <x:f>IF(AND(F13="Netherlands",ISNUMBER(L13),ISNUMBER(M13),L13&gt;=50.7,L13&lt;=53.7,M13&gt;=3.2,M13&lt;=7.3,AC13&lt;&gt;"Closed"),TRUE,FALSE)</x:f>
        <x:v>1</x:v>
      </x:c>
      <x:c r="AA13" s="30" t="b">
        <x:f>Z13</x:f>
        <x:v>1</x:v>
      </x:c>
      <x:c r="AB13" s="30" t="str">
        <x:f>IF(Z13,"verified_coordinate_and_open","not_map_ready")</x:f>
        <x:v>verified_coordinate_and_open</x:v>
      </x:c>
      <x:c r="AC13" s="30" t="str">
        <x:v>Open</x:v>
      </x:c>
      <x:c r="AD13" s="30" t="str">
        <x:v>Public — handicap 54 or lower</x:v>
      </x:c>
      <x:c r="AE13" s="31" t="b">
        <x:v>1</x:v>
      </x:c>
      <x:c r="AF13" s="31" t="b">
        <x:v>0</x:v>
      </x:c>
      <x:c r="AG13" s="30"/>
      <x:c r="AH13" s="30"/>
      <x:c r="AI13" s="30"/>
      <x:c r="AJ13" s="31" t="b">
        <x:v>0</x:v>
      </x:c>
      <x:c r="AK13" s="31" t="b">
        <x:v>0</x:v>
      </x:c>
      <x:c r="AL13" s="30" t="str">
        <x:v>Verified — national register and exact BAG address</x:v>
      </x:c>
      <x:c r="AM13" s="30" t="str">
        <x:v>https://www.golf.nl/de-baan-op/banenzoeker/overzicht</x:v>
      </x:c>
      <x:c r="AN13" s="30" t="str">
        <x:v>2026-08-15</x:v>
      </x:c>
      <x:c r="AO13" s="30" t="str">
        <x:v>+31 599-564661</x:v>
      </x:c>
      <x:c r="AP13" s="30" t="str">
        <x:v>Current NGF/GOLF.NL listing: 9 holes, par 36, 3212 metres. Listed as qualifying.</x:v>
      </x:c>
    </x:row>
    <x:row r="14">
      <x:c r="A14" s="30" t="str">
        <x:v>NL-C0007</x:v>
      </x:c>
      <x:c r="B14" s="30" t="str">
        <x:v>NL-0013</x:v>
      </x:c>
      <x:c r="C14" s="30" t="str">
        <x:v>Golfclub Holthuizen — Main Course</x:v>
      </x:c>
      <x:c r="D14" s="30" t="str">
        <x:v>Golfclub Holthuizen</x:v>
      </x:c>
      <x:c r="E14" s="30" t="str">
        <x:v>Main Course</x:v>
      </x:c>
      <x:c r="F14" s="30" t="str">
        <x:v>Netherlands</x:v>
      </x:c>
      <x:c r="G14" s="30" t="str">
        <x:v>Drenthe</x:v>
      </x:c>
      <x:c r="H14" s="30" t="str">
        <x:v>Noordenveld</x:v>
      </x:c>
      <x:c r="I14" s="30" t="str">
        <x:v>Roden</x:v>
      </x:c>
      <x:c r="J14" s="30" t="str">
        <x:v>Oosteinde 7a</x:v>
      </x:c>
      <x:c r="K14" s="30" t="str">
        <x:v>9301 ZP</x:v>
      </x:c>
      <x:c r="L14" s="32" t="n">
        <x:v>53.14397241</x:v>
      </x:c>
      <x:c r="M14" s="32" t="n">
        <x:v>6.44800565</x:v>
      </x:c>
      <x:c r="N14" s="30" t="str">
        <x:v>WGS84 / EPSG:4326</x:v>
      </x:c>
      <x:c r="O14" s="30" t="str">
        <x:v>Verified BAG address point via PDOK</x:v>
      </x:c>
      <x:c r="P14" s="30" t="str">
        <x:v>2026-08-15</x:v>
      </x:c>
      <x:c r="Q14" s="33" t="n">
        <x:f>IF(R14="","",ROUND(R14/0.9144,0))</x:f>
        <x:v>3270</x:v>
      </x:c>
      <x:c r="R14" s="33" t="n">
        <x:v>2990</x:v>
      </x:c>
      <x:c r="S14" s="33" t="n">
        <x:v>9</x:v>
      </x:c>
      <x:c r="T14" s="33" t="n">
        <x:v>37</x:v>
      </x:c>
      <x:c r="U14" s="30" t="str">
        <x:v>Full-length course</x:v>
      </x:c>
      <x:c r="V14" s="30"/>
      <x:c r="W14" s="30"/>
      <x:c r="X14" s="30"/>
      <x:c r="Y14" s="30" t="str">
        <x:v>https://golfclubholthuizen.nl/</x:v>
      </x:c>
      <x:c r="Z14" s="30" t="b">
        <x:f>IF(AND(F14="Netherlands",ISNUMBER(L14),ISNUMBER(M14),L14&gt;=50.7,L14&lt;=53.7,M14&gt;=3.2,M14&lt;=7.3,AC14&lt;&gt;"Closed"),TRUE,FALSE)</x:f>
        <x:v>1</x:v>
      </x:c>
      <x:c r="AA14" s="30" t="b">
        <x:f>Z14</x:f>
        <x:v>1</x:v>
      </x:c>
      <x:c r="AB14" s="30" t="str">
        <x:f>IF(Z14,"verified_coordinate_and_open","not_map_ready")</x:f>
        <x:v>verified_coordinate_and_open</x:v>
      </x:c>
      <x:c r="AC14" s="30" t="str">
        <x:v>Open</x:v>
      </x:c>
      <x:c r="AD14" s="30" t="str">
        <x:v>Public — handicap 54 or lower</x:v>
      </x:c>
      <x:c r="AE14" s="31" t="b">
        <x:v>1</x:v>
      </x:c>
      <x:c r="AF14" s="31" t="b">
        <x:v>0</x:v>
      </x:c>
      <x:c r="AG14" s="30"/>
      <x:c r="AH14" s="30"/>
      <x:c r="AI14" s="30"/>
      <x:c r="AJ14" s="31" t="b">
        <x:v>0</x:v>
      </x:c>
      <x:c r="AK14" s="31" t="b">
        <x:v>0</x:v>
      </x:c>
      <x:c r="AL14" s="30" t="str">
        <x:v>Verified — national register and exact BAG address</x:v>
      </x:c>
      <x:c r="AM14" s="30" t="str">
        <x:v>https://www.golf.nl/de-baan-op/banenzoeker/overzicht</x:v>
      </x:c>
      <x:c r="AN14" s="30" t="str">
        <x:v>2026-08-15</x:v>
      </x:c>
      <x:c r="AO14" s="30" t="str">
        <x:v>+31 50-5015103</x:v>
      </x:c>
      <x:c r="AP14" s="30" t="str">
        <x:v>Current NGF/GOLF.NL listing: 9 holes, par 37, 2990 metres. Listed as qualifying.</x:v>
      </x:c>
    </x:row>
    <x:row r="15">
      <x:c r="A15" s="30" t="str">
        <x:v>NL-C0007</x:v>
      </x:c>
      <x:c r="B15" s="30" t="str">
        <x:v>NL-0014</x:v>
      </x:c>
      <x:c r="C15" s="30" t="str">
        <x:v>Golfclub Holthuizen — Par-3 Course</x:v>
      </x:c>
      <x:c r="D15" s="30" t="str">
        <x:v>Golfclub Holthuizen</x:v>
      </x:c>
      <x:c r="E15" s="30" t="str">
        <x:v>Par-3 Course</x:v>
      </x:c>
      <x:c r="F15" s="30" t="str">
        <x:v>Netherlands</x:v>
      </x:c>
      <x:c r="G15" s="30" t="str">
        <x:v>Drenthe</x:v>
      </x:c>
      <x:c r="H15" s="30" t="str">
        <x:v>Noordenveld</x:v>
      </x:c>
      <x:c r="I15" s="30" t="str">
        <x:v>Roden</x:v>
      </x:c>
      <x:c r="J15" s="30" t="str">
        <x:v>Oosteinde 7a</x:v>
      </x:c>
      <x:c r="K15" s="30" t="str">
        <x:v>9301 ZP</x:v>
      </x:c>
      <x:c r="L15" s="32" t="n">
        <x:v>53.14397241</x:v>
      </x:c>
      <x:c r="M15" s="32" t="n">
        <x:v>6.44800565</x:v>
      </x:c>
      <x:c r="N15" s="30" t="str">
        <x:v>WGS84 / EPSG:4326</x:v>
      </x:c>
      <x:c r="O15" s="30" t="str">
        <x:v>Verified BAG address point via PDOK</x:v>
      </x:c>
      <x:c r="P15" s="30" t="str">
        <x:v>2026-08-15</x:v>
      </x:c>
      <x:c r="Q15" s="33" t="n">
        <x:f>IF(R15="","",ROUND(R15/0.9144,0))</x:f>
        <x:v>998</x:v>
      </x:c>
      <x:c r="R15" s="33" t="n">
        <x:v>913</x:v>
      </x:c>
      <x:c r="S15" s="33" t="n">
        <x:v>9</x:v>
      </x:c>
      <x:c r="T15" s="33" t="n">
        <x:v>27</x:v>
      </x:c>
      <x:c r="U15" s="30" t="str">
        <x:v>Par-3 course</x:v>
      </x:c>
      <x:c r="V15" s="30"/>
      <x:c r="W15" s="30"/>
      <x:c r="X15" s="30"/>
      <x:c r="Y15" s="30" t="str">
        <x:v>https://golfclubholthuizen.nl/</x:v>
      </x:c>
      <x:c r="Z15" s="30" t="b">
        <x:f>IF(AND(F15="Netherlands",ISNUMBER(L15),ISNUMBER(M15),L15&gt;=50.7,L15&lt;=53.7,M15&gt;=3.2,M15&lt;=7.3,AC15&lt;&gt;"Closed"),TRUE,FALSE)</x:f>
        <x:v>1</x:v>
      </x:c>
      <x:c r="AA15" s="30" t="b">
        <x:f>Z15</x:f>
        <x:v>1</x:v>
      </x:c>
      <x:c r="AB15" s="30" t="str">
        <x:f>IF(Z15,"verified_coordinate_and_open","not_map_ready")</x:f>
        <x:v>verified_coordinate_and_open</x:v>
      </x:c>
      <x:c r="AC15" s="30" t="str">
        <x:v>Open</x:v>
      </x:c>
      <x:c r="AD15" s="30" t="str">
        <x:v>Public — no playing requirement</x:v>
      </x:c>
      <x:c r="AE15" s="31" t="b">
        <x:v>1</x:v>
      </x:c>
      <x:c r="AF15" s="31" t="b">
        <x:v>0</x:v>
      </x:c>
      <x:c r="AG15" s="30"/>
      <x:c r="AH15" s="30"/>
      <x:c r="AI15" s="30"/>
      <x:c r="AJ15" s="31" t="b">
        <x:v>0</x:v>
      </x:c>
      <x:c r="AK15" s="31" t="b">
        <x:v>0</x:v>
      </x:c>
      <x:c r="AL15" s="30" t="str">
        <x:v>Verified — national register and exact BAG address</x:v>
      </x:c>
      <x:c r="AM15" s="30" t="str">
        <x:v>https://www.golf.nl/de-baan-op/banenzoeker/overzicht</x:v>
      </x:c>
      <x:c r="AN15" s="30" t="str">
        <x:v>2026-08-15</x:v>
      </x:c>
      <x:c r="AO15" s="30" t="str">
        <x:v>+31 50-5015103</x:v>
      </x:c>
      <x:c r="AP15" s="30" t="str">
        <x:v>Current NGF/GOLF.NL listing: 9 holes, par 27, 913 metres. Listed as qualifying.</x:v>
      </x:c>
    </x:row>
    <x:row r="16">
      <x:c r="A16" s="30" t="str">
        <x:v>NL-C0008</x:v>
      </x:c>
      <x:c r="B16" s="30" t="str">
        <x:v>NL-0015</x:v>
      </x:c>
      <x:c r="C16" s="30" t="str">
        <x:v>Golfclub Martensplek — Main Course</x:v>
      </x:c>
      <x:c r="D16" s="30" t="str">
        <x:v>Golfclub Martensplek</x:v>
      </x:c>
      <x:c r="E16" s="30" t="str">
        <x:v>Main Course</x:v>
      </x:c>
      <x:c r="F16" s="30" t="str">
        <x:v>Netherlands</x:v>
      </x:c>
      <x:c r="G16" s="30" t="str">
        <x:v>Drenthe</x:v>
      </x:c>
      <x:c r="H16" s="30" t="str">
        <x:v>Hoogeveen</x:v>
      </x:c>
      <x:c r="I16" s="30" t="str">
        <x:v>Tiendeveen</x:v>
      </x:c>
      <x:c r="J16" s="30" t="str">
        <x:v>Haarweg 22</x:v>
      </x:c>
      <x:c r="K16" s="30" t="str">
        <x:v>7936 TP</x:v>
      </x:c>
      <x:c r="L16" s="32" t="n">
        <x:v>52.7602055</x:v>
      </x:c>
      <x:c r="M16" s="32" t="n">
        <x:v>6.55363895</x:v>
      </x:c>
      <x:c r="N16" s="30" t="str">
        <x:v>WGS84 / EPSG:4326</x:v>
      </x:c>
      <x:c r="O16" s="30" t="str">
        <x:v>Verified BAG address point via PDOK</x:v>
      </x:c>
      <x:c r="P16" s="30" t="str">
        <x:v>2026-08-15</x:v>
      </x:c>
      <x:c r="Q16" s="33" t="n">
        <x:f>IF(R16="","",ROUND(R16/0.9144,0))</x:f>
        <x:v>6602</x:v>
      </x:c>
      <x:c r="R16" s="33" t="n">
        <x:v>6037</x:v>
      </x:c>
      <x:c r="S16" s="33" t="n">
        <x:v>18</x:v>
      </x:c>
      <x:c r="T16" s="33" t="n">
        <x:v>72</x:v>
      </x:c>
      <x:c r="U16" s="30" t="str">
        <x:v>Full-length course</x:v>
      </x:c>
      <x:c r="V16" s="30"/>
      <x:c r="W16" s="30"/>
      <x:c r="X16" s="30"/>
      <x:c r="Y16" s="30" t="str">
        <x:v>https://www.martensplek.nl/</x:v>
      </x:c>
      <x:c r="Z16" s="30" t="b">
        <x:f>IF(AND(F16="Netherlands",ISNUMBER(L16),ISNUMBER(M16),L16&gt;=50.7,L16&lt;=53.7,M16&gt;=3.2,M16&lt;=7.3,AC16&lt;&gt;"Closed"),TRUE,FALSE)</x:f>
        <x:v>1</x:v>
      </x:c>
      <x:c r="AA16" s="30" t="b">
        <x:f>Z16</x:f>
        <x:v>1</x:v>
      </x:c>
      <x:c r="AB16" s="30" t="str">
        <x:f>IF(Z16,"verified_coordinate_and_open","not_map_ready")</x:f>
        <x:v>verified_coordinate_and_open</x:v>
      </x:c>
      <x:c r="AC16" s="30" t="str">
        <x:v>Open</x:v>
      </x:c>
      <x:c r="AD16" s="30" t="str">
        <x:v>Public — handicap 54 or lower</x:v>
      </x:c>
      <x:c r="AE16" s="31" t="b">
        <x:v>1</x:v>
      </x:c>
      <x:c r="AF16" s="31" t="b">
        <x:v>0</x:v>
      </x:c>
      <x:c r="AG16" s="30"/>
      <x:c r="AH16" s="30"/>
      <x:c r="AI16" s="30"/>
      <x:c r="AJ16" s="31" t="b">
        <x:v>0</x:v>
      </x:c>
      <x:c r="AK16" s="31" t="b">
        <x:v>0</x:v>
      </x:c>
      <x:c r="AL16" s="30" t="str">
        <x:v>Verified — national register and exact BAG address</x:v>
      </x:c>
      <x:c r="AM16" s="30" t="str">
        <x:v>https://www.golf.nl/de-baan-op/banenzoeker/overzicht</x:v>
      </x:c>
      <x:c r="AN16" s="30" t="str">
        <x:v>2026-08-15</x:v>
      </x:c>
      <x:c r="AO16" s="30" t="str">
        <x:v>+31 6-27091551</x:v>
      </x:c>
      <x:c r="AP16" s="30" t="str">
        <x:v>Current NGF/GOLF.NL listing: 18 holes, par 72, 6037 metres. Combined from exact NGF-listed constituent nine-hole loops: 1ste negen (9 holes, par 36, 2889 m); 2de negen (9 holes, par 36, 3148 m) Listed as qualifying.</x:v>
      </x:c>
    </x:row>
    <x:row r="17">
      <x:c r="A17" s="30" t="str">
        <x:v>NL-C0008</x:v>
      </x:c>
      <x:c r="B17" s="30" t="str">
        <x:v>NL-0016</x:v>
      </x:c>
      <x:c r="C17" s="30" t="str">
        <x:v>Golfclub Martensplek — Shortgolf / Pitch &amp; Putt Course</x:v>
      </x:c>
      <x:c r="D17" s="30" t="str">
        <x:v>Golfclub Martensplek</x:v>
      </x:c>
      <x:c r="E17" s="30" t="str">
        <x:v>Shortgolf / Pitch &amp; Putt Course</x:v>
      </x:c>
      <x:c r="F17" s="30" t="str">
        <x:v>Netherlands</x:v>
      </x:c>
      <x:c r="G17" s="30" t="str">
        <x:v>Drenthe</x:v>
      </x:c>
      <x:c r="H17" s="30" t="str">
        <x:v>Hoogeveen</x:v>
      </x:c>
      <x:c r="I17" s="30" t="str">
        <x:v>Tiendeveen</x:v>
      </x:c>
      <x:c r="J17" s="30" t="str">
        <x:v>Haarweg 22</x:v>
      </x:c>
      <x:c r="K17" s="30" t="str">
        <x:v>7936 TP</x:v>
      </x:c>
      <x:c r="L17" s="32" t="n">
        <x:v>52.7602055</x:v>
      </x:c>
      <x:c r="M17" s="32" t="n">
        <x:v>6.55363895</x:v>
      </x:c>
      <x:c r="N17" s="30" t="str">
        <x:v>WGS84 / EPSG:4326</x:v>
      </x:c>
      <x:c r="O17" s="30" t="str">
        <x:v>Verified BAG address point via PDOK</x:v>
      </x:c>
      <x:c r="P17" s="30" t="str">
        <x:v>2026-08-15</x:v>
      </x:c>
      <x:c r="Q17" s="33" t="n">
        <x:f>IF(R17="","",ROUND(R17/0.9144,0))</x:f>
        <x:v>487</x:v>
      </x:c>
      <x:c r="R17" s="33" t="n">
        <x:v>445</x:v>
      </x:c>
      <x:c r="S17" s="33" t="n">
        <x:v>9</x:v>
      </x:c>
      <x:c r="T17" s="33" t="n">
        <x:v>27</x:v>
      </x:c>
      <x:c r="U17" s="30" t="str">
        <x:v>Shortgolf / Pitch &amp; Putt</x:v>
      </x:c>
      <x:c r="V17" s="30"/>
      <x:c r="W17" s="30"/>
      <x:c r="X17" s="30"/>
      <x:c r="Y17" s="30" t="str">
        <x:v>https://www.martensplek.nl/</x:v>
      </x:c>
      <x:c r="Z17" s="30" t="b">
        <x:f>IF(AND(F17="Netherlands",ISNUMBER(L17),ISNUMBER(M17),L17&gt;=50.7,L17&lt;=53.7,M17&gt;=3.2,M17&lt;=7.3,AC17&lt;&gt;"Closed"),TRUE,FALSE)</x:f>
        <x:v>1</x:v>
      </x:c>
      <x:c r="AA17" s="30" t="b">
        <x:f>Z17</x:f>
        <x:v>1</x:v>
      </x:c>
      <x:c r="AB17" s="30" t="str">
        <x:f>IF(Z17,"verified_coordinate_and_open","not_map_ready")</x:f>
        <x:v>verified_coordinate_and_open</x:v>
      </x:c>
      <x:c r="AC17" s="30" t="str">
        <x:v>Open</x:v>
      </x:c>
      <x:c r="AD17" s="30" t="str">
        <x:v>Public — no playing requirement</x:v>
      </x:c>
      <x:c r="AE17" s="31" t="b">
        <x:v>0</x:v>
      </x:c>
      <x:c r="AF17" s="31" t="b">
        <x:v>0</x:v>
      </x:c>
      <x:c r="AG17" s="30"/>
      <x:c r="AH17" s="30"/>
      <x:c r="AI17" s="30"/>
      <x:c r="AJ17" s="31" t="b">
        <x:v>0</x:v>
      </x:c>
      <x:c r="AK17" s="31" t="b">
        <x:v>0</x:v>
      </x:c>
      <x:c r="AL17" s="30" t="str">
        <x:v>Verified — national register and exact BAG address</x:v>
      </x:c>
      <x:c r="AM17" s="30" t="str">
        <x:v>https://www.golf.nl/de-baan-op/banenzoeker/overzicht</x:v>
      </x:c>
      <x:c r="AN17" s="30" t="str">
        <x:v>2026-08-15</x:v>
      </x:c>
      <x:c r="AO17" s="30" t="str">
        <x:v>+31 6-27091551</x:v>
      </x:c>
      <x:c r="AP17" s="30" t="str">
        <x:v>Current NGF/GOLF.NL listing: 9 holes, par 27, 445 metres. Listed as non-qualifying.</x:v>
      </x:c>
    </x:row>
    <x:row r="18">
      <x:c r="A18" s="30" t="str">
        <x:v>NL-C0009</x:v>
      </x:c>
      <x:c r="B18" s="30" t="str">
        <x:v>NL-0017</x:v>
      </x:c>
      <x:c r="C18" s="30" t="str">
        <x:v>Golfparc Sandur</x:v>
      </x:c>
      <x:c r="D18" s="30" t="str">
        <x:v>Golfparc Sandur</x:v>
      </x:c>
      <x:c r="E18" s="30" t="str">
        <x:v>Course</x:v>
      </x:c>
      <x:c r="F18" s="30" t="str">
        <x:v>Netherlands</x:v>
      </x:c>
      <x:c r="G18" s="30" t="str">
        <x:v>Drenthe</x:v>
      </x:c>
      <x:c r="H18" s="30" t="str">
        <x:v>Emmen</x:v>
      </x:c>
      <x:c r="I18" s="30" t="str">
        <x:v>Emmen</x:v>
      </x:c>
      <x:c r="J18" s="30" t="str">
        <x:v>Golfparkdreef 1</x:v>
      </x:c>
      <x:c r="K18" s="30" t="str">
        <x:v>7828 AL</x:v>
      </x:c>
      <x:c r="L18" s="32" t="n">
        <x:v>52.7290205</x:v>
      </x:c>
      <x:c r="M18" s="32" t="n">
        <x:v>6.91340337</x:v>
      </x:c>
      <x:c r="N18" s="30" t="str">
        <x:v>WGS84 / EPSG:4326</x:v>
      </x:c>
      <x:c r="O18" s="30" t="str">
        <x:v>Verified BAG address point via PDOK</x:v>
      </x:c>
      <x:c r="P18" s="30" t="str">
        <x:v>2026-08-15</x:v>
      </x:c>
      <x:c r="Q18" s="33" t="n">
        <x:f>IF(R18="","",ROUND(R18/0.9144,0))</x:f>
        <x:v>2641</x:v>
      </x:c>
      <x:c r="R18" s="33" t="n">
        <x:v>2415</x:v>
      </x:c>
      <x:c r="S18" s="33" t="n">
        <x:v>9</x:v>
      </x:c>
      <x:c r="T18" s="33" t="n">
        <x:v>34</x:v>
      </x:c>
      <x:c r="U18" s="30" t="str">
        <x:v>Full-length course</x:v>
      </x:c>
      <x:c r="V18" s="30"/>
      <x:c r="W18" s="30"/>
      <x:c r="X18" s="30"/>
      <x:c r="Y18" s="30" t="str">
        <x:v>https://www.golfparcsandur.nl/</x:v>
      </x:c>
      <x:c r="Z18" s="30" t="b">
        <x:f>IF(AND(F18="Netherlands",ISNUMBER(L18),ISNUMBER(M18),L18&gt;=50.7,L18&lt;=53.7,M18&gt;=3.2,M18&lt;=7.3,AC18&lt;&gt;"Closed"),TRUE,FALSE)</x:f>
        <x:v>1</x:v>
      </x:c>
      <x:c r="AA18" s="30" t="b">
        <x:f>Z18</x:f>
        <x:v>1</x:v>
      </x:c>
      <x:c r="AB18" s="30" t="str">
        <x:f>IF(Z18,"verified_coordinate_and_open","not_map_ready")</x:f>
        <x:v>verified_coordinate_and_open</x:v>
      </x:c>
      <x:c r="AC18" s="30" t="str">
        <x:v>Open</x:v>
      </x:c>
      <x:c r="AD18" s="30" t="str">
        <x:v>Public — handicap 54 or lower</x:v>
      </x:c>
      <x:c r="AE18" s="31" t="b">
        <x:v>1</x:v>
      </x:c>
      <x:c r="AF18" s="31" t="b">
        <x:v>0</x:v>
      </x:c>
      <x:c r="AG18" s="30"/>
      <x:c r="AH18" s="30"/>
      <x:c r="AI18" s="30"/>
      <x:c r="AJ18" s="31" t="b">
        <x:v>0</x:v>
      </x:c>
      <x:c r="AK18" s="31" t="b">
        <x:v>0</x:v>
      </x:c>
      <x:c r="AL18" s="30" t="str">
        <x:v>Verified — national register and exact BAG address</x:v>
      </x:c>
      <x:c r="AM18" s="30" t="str">
        <x:v>https://www.golf.nl/de-baan-op/banenzoeker/overzicht</x:v>
      </x:c>
      <x:c r="AN18" s="30" t="str">
        <x:v>2026-08-15</x:v>
      </x:c>
      <x:c r="AO18" s="30" t="str">
        <x:v>+31 591-303054</x:v>
      </x:c>
      <x:c r="AP18" s="30" t="str">
        <x:v>Current NGF/GOLF.NL listing: 9 holes, par 34, 2415 metres. Listed as qualifying.</x:v>
      </x:c>
    </x:row>
    <x:row r="19">
      <x:c r="A19" s="30" t="str">
        <x:v>NL-C0010</x:v>
      </x:c>
      <x:c r="B19" s="30" t="str">
        <x:v>NL-0018</x:v>
      </x:c>
      <x:c r="C19" s="30" t="str">
        <x:v>Landgoed Zwartemeer — Shortgolf / Pitch &amp; Putt Course</x:v>
      </x:c>
      <x:c r="D19" s="30" t="str">
        <x:v>Landgoed Zwartemeer</x:v>
      </x:c>
      <x:c r="E19" s="30" t="str">
        <x:v>Shortgolf / Pitch &amp; Putt Course</x:v>
      </x:c>
      <x:c r="F19" s="30" t="str">
        <x:v>Netherlands</x:v>
      </x:c>
      <x:c r="G19" s="30" t="str">
        <x:v>Drenthe</x:v>
      </x:c>
      <x:c r="H19" s="30" t="str">
        <x:v>Emmen</x:v>
      </x:c>
      <x:c r="I19" s="30" t="str">
        <x:v>Zwartemeer</x:v>
      </x:c>
      <x:c r="J19" s="30" t="str">
        <x:v>Verl. van Echtenskanaal NZ 2</x:v>
      </x:c>
      <x:c r="K19" s="30" t="str">
        <x:v>7894 EA</x:v>
      </x:c>
      <x:c r="L19" s="32" t="n">
        <x:v>52.7245166</x:v>
      </x:c>
      <x:c r="M19" s="32" t="n">
        <x:v>7.03203204</x:v>
      </x:c>
      <x:c r="N19" s="30" t="str">
        <x:v>WGS84 / EPSG:4326</x:v>
      </x:c>
      <x:c r="O19" s="30" t="str">
        <x:v>Verified BAG address point via PDOK</x:v>
      </x:c>
      <x:c r="P19" s="30" t="str">
        <x:v>2026-08-15</x:v>
      </x:c>
      <x:c r="Q19" s="33" t="n">
        <x:f>IF(R19="","",ROUND(R19/0.9144,0))</x:f>
        <x:v>984</x:v>
      </x:c>
      <x:c r="R19" s="33" t="n">
        <x:v>900</x:v>
      </x:c>
      <x:c r="S19" s="33" t="n">
        <x:v>18</x:v>
      </x:c>
      <x:c r="T19" s="33" t="n">
        <x:v>54</x:v>
      </x:c>
      <x:c r="U19" s="30" t="str">
        <x:v>Shortgolf / Pitch &amp; Putt</x:v>
      </x:c>
      <x:c r="V19" s="30"/>
      <x:c r="W19" s="30"/>
      <x:c r="X19" s="30"/>
      <x:c r="Y19" s="30" t="str">
        <x:v>https://landgoedzwartemeer.nl/</x:v>
      </x:c>
      <x:c r="Z19" s="30" t="b">
        <x:f>IF(AND(F19="Netherlands",ISNUMBER(L19),ISNUMBER(M19),L19&gt;=50.7,L19&lt;=53.7,M19&gt;=3.2,M19&lt;=7.3,AC19&lt;&gt;"Closed"),TRUE,FALSE)</x:f>
        <x:v>1</x:v>
      </x:c>
      <x:c r="AA19" s="30" t="b">
        <x:f>Z19</x:f>
        <x:v>1</x:v>
      </x:c>
      <x:c r="AB19" s="30" t="str">
        <x:f>IF(Z19,"verified_coordinate_and_open","not_map_ready")</x:f>
        <x:v>verified_coordinate_and_open</x:v>
      </x:c>
      <x:c r="AC19" s="30" t="str">
        <x:v>Open</x:v>
      </x:c>
      <x:c r="AD19" s="30" t="str">
        <x:v>Public — no playing requirement</x:v>
      </x:c>
      <x:c r="AE19" s="31" t="b">
        <x:v>0</x:v>
      </x:c>
      <x:c r="AF19" s="31" t="b">
        <x:v>0</x:v>
      </x:c>
      <x:c r="AG19" s="30"/>
      <x:c r="AH19" s="30"/>
      <x:c r="AI19" s="30"/>
      <x:c r="AJ19" s="31" t="b">
        <x:v>0</x:v>
      </x:c>
      <x:c r="AK19" s="31" t="b">
        <x:v>0</x:v>
      </x:c>
      <x:c r="AL19" s="30" t="str">
        <x:v>Verified — national register and exact BAG address</x:v>
      </x:c>
      <x:c r="AM19" s="30" t="str">
        <x:v>https://www.golf.nl/de-baan-op/banenzoeker/overzicht</x:v>
      </x:c>
      <x:c r="AN19" s="30" t="str">
        <x:v>2026-08-15</x:v>
      </x:c>
      <x:c r="AO19" s="30" t="str">
        <x:v>+31 591-314654</x:v>
      </x:c>
      <x:c r="AP19" s="30" t="str">
        <x:v>Current NGF/GOLF.NL listing: 18 holes, par 54, 900 metres. Combined from exact NGF-listed constituent nine-hole loops: 1ste negen (9 holes, par 27, 450 m); 2de negen (9 holes, par 27, 450 m) Listed as non-qualifying.</x:v>
      </x:c>
    </x:row>
    <x:row r="20">
      <x:c r="A20" s="30" t="str">
        <x:v>NL-C0011</x:v>
      </x:c>
      <x:c r="B20" s="30" t="str">
        <x:v>NL-0019</x:v>
      </x:c>
      <x:c r="C20" s="30" t="str">
        <x:v>Pitch &amp; putt Orvelte — Shortgolf / Pitch &amp; Putt Course</x:v>
      </x:c>
      <x:c r="D20" s="30" t="str">
        <x:v>Pitch &amp; putt Orvelte</x:v>
      </x:c>
      <x:c r="E20" s="30" t="str">
        <x:v>Shortgolf / Pitch &amp; Putt Course</x:v>
      </x:c>
      <x:c r="F20" s="30" t="str">
        <x:v>Netherlands</x:v>
      </x:c>
      <x:c r="G20" s="30" t="str">
        <x:v>Drenthe</x:v>
      </x:c>
      <x:c r="H20" s="30" t="str">
        <x:v>Midden-Drenthe</x:v>
      </x:c>
      <x:c r="I20" s="30" t="str">
        <x:v>Witteveen</x:v>
      </x:c>
      <x:c r="J20" s="30" t="str">
        <x:v>Meester J.b. Kanweg 3</x:v>
      </x:c>
      <x:c r="K20" s="30" t="str">
        <x:v>9439 TD</x:v>
      </x:c>
      <x:c r="L20" s="32" t="n">
        <x:v>52.83428685</x:v>
      </x:c>
      <x:c r="M20" s="32" t="n">
        <x:v>6.66663431</x:v>
      </x:c>
      <x:c r="N20" s="30" t="str">
        <x:v>WGS84 / EPSG:4326</x:v>
      </x:c>
      <x:c r="O20" s="30" t="str">
        <x:v>Verified BAG address point via PDOK</x:v>
      </x:c>
      <x:c r="P20" s="30" t="str">
        <x:v>2026-08-15</x:v>
      </x:c>
      <x:c r="Q20" s="33" t="n">
        <x:f>IF(R20="","",ROUND(R20/0.9144,0))</x:f>
        <x:v>943</x:v>
      </x:c>
      <x:c r="R20" s="33" t="n">
        <x:v>862</x:v>
      </x:c>
      <x:c r="S20" s="33" t="n">
        <x:v>18</x:v>
      </x:c>
      <x:c r="T20" s="33" t="n">
        <x:v>54</x:v>
      </x:c>
      <x:c r="U20" s="30" t="str">
        <x:v>Shortgolf / Pitch &amp; Putt</x:v>
      </x:c>
      <x:c r="V20" s="30"/>
      <x:c r="W20" s="30"/>
      <x:c r="X20" s="30"/>
      <x:c r="Y20" s="30" t="str">
        <x:v>https://www.landal.nl/parken/orveltermarke/</x:v>
      </x:c>
      <x:c r="Z20" s="30" t="b">
        <x:f>IF(AND(F20="Netherlands",ISNUMBER(L20),ISNUMBER(M20),L20&gt;=50.7,L20&lt;=53.7,M20&gt;=3.2,M20&lt;=7.3,AC20&lt;&gt;"Closed"),TRUE,FALSE)</x:f>
        <x:v>1</x:v>
      </x:c>
      <x:c r="AA20" s="30" t="b">
        <x:f>Z20</x:f>
        <x:v>1</x:v>
      </x:c>
      <x:c r="AB20" s="30" t="str">
        <x:f>IF(Z20,"verified_coordinate_and_open","not_map_ready")</x:f>
        <x:v>verified_coordinate_and_open</x:v>
      </x:c>
      <x:c r="AC20" s="30" t="str">
        <x:v>Open</x:v>
      </x:c>
      <x:c r="AD20" s="30" t="str">
        <x:v>Public — no playing requirement</x:v>
      </x:c>
      <x:c r="AE20" s="31" t="b">
        <x:v>0</x:v>
      </x:c>
      <x:c r="AF20" s="31" t="b">
        <x:v>0</x:v>
      </x:c>
      <x:c r="AG20" s="30"/>
      <x:c r="AH20" s="30"/>
      <x:c r="AI20" s="30"/>
      <x:c r="AJ20" s="31" t="b">
        <x:v>0</x:v>
      </x:c>
      <x:c r="AK20" s="31" t="b">
        <x:v>0</x:v>
      </x:c>
      <x:c r="AL20" s="30" t="str">
        <x:v>Verified — national register and exact BAG address</x:v>
      </x:c>
      <x:c r="AM20" s="30" t="str">
        <x:v>https://www.golf.nl/de-baan-op/banenzoeker/overzicht</x:v>
      </x:c>
      <x:c r="AN20" s="30" t="str">
        <x:v>2026-08-15</x:v>
      </x:c>
      <x:c r="AO20" s="30" t="str">
        <x:v>+31 593-564103</x:v>
      </x:c>
      <x:c r="AP20" s="30" t="str">
        <x:v>Current NGF/GOLF.NL listing: 18 holes, par 54, 862 metres. Combined from exact NGF-listed constituent nine-hole loops: 1ste negen (9 holes, par 27, 468 m); 2de negen (9 holes, par 27, 394 m) Listed as non-qualifying.</x:v>
      </x:c>
    </x:row>
    <x:row r="21">
      <x:c r="A21" s="30" t="str">
        <x:v>NL-C0012</x:v>
      </x:c>
      <x:c r="B21" s="30" t="str">
        <x:v>NL-0020</x:v>
      </x:c>
      <x:c r="C21" s="30" t="str">
        <x:v>Golfbaan Dorhout Mees</x:v>
      </x:c>
      <x:c r="D21" s="30" t="str">
        <x:v>Golfbaan Dorhout Mees</x:v>
      </x:c>
      <x:c r="E21" s="30" t="str">
        <x:v>Course</x:v>
      </x:c>
      <x:c r="F21" s="30" t="str">
        <x:v>Netherlands</x:v>
      </x:c>
      <x:c r="G21" s="30" t="str">
        <x:v>Flevoland</x:v>
      </x:c>
      <x:c r="H21" s="30" t="str">
        <x:v>Dronten</x:v>
      </x:c>
      <x:c r="I21" s="30" t="str">
        <x:v>Biddinghuizen</x:v>
      </x:c>
      <x:c r="J21" s="30" t="str">
        <x:v>Strandgaperweg 30</x:v>
      </x:c>
      <x:c r="K21" s="30" t="str">
        <x:v>8256 PZ</x:v>
      </x:c>
      <x:c r="L21" s="32" t="n">
        <x:v>52.40985994</x:v>
      </x:c>
      <x:c r="M21" s="32" t="n">
        <x:v>5.67777005</x:v>
      </x:c>
      <x:c r="N21" s="30" t="str">
        <x:v>WGS84 / EPSG:4326</x:v>
      </x:c>
      <x:c r="O21" s="30" t="str">
        <x:v>Verified BAG address point via PDOK</x:v>
      </x:c>
      <x:c r="P21" s="30" t="str">
        <x:v>2026-08-15</x:v>
      </x:c>
      <x:c r="Q21" s="33" t="n">
        <x:f>IF(R21="","",ROUND(R21/0.9144,0))</x:f>
        <x:v>3024</x:v>
      </x:c>
      <x:c r="R21" s="33" t="n">
        <x:v>2765</x:v>
      </x:c>
      <x:c r="S21" s="33" t="n">
        <x:v>9</x:v>
      </x:c>
      <x:c r="T21" s="33" t="n">
        <x:v>35</x:v>
      </x:c>
      <x:c r="U21" s="30" t="str">
        <x:v>Full-length course</x:v>
      </x:c>
      <x:c r="V21" s="30"/>
      <x:c r="W21" s="30"/>
      <x:c r="X21" s="30"/>
      <x:c r="Y21" s="30" t="str">
        <x:v>https://www.dorhoutmeesgolf.nl/</x:v>
      </x:c>
      <x:c r="Z21" s="30" t="b">
        <x:f>IF(AND(F21="Netherlands",ISNUMBER(L21),ISNUMBER(M21),L21&gt;=50.7,L21&lt;=53.7,M21&gt;=3.2,M21&lt;=7.3,AC21&lt;&gt;"Closed"),TRUE,FALSE)</x:f>
        <x:v>1</x:v>
      </x:c>
      <x:c r="AA21" s="30" t="b">
        <x:f>Z21</x:f>
        <x:v>1</x:v>
      </x:c>
      <x:c r="AB21" s="30" t="str">
        <x:f>IF(Z21,"verified_coordinate_and_open","not_map_ready")</x:f>
        <x:v>verified_coordinate_and_open</x:v>
      </x:c>
      <x:c r="AC21" s="30" t="str">
        <x:v>Open</x:v>
      </x:c>
      <x:c r="AD21" s="30" t="str">
        <x:v>Public — handicap 54 or lower</x:v>
      </x:c>
      <x:c r="AE21" s="31" t="b">
        <x:v>1</x:v>
      </x:c>
      <x:c r="AF21" s="31" t="b">
        <x:v>0</x:v>
      </x:c>
      <x:c r="AG21" s="30"/>
      <x:c r="AH21" s="30"/>
      <x:c r="AI21" s="30"/>
      <x:c r="AJ21" s="31" t="b">
        <x:v>0</x:v>
      </x:c>
      <x:c r="AK21" s="31" t="b">
        <x:v>0</x:v>
      </x:c>
      <x:c r="AL21" s="30" t="str">
        <x:v>Verified — national register and exact BAG address</x:v>
      </x:c>
      <x:c r="AM21" s="30" t="str">
        <x:v>https://www.golf.nl/de-baan-op/banenzoeker/overzicht</x:v>
      </x:c>
      <x:c r="AN21" s="30" t="str">
        <x:v>2026-08-15</x:v>
      </x:c>
      <x:c r="AO21" s="30" t="str">
        <x:v>+31 321-331138</x:v>
      </x:c>
      <x:c r="AP21" s="30" t="str">
        <x:v>Current NGF/GOLF.NL listing: 9 holes, par 35, 2765 metres. Listed as qualifying.</x:v>
      </x:c>
    </x:row>
    <x:row r="22">
      <x:c r="A22" s="30" t="str">
        <x:v>NL-C0013</x:v>
      </x:c>
      <x:c r="B22" s="30" t="str">
        <x:v>NL-0021</x:v>
      </x:c>
      <x:c r="C22" s="30" t="str">
        <x:v>Golfclub Almeerderhout — Gooimeer</x:v>
      </x:c>
      <x:c r="D22" s="30" t="str">
        <x:v>Golfclub Almeerderhout</x:v>
      </x:c>
      <x:c r="E22" s="30" t="str">
        <x:v>Gooimeer</x:v>
      </x:c>
      <x:c r="F22" s="30" t="str">
        <x:v>Netherlands</x:v>
      </x:c>
      <x:c r="G22" s="30" t="str">
        <x:v>Flevoland</x:v>
      </x:c>
      <x:c r="H22" s="30" t="str">
        <x:v>Almere</x:v>
      </x:c>
      <x:c r="I22" s="30" t="str">
        <x:v>Almere</x:v>
      </x:c>
      <x:c r="J22" s="30" t="str">
        <x:v>Watersnipweg 19-21</x:v>
      </x:c>
      <x:c r="K22" s="30" t="str">
        <x:v>1341 AA</x:v>
      </x:c>
      <x:c r="L22" s="32" t="n">
        <x:v>52.34726516</x:v>
      </x:c>
      <x:c r="M22" s="32" t="n">
        <x:v>5.28844461</x:v>
      </x:c>
      <x:c r="N22" s="30" t="str">
        <x:v>WGS84 / EPSG:4326</x:v>
      </x:c>
      <x:c r="O22" s="30" t="str">
        <x:v>Verified BAG address point via PDOK</x:v>
      </x:c>
      <x:c r="P22" s="30" t="str">
        <x:v>2026-08-15</x:v>
      </x:c>
      <x:c r="Q22" s="33" t="n">
        <x:f>IF(R22="","",ROUND(R22/0.9144,0))</x:f>
        <x:v>3404</x:v>
      </x:c>
      <x:c r="R22" s="33" t="n">
        <x:v>3113</x:v>
      </x:c>
      <x:c r="S22" s="33" t="n">
        <x:v>9</x:v>
      </x:c>
      <x:c r="T22" s="33" t="n">
        <x:v>36</x:v>
      </x:c>
      <x:c r="U22" s="30" t="str">
        <x:v>Full-length course</x:v>
      </x:c>
      <x:c r="V22" s="30"/>
      <x:c r="W22" s="30"/>
      <x:c r="X22" s="30"/>
      <x:c r="Y22" s="30" t="str">
        <x:v>https://www.almeerderhout.nl/</x:v>
      </x:c>
      <x:c r="Z22" s="30" t="b">
        <x:f>IF(AND(F22="Netherlands",ISNUMBER(L22),ISNUMBER(M22),L22&gt;=50.7,L22&lt;=53.7,M22&gt;=3.2,M22&lt;=7.3,AC22&lt;&gt;"Closed"),TRUE,FALSE)</x:f>
        <x:v>1</x:v>
      </x:c>
      <x:c r="AA22" s="30" t="b">
        <x:f>Z22</x:f>
        <x:v>1</x:v>
      </x:c>
      <x:c r="AB22" s="30" t="str">
        <x:f>IF(Z22,"verified_coordinate_and_open","not_map_ready")</x:f>
        <x:v>verified_coordinate_and_open</x:v>
      </x:c>
      <x:c r="AC22" s="30" t="str">
        <x:v>Open</x:v>
      </x:c>
      <x:c r="AD22" s="30" t="str">
        <x:v>Public — handicap 54 or lower</x:v>
      </x:c>
      <x:c r="AE22" s="31" t="b">
        <x:v>1</x:v>
      </x:c>
      <x:c r="AF22" s="31" t="b">
        <x:v>0</x:v>
      </x:c>
      <x:c r="AG22" s="30"/>
      <x:c r="AH22" s="30"/>
      <x:c r="AI22" s="30"/>
      <x:c r="AJ22" s="31" t="b">
        <x:v>0</x:v>
      </x:c>
      <x:c r="AK22" s="31" t="b">
        <x:v>0</x:v>
      </x:c>
      <x:c r="AL22" s="30" t="str">
        <x:v>Verified — national register and exact BAG address</x:v>
      </x:c>
      <x:c r="AM22" s="30" t="str">
        <x:v>https://www.golf.nl/de-baan-op/banenzoeker/overzicht</x:v>
      </x:c>
      <x:c r="AN22" s="30" t="str">
        <x:v>2026-08-15</x:v>
      </x:c>
      <x:c r="AO22" s="30" t="str">
        <x:v>+31 36-5219132</x:v>
      </x:c>
      <x:c r="AP22" s="30" t="str">
        <x:v>Current NGF/GOLF.NL listing: 9 holes, par 36, 3113 metres. Listed as qualifying.</x:v>
      </x:c>
    </x:row>
    <x:row r="23">
      <x:c r="A23" s="30" t="str">
        <x:v>NL-C0013</x:v>
      </x:c>
      <x:c r="B23" s="30" t="str">
        <x:v>NL-0022</x:v>
      </x:c>
      <x:c r="C23" s="30" t="str">
        <x:v>Golfclub Almeerderhout — IJmeer</x:v>
      </x:c>
      <x:c r="D23" s="30" t="str">
        <x:v>Golfclub Almeerderhout</x:v>
      </x:c>
      <x:c r="E23" s="30" t="str">
        <x:v>IJmeer</x:v>
      </x:c>
      <x:c r="F23" s="30" t="str">
        <x:v>Netherlands</x:v>
      </x:c>
      <x:c r="G23" s="30" t="str">
        <x:v>Flevoland</x:v>
      </x:c>
      <x:c r="H23" s="30" t="str">
        <x:v>Almere</x:v>
      </x:c>
      <x:c r="I23" s="30" t="str">
        <x:v>Almere</x:v>
      </x:c>
      <x:c r="J23" s="30" t="str">
        <x:v>Watersnipweg 19-21</x:v>
      </x:c>
      <x:c r="K23" s="30" t="str">
        <x:v>1341 AA</x:v>
      </x:c>
      <x:c r="L23" s="32" t="n">
        <x:v>52.34726516</x:v>
      </x:c>
      <x:c r="M23" s="32" t="n">
        <x:v>5.28844461</x:v>
      </x:c>
      <x:c r="N23" s="30" t="str">
        <x:v>WGS84 / EPSG:4326</x:v>
      </x:c>
      <x:c r="O23" s="30" t="str">
        <x:v>Verified BAG address point via PDOK</x:v>
      </x:c>
      <x:c r="P23" s="30" t="str">
        <x:v>2026-08-15</x:v>
      </x:c>
      <x:c r="Q23" s="33" t="n">
        <x:f>IF(R23="","",ROUND(R23/0.9144,0))</x:f>
        <x:v>3406</x:v>
      </x:c>
      <x:c r="R23" s="33" t="n">
        <x:v>3114</x:v>
      </x:c>
      <x:c r="S23" s="33" t="n">
        <x:v>9</x:v>
      </x:c>
      <x:c r="T23" s="33" t="n">
        <x:v>36</x:v>
      </x:c>
      <x:c r="U23" s="30" t="str">
        <x:v>Full-length course</x:v>
      </x:c>
      <x:c r="V23" s="30"/>
      <x:c r="W23" s="30"/>
      <x:c r="X23" s="30"/>
      <x:c r="Y23" s="30" t="str">
        <x:v>https://www.almeerderhout.nl/</x:v>
      </x:c>
      <x:c r="Z23" s="30" t="b">
        <x:f>IF(AND(F23="Netherlands",ISNUMBER(L23),ISNUMBER(M23),L23&gt;=50.7,L23&lt;=53.7,M23&gt;=3.2,M23&lt;=7.3,AC23&lt;&gt;"Closed"),TRUE,FALSE)</x:f>
        <x:v>1</x:v>
      </x:c>
      <x:c r="AA23" s="30" t="b">
        <x:f>Z23</x:f>
        <x:v>1</x:v>
      </x:c>
      <x:c r="AB23" s="30" t="str">
        <x:f>IF(Z23,"verified_coordinate_and_open","not_map_ready")</x:f>
        <x:v>verified_coordinate_and_open</x:v>
      </x:c>
      <x:c r="AC23" s="30" t="str">
        <x:v>Open</x:v>
      </x:c>
      <x:c r="AD23" s="30" t="str">
        <x:v>Public — handicap 54 or lower</x:v>
      </x:c>
      <x:c r="AE23" s="31" t="b">
        <x:v>1</x:v>
      </x:c>
      <x:c r="AF23" s="31" t="b">
        <x:v>0</x:v>
      </x:c>
      <x:c r="AG23" s="30"/>
      <x:c r="AH23" s="30"/>
      <x:c r="AI23" s="30"/>
      <x:c r="AJ23" s="31" t="b">
        <x:v>0</x:v>
      </x:c>
      <x:c r="AK23" s="31" t="b">
        <x:v>0</x:v>
      </x:c>
      <x:c r="AL23" s="30" t="str">
        <x:v>Verified — national register and exact BAG address</x:v>
      </x:c>
      <x:c r="AM23" s="30" t="str">
        <x:v>https://www.golf.nl/de-baan-op/banenzoeker/overzicht</x:v>
      </x:c>
      <x:c r="AN23" s="30" t="str">
        <x:v>2026-08-15</x:v>
      </x:c>
      <x:c r="AO23" s="30" t="str">
        <x:v>+31 36-5219132</x:v>
      </x:c>
      <x:c r="AP23" s="30" t="str">
        <x:v>Current NGF/GOLF.NL listing: 9 holes, par 36, 3114 metres. Listed as qualifying.</x:v>
      </x:c>
    </x:row>
    <x:row r="24">
      <x:c r="A24" s="30" t="str">
        <x:v>NL-C0013</x:v>
      </x:c>
      <x:c r="B24" s="30" t="str">
        <x:v>NL-0023</x:v>
      </x:c>
      <x:c r="C24" s="30" t="str">
        <x:v>Golfclub Almeerderhout — Markermeer</x:v>
      </x:c>
      <x:c r="D24" s="30" t="str">
        <x:v>Golfclub Almeerderhout</x:v>
      </x:c>
      <x:c r="E24" s="30" t="str">
        <x:v>Markermeer</x:v>
      </x:c>
      <x:c r="F24" s="30" t="str">
        <x:v>Netherlands</x:v>
      </x:c>
      <x:c r="G24" s="30" t="str">
        <x:v>Flevoland</x:v>
      </x:c>
      <x:c r="H24" s="30" t="str">
        <x:v>Almere</x:v>
      </x:c>
      <x:c r="I24" s="30" t="str">
        <x:v>Almere</x:v>
      </x:c>
      <x:c r="J24" s="30" t="str">
        <x:v>Watersnipweg 19-21</x:v>
      </x:c>
      <x:c r="K24" s="30" t="str">
        <x:v>1341 AA</x:v>
      </x:c>
      <x:c r="L24" s="32" t="n">
        <x:v>52.34726516</x:v>
      </x:c>
      <x:c r="M24" s="32" t="n">
        <x:v>5.28844461</x:v>
      </x:c>
      <x:c r="N24" s="30" t="str">
        <x:v>WGS84 / EPSG:4326</x:v>
      </x:c>
      <x:c r="O24" s="30" t="str">
        <x:v>Verified BAG address point via PDOK</x:v>
      </x:c>
      <x:c r="P24" s="30" t="str">
        <x:v>2026-08-15</x:v>
      </x:c>
      <x:c r="Q24" s="33" t="n">
        <x:f>IF(R24="","",ROUND(R24/0.9144,0))</x:f>
        <x:v>3517</x:v>
      </x:c>
      <x:c r="R24" s="33" t="n">
        <x:v>3216</x:v>
      </x:c>
      <x:c r="S24" s="33" t="n">
        <x:v>9</x:v>
      </x:c>
      <x:c r="T24" s="33" t="n">
        <x:v>36</x:v>
      </x:c>
      <x:c r="U24" s="30" t="str">
        <x:v>Full-length course</x:v>
      </x:c>
      <x:c r="V24" s="30"/>
      <x:c r="W24" s="30"/>
      <x:c r="X24" s="30"/>
      <x:c r="Y24" s="30" t="str">
        <x:v>https://www.almeerderhout.nl/</x:v>
      </x:c>
      <x:c r="Z24" s="30" t="b">
        <x:f>IF(AND(F24="Netherlands",ISNUMBER(L24),ISNUMBER(M24),L24&gt;=50.7,L24&lt;=53.7,M24&gt;=3.2,M24&lt;=7.3,AC24&lt;&gt;"Closed"),TRUE,FALSE)</x:f>
        <x:v>1</x:v>
      </x:c>
      <x:c r="AA24" s="30" t="b">
        <x:f>Z24</x:f>
        <x:v>1</x:v>
      </x:c>
      <x:c r="AB24" s="30" t="str">
        <x:f>IF(Z24,"verified_coordinate_and_open","not_map_ready")</x:f>
        <x:v>verified_coordinate_and_open</x:v>
      </x:c>
      <x:c r="AC24" s="30" t="str">
        <x:v>Open</x:v>
      </x:c>
      <x:c r="AD24" s="30" t="str">
        <x:v>Public — handicap 54 or lower</x:v>
      </x:c>
      <x:c r="AE24" s="31" t="b">
        <x:v>1</x:v>
      </x:c>
      <x:c r="AF24" s="31" t="b">
        <x:v>0</x:v>
      </x:c>
      <x:c r="AG24" s="30"/>
      <x:c r="AH24" s="30"/>
      <x:c r="AI24" s="30"/>
      <x:c r="AJ24" s="31" t="b">
        <x:v>0</x:v>
      </x:c>
      <x:c r="AK24" s="31" t="b">
        <x:v>0</x:v>
      </x:c>
      <x:c r="AL24" s="30" t="str">
        <x:v>Verified — national register and exact BAG address</x:v>
      </x:c>
      <x:c r="AM24" s="30" t="str">
        <x:v>https://www.golf.nl/de-baan-op/banenzoeker/overzicht</x:v>
      </x:c>
      <x:c r="AN24" s="30" t="str">
        <x:v>2026-08-15</x:v>
      </x:c>
      <x:c r="AO24" s="30" t="str">
        <x:v>+31 36-5219132</x:v>
      </x:c>
      <x:c r="AP24" s="30" t="str">
        <x:v>Current NGF/GOLF.NL listing: 9 holes, par 36, 3216 metres. Listed as qualifying.</x:v>
      </x:c>
    </x:row>
    <x:row r="25">
      <x:c r="A25" s="30" t="str">
        <x:v>NL-C0013</x:v>
      </x:c>
      <x:c r="B25" s="30" t="str">
        <x:v>NL-0024</x:v>
      </x:c>
      <x:c r="C25" s="30" t="str">
        <x:v>Golfclub Almeerderhout — Par-3 Course</x:v>
      </x:c>
      <x:c r="D25" s="30" t="str">
        <x:v>Golfclub Almeerderhout</x:v>
      </x:c>
      <x:c r="E25" s="30" t="str">
        <x:v>Par-3 Course</x:v>
      </x:c>
      <x:c r="F25" s="30" t="str">
        <x:v>Netherlands</x:v>
      </x:c>
      <x:c r="G25" s="30" t="str">
        <x:v>Flevoland</x:v>
      </x:c>
      <x:c r="H25" s="30" t="str">
        <x:v>Almere</x:v>
      </x:c>
      <x:c r="I25" s="30" t="str">
        <x:v>Almere</x:v>
      </x:c>
      <x:c r="J25" s="30" t="str">
        <x:v>Watersnipweg 19-21</x:v>
      </x:c>
      <x:c r="K25" s="30" t="str">
        <x:v>1341 AA</x:v>
      </x:c>
      <x:c r="L25" s="32" t="n">
        <x:v>52.34726516</x:v>
      </x:c>
      <x:c r="M25" s="32" t="n">
        <x:v>5.28844461</x:v>
      </x:c>
      <x:c r="N25" s="30" t="str">
        <x:v>WGS84 / EPSG:4326</x:v>
      </x:c>
      <x:c r="O25" s="30" t="str">
        <x:v>Verified BAG address point via PDOK</x:v>
      </x:c>
      <x:c r="P25" s="30" t="str">
        <x:v>2026-08-15</x:v>
      </x:c>
      <x:c r="Q25" s="33" t="n">
        <x:f>IF(R25="","",ROUND(R25/0.9144,0))</x:f>
        <x:v>1153</x:v>
      </x:c>
      <x:c r="R25" s="33" t="n">
        <x:v>1054</x:v>
      </x:c>
      <x:c r="S25" s="33" t="n">
        <x:v>9</x:v>
      </x:c>
      <x:c r="T25" s="33" t="n">
        <x:v>27</x:v>
      </x:c>
      <x:c r="U25" s="30" t="str">
        <x:v>Par-3 course</x:v>
      </x:c>
      <x:c r="V25" s="30"/>
      <x:c r="W25" s="30"/>
      <x:c r="X25" s="30"/>
      <x:c r="Y25" s="30" t="str">
        <x:v>https://www.almeerderhout.nl/</x:v>
      </x:c>
      <x:c r="Z25" s="30" t="b">
        <x:f>IF(AND(F25="Netherlands",ISNUMBER(L25),ISNUMBER(M25),L25&gt;=50.7,L25&lt;=53.7,M25&gt;=3.2,M25&lt;=7.3,AC25&lt;&gt;"Closed"),TRUE,FALSE)</x:f>
        <x:v>1</x:v>
      </x:c>
      <x:c r="AA25" s="30" t="b">
        <x:f>Z25</x:f>
        <x:v>1</x:v>
      </x:c>
      <x:c r="AB25" s="30" t="str">
        <x:f>IF(Z25,"verified_coordinate_and_open","not_map_ready")</x:f>
        <x:v>verified_coordinate_and_open</x:v>
      </x:c>
      <x:c r="AC25" s="30" t="str">
        <x:v>Open</x:v>
      </x:c>
      <x:c r="AD25" s="30" t="str">
        <x:v>Public — NGF course permission</x:v>
      </x:c>
      <x:c r="AE25" s="31" t="b">
        <x:v>1</x:v>
      </x:c>
      <x:c r="AF25" s="31" t="b">
        <x:v>0</x:v>
      </x:c>
      <x:c r="AG25" s="30"/>
      <x:c r="AH25" s="30"/>
      <x:c r="AI25" s="30"/>
      <x:c r="AJ25" s="31" t="b">
        <x:v>0</x:v>
      </x:c>
      <x:c r="AK25" s="31" t="b">
        <x:v>0</x:v>
      </x:c>
      <x:c r="AL25" s="30" t="str">
        <x:v>Verified — national register and exact BAG address</x:v>
      </x:c>
      <x:c r="AM25" s="30" t="str">
        <x:v>https://www.golf.nl/de-baan-op/banenzoeker/overzicht</x:v>
      </x:c>
      <x:c r="AN25" s="30" t="str">
        <x:v>2026-08-15</x:v>
      </x:c>
      <x:c r="AO25" s="30" t="str">
        <x:v>+31 36-5219132</x:v>
      </x:c>
      <x:c r="AP25" s="30" t="str">
        <x:v>Current NGF/GOLF.NL listing: 9 holes, par 27, 1054 metres. Listed as qualifying.</x:v>
      </x:c>
    </x:row>
    <x:row r="26">
      <x:c r="A26" s="30" t="str">
        <x:v>NL-C0014</x:v>
      </x:c>
      <x:c r="B26" s="30" t="str">
        <x:v>NL-0025</x:v>
      </x:c>
      <x:c r="C26" s="30" t="str">
        <x:v>Golfclub Emmeloord — Main Course</x:v>
      </x:c>
      <x:c r="D26" s="30" t="str">
        <x:v>Golfclub Emmeloord</x:v>
      </x:c>
      <x:c r="E26" s="30" t="str">
        <x:v>Main Course</x:v>
      </x:c>
      <x:c r="F26" s="30" t="str">
        <x:v>Netherlands</x:v>
      </x:c>
      <x:c r="G26" s="30" t="str">
        <x:v>Flevoland</x:v>
      </x:c>
      <x:c r="H26" s="30" t="str">
        <x:v>Noordoostpolder</x:v>
      </x:c>
      <x:c r="I26" s="30" t="str">
        <x:v>Emmeloord</x:v>
      </x:c>
      <x:c r="J26" s="30" t="str">
        <x:v>Casteleynsweg 6</x:v>
      </x:c>
      <x:c r="K26" s="30" t="str">
        <x:v>8305 AN</x:v>
      </x:c>
      <x:c r="L26" s="32" t="n">
        <x:v>52.73946644</x:v>
      </x:c>
      <x:c r="M26" s="32" t="n">
        <x:v>5.7807728</x:v>
      </x:c>
      <x:c r="N26" s="30" t="str">
        <x:v>WGS84 / EPSG:4326</x:v>
      </x:c>
      <x:c r="O26" s="30" t="str">
        <x:v>Verified BAG address point via PDOK</x:v>
      </x:c>
      <x:c r="P26" s="30" t="str">
        <x:v>2026-08-15</x:v>
      </x:c>
      <x:c r="Q26" s="33" t="n">
        <x:f>IF(R26="","",ROUND(R26/0.9144,0))</x:f>
        <x:v>3297</x:v>
      </x:c>
      <x:c r="R26" s="33" t="n">
        <x:v>3015</x:v>
      </x:c>
      <x:c r="S26" s="33" t="n">
        <x:v>9</x:v>
      </x:c>
      <x:c r="T26" s="33" t="n">
        <x:v>36</x:v>
      </x:c>
      <x:c r="U26" s="30" t="str">
        <x:v>Full-length course</x:v>
      </x:c>
      <x:c r="V26" s="30"/>
      <x:c r="W26" s="30"/>
      <x:c r="X26" s="30"/>
      <x:c r="Y26" s="30" t="str">
        <x:v>https://golfclub-emmeloord.nl/</x:v>
      </x:c>
      <x:c r="Z26" s="30" t="b">
        <x:f>IF(AND(F26="Netherlands",ISNUMBER(L26),ISNUMBER(M26),L26&gt;=50.7,L26&lt;=53.7,M26&gt;=3.2,M26&lt;=7.3,AC26&lt;&gt;"Closed"),TRUE,FALSE)</x:f>
        <x:v>1</x:v>
      </x:c>
      <x:c r="AA26" s="30" t="b">
        <x:f>Z26</x:f>
        <x:v>1</x:v>
      </x:c>
      <x:c r="AB26" s="30" t="str">
        <x:f>IF(Z26,"verified_coordinate_and_open","not_map_ready")</x:f>
        <x:v>verified_coordinate_and_open</x:v>
      </x:c>
      <x:c r="AC26" s="30" t="str">
        <x:v>Open</x:v>
      </x:c>
      <x:c r="AD26" s="30" t="str">
        <x:v>Public — handicap 54 or lower</x:v>
      </x:c>
      <x:c r="AE26" s="31" t="b">
        <x:v>1</x:v>
      </x:c>
      <x:c r="AF26" s="31" t="b">
        <x:v>0</x:v>
      </x:c>
      <x:c r="AG26" s="30"/>
      <x:c r="AH26" s="30"/>
      <x:c r="AI26" s="30"/>
      <x:c r="AJ26" s="31" t="b">
        <x:v>0</x:v>
      </x:c>
      <x:c r="AK26" s="31" t="b">
        <x:v>0</x:v>
      </x:c>
      <x:c r="AL26" s="30" t="str">
        <x:v>Verified — national register and exact BAG address</x:v>
      </x:c>
      <x:c r="AM26" s="30" t="str">
        <x:v>https://www.golf.nl/de-baan-op/banenzoeker/overzicht</x:v>
      </x:c>
      <x:c r="AN26" s="30" t="str">
        <x:v>2026-08-15</x:v>
      </x:c>
      <x:c r="AO26" s="30" t="str">
        <x:v>+31 527-615533</x:v>
      </x:c>
      <x:c r="AP26" s="30" t="str">
        <x:v>Current NGF/GOLF.NL listing: 9 holes, par 36, 3015 metres. Listed as qualifying.</x:v>
      </x:c>
    </x:row>
    <x:row r="27">
      <x:c r="A27" s="30" t="str">
        <x:v>NL-C0014</x:v>
      </x:c>
      <x:c r="B27" s="30" t="str">
        <x:v>NL-0026</x:v>
      </x:c>
      <x:c r="C27" s="30" t="str">
        <x:v>Golfclub Emmeloord — Par-3 Course</x:v>
      </x:c>
      <x:c r="D27" s="30" t="str">
        <x:v>Golfclub Emmeloord</x:v>
      </x:c>
      <x:c r="E27" s="30" t="str">
        <x:v>Par-3 Course</x:v>
      </x:c>
      <x:c r="F27" s="30" t="str">
        <x:v>Netherlands</x:v>
      </x:c>
      <x:c r="G27" s="30" t="str">
        <x:v>Flevoland</x:v>
      </x:c>
      <x:c r="H27" s="30" t="str">
        <x:v>Noordoostpolder</x:v>
      </x:c>
      <x:c r="I27" s="30" t="str">
        <x:v>Emmeloord</x:v>
      </x:c>
      <x:c r="J27" s="30" t="str">
        <x:v>Casteleynsweg 6</x:v>
      </x:c>
      <x:c r="K27" s="30" t="str">
        <x:v>8305 AN</x:v>
      </x:c>
      <x:c r="L27" s="32" t="n">
        <x:v>52.73946644</x:v>
      </x:c>
      <x:c r="M27" s="32" t="n">
        <x:v>5.7807728</x:v>
      </x:c>
      <x:c r="N27" s="30" t="str">
        <x:v>WGS84 / EPSG:4326</x:v>
      </x:c>
      <x:c r="O27" s="30" t="str">
        <x:v>Verified BAG address point via PDOK</x:v>
      </x:c>
      <x:c r="P27" s="30" t="str">
        <x:v>2026-08-15</x:v>
      </x:c>
      <x:c r="Q27" s="33" t="n">
        <x:f>IF(R27="","",ROUND(R27/0.9144,0))</x:f>
        <x:v>844</x:v>
      </x:c>
      <x:c r="R27" s="33" t="n">
        <x:v>772</x:v>
      </x:c>
      <x:c r="S27" s="33" t="n">
        <x:v>9</x:v>
      </x:c>
      <x:c r="T27" s="33" t="n">
        <x:v>27</x:v>
      </x:c>
      <x:c r="U27" s="30" t="str">
        <x:v>Par-3 course</x:v>
      </x:c>
      <x:c r="V27" s="30"/>
      <x:c r="W27" s="30"/>
      <x:c r="X27" s="30"/>
      <x:c r="Y27" s="30" t="str">
        <x:v>https://golfclub-emmeloord.nl/</x:v>
      </x:c>
      <x:c r="Z27" s="30" t="b">
        <x:f>IF(AND(F27="Netherlands",ISNUMBER(L27),ISNUMBER(M27),L27&gt;=50.7,L27&lt;=53.7,M27&gt;=3.2,M27&lt;=7.3,AC27&lt;&gt;"Closed"),TRUE,FALSE)</x:f>
        <x:v>1</x:v>
      </x:c>
      <x:c r="AA27" s="30" t="b">
        <x:f>Z27</x:f>
        <x:v>1</x:v>
      </x:c>
      <x:c r="AB27" s="30" t="str">
        <x:f>IF(Z27,"verified_coordinate_and_open","not_map_ready")</x:f>
        <x:v>verified_coordinate_and_open</x:v>
      </x:c>
      <x:c r="AC27" s="30" t="str">
        <x:v>Open</x:v>
      </x:c>
      <x:c r="AD27" s="30" t="str">
        <x:v>Public — handicap 54 or lower</x:v>
      </x:c>
      <x:c r="AE27" s="31" t="b">
        <x:v>1</x:v>
      </x:c>
      <x:c r="AF27" s="31" t="b">
        <x:v>0</x:v>
      </x:c>
      <x:c r="AG27" s="30"/>
      <x:c r="AH27" s="30"/>
      <x:c r="AI27" s="30"/>
      <x:c r="AJ27" s="31" t="b">
        <x:v>0</x:v>
      </x:c>
      <x:c r="AK27" s="31" t="b">
        <x:v>0</x:v>
      </x:c>
      <x:c r="AL27" s="30" t="str">
        <x:v>Verified — national register and exact BAG address</x:v>
      </x:c>
      <x:c r="AM27" s="30" t="str">
        <x:v>https://www.golf.nl/de-baan-op/banenzoeker/overzicht</x:v>
      </x:c>
      <x:c r="AN27" s="30" t="str">
        <x:v>2026-08-15</x:v>
      </x:c>
      <x:c r="AO27" s="30" t="str">
        <x:v>+31 527-615533</x:v>
      </x:c>
      <x:c r="AP27" s="30" t="str">
        <x:v>Current NGF/GOLF.NL listing: 9 holes, par 27, 772 metres. Listed as qualifying.</x:v>
      </x:c>
    </x:row>
    <x:row r="28">
      <x:c r="A28" s="30" t="str">
        <x:v>NL-C0015</x:v>
      </x:c>
      <x:c r="B28" s="30" t="str">
        <x:v>NL-0027</x:v>
      </x:c>
      <x:c r="C28" s="30" t="str">
        <x:v>Golfclub Flevoland</x:v>
      </x:c>
      <x:c r="D28" s="30" t="str">
        <x:v>Golfclub Flevoland</x:v>
      </x:c>
      <x:c r="E28" s="30" t="str">
        <x:v>Course</x:v>
      </x:c>
      <x:c r="F28" s="30" t="str">
        <x:v>Netherlands</x:v>
      </x:c>
      <x:c r="G28" s="30" t="str">
        <x:v>Flevoland</x:v>
      </x:c>
      <x:c r="H28" s="30" t="str">
        <x:v>Lelystad</x:v>
      </x:c>
      <x:c r="I28" s="30" t="str">
        <x:v>Lelystad</x:v>
      </x:c>
      <x:c r="J28" s="30" t="str">
        <x:v>Parlaan 33</x:v>
      </x:c>
      <x:c r="K28" s="30" t="str">
        <x:v>8241 BE</x:v>
      </x:c>
      <x:c r="L28" s="32" t="n">
        <x:v>52.54210486</x:v>
      </x:c>
      <x:c r="M28" s="32" t="n">
        <x:v>5.45672971</x:v>
      </x:c>
      <x:c r="N28" s="30" t="str">
        <x:v>WGS84 / EPSG:4326</x:v>
      </x:c>
      <x:c r="O28" s="30" t="str">
        <x:v>Verified BAG address point via PDOK</x:v>
      </x:c>
      <x:c r="P28" s="30" t="str">
        <x:v>2026-08-15</x:v>
      </x:c>
      <x:c r="Q28" s="33" t="n">
        <x:f>IF(R28="","",ROUND(R28/0.9144,0))</x:f>
        <x:v>4105</x:v>
      </x:c>
      <x:c r="R28" s="33" t="n">
        <x:v>3754</x:v>
      </x:c>
      <x:c r="S28" s="33" t="n">
        <x:v>12</x:v>
      </x:c>
      <x:c r="T28" s="33" t="n">
        <x:v>47</x:v>
      </x:c>
      <x:c r="U28" s="30" t="str">
        <x:v>Full-length course</x:v>
      </x:c>
      <x:c r="V28" s="30"/>
      <x:c r="W28" s="30"/>
      <x:c r="X28" s="30"/>
      <x:c r="Y28" s="30" t="str">
        <x:v>https://www.gcflevoland.nl/</x:v>
      </x:c>
      <x:c r="Z28" s="30" t="b">
        <x:f>IF(AND(F28="Netherlands",ISNUMBER(L28),ISNUMBER(M28),L28&gt;=50.7,L28&lt;=53.7,M28&gt;=3.2,M28&lt;=7.3,AC28&lt;&gt;"Closed"),TRUE,FALSE)</x:f>
        <x:v>1</x:v>
      </x:c>
      <x:c r="AA28" s="30" t="b">
        <x:f>Z28</x:f>
        <x:v>1</x:v>
      </x:c>
      <x:c r="AB28" s="30" t="str">
        <x:f>IF(Z28,"verified_coordinate_and_open","not_map_ready")</x:f>
        <x:v>verified_coordinate_and_open</x:v>
      </x:c>
      <x:c r="AC28" s="30" t="str">
        <x:v>Open</x:v>
      </x:c>
      <x:c r="AD28" s="30" t="str">
        <x:v>Public — handicap 54 or lower</x:v>
      </x:c>
      <x:c r="AE28" s="31" t="b">
        <x:v>1</x:v>
      </x:c>
      <x:c r="AF28" s="31" t="b">
        <x:v>0</x:v>
      </x:c>
      <x:c r="AG28" s="30"/>
      <x:c r="AH28" s="30"/>
      <x:c r="AI28" s="30"/>
      <x:c r="AJ28" s="31" t="b">
        <x:v>0</x:v>
      </x:c>
      <x:c r="AK28" s="31" t="b">
        <x:v>0</x:v>
      </x:c>
      <x:c r="AL28" s="30" t="str">
        <x:v>Verified — national register and exact BAG address</x:v>
      </x:c>
      <x:c r="AM28" s="30" t="str">
        <x:v>https://www.golf.nl/de-baan-op/banenzoeker/overzicht</x:v>
      </x:c>
      <x:c r="AN28" s="30" t="str">
        <x:v>2026-08-15</x:v>
      </x:c>
      <x:c r="AO28" s="30" t="str">
        <x:v>+31 320-230077</x:v>
      </x:c>
      <x:c r="AP28" s="30" t="str">
        <x:v>Current NGF/GOLF.NL listing: 12 holes, par 47, 3754 metres. Listed as qualifying.</x:v>
      </x:c>
    </x:row>
    <x:row r="29">
      <x:c r="A29" s="30" t="str">
        <x:v>NL-C0016</x:v>
      </x:c>
      <x:c r="B29" s="30" t="str">
        <x:v>NL-0028</x:v>
      </x:c>
      <x:c r="C29" s="30" t="str">
        <x:v>Golfclub Golfresidentie Dronten — Main Course</x:v>
      </x:c>
      <x:c r="D29" s="30" t="str">
        <x:v>Golfclub Golfresidentie Dronten</x:v>
      </x:c>
      <x:c r="E29" s="30" t="str">
        <x:v>Main Course</x:v>
      </x:c>
      <x:c r="F29" s="30" t="str">
        <x:v>Netherlands</x:v>
      </x:c>
      <x:c r="G29" s="30" t="str">
        <x:v>Flevoland</x:v>
      </x:c>
      <x:c r="H29" s="30" t="str">
        <x:v>Dronten</x:v>
      </x:c>
      <x:c r="I29" s="30" t="str">
        <x:v>Dronten</x:v>
      </x:c>
      <x:c r="J29" s="30" t="str">
        <x:v>Golfresidentie 129</x:v>
      </x:c>
      <x:c r="K29" s="30" t="str">
        <x:v>8251 NS</x:v>
      </x:c>
      <x:c r="L29" s="32" t="n">
        <x:v>52.50035221</x:v>
      </x:c>
      <x:c r="M29" s="32" t="n">
        <x:v>5.71046503</x:v>
      </x:c>
      <x:c r="N29" s="30" t="str">
        <x:v>WGS84 / EPSG:4326</x:v>
      </x:c>
      <x:c r="O29" s="30" t="str">
        <x:v>Verified BAG address point via PDOK</x:v>
      </x:c>
      <x:c r="P29" s="30" t="str">
        <x:v>2026-08-15</x:v>
      </x:c>
      <x:c r="Q29" s="33" t="n">
        <x:f>IF(R29="","",ROUND(R29/0.9144,0))</x:f>
        <x:v>6705</x:v>
      </x:c>
      <x:c r="R29" s="33" t="n">
        <x:v>6131</x:v>
      </x:c>
      <x:c r="S29" s="33" t="n">
        <x:v>18</x:v>
      </x:c>
      <x:c r="T29" s="33" t="n">
        <x:v>72</x:v>
      </x:c>
      <x:c r="U29" s="30" t="str">
        <x:v>Full-length course</x:v>
      </x:c>
      <x:c r="V29" s="30"/>
      <x:c r="W29" s="30"/>
      <x:c r="X29" s="30"/>
      <x:c r="Y29" s="30" t="str">
        <x:v>https://golfresidentie.nl/</x:v>
      </x:c>
      <x:c r="Z29" s="30" t="b">
        <x:f>IF(AND(F29="Netherlands",ISNUMBER(L29),ISNUMBER(M29),L29&gt;=50.7,L29&lt;=53.7,M29&gt;=3.2,M29&lt;=7.3,AC29&lt;&gt;"Closed"),TRUE,FALSE)</x:f>
        <x:v>1</x:v>
      </x:c>
      <x:c r="AA29" s="30" t="b">
        <x:f>Z29</x:f>
        <x:v>1</x:v>
      </x:c>
      <x:c r="AB29" s="30" t="str">
        <x:f>IF(Z29,"verified_coordinate_and_open","not_map_ready")</x:f>
        <x:v>verified_coordinate_and_open</x:v>
      </x:c>
      <x:c r="AC29" s="30" t="str">
        <x:v>Open</x:v>
      </x:c>
      <x:c r="AD29" s="30" t="str">
        <x:v>Public — handicap 54 or lower</x:v>
      </x:c>
      <x:c r="AE29" s="31" t="b">
        <x:v>1</x:v>
      </x:c>
      <x:c r="AF29" s="31" t="b">
        <x:v>0</x:v>
      </x:c>
      <x:c r="AG29" s="30"/>
      <x:c r="AH29" s="30"/>
      <x:c r="AI29" s="30"/>
      <x:c r="AJ29" s="31" t="b">
        <x:v>0</x:v>
      </x:c>
      <x:c r="AK29" s="31" t="b">
        <x:v>0</x:v>
      </x:c>
      <x:c r="AL29" s="30" t="str">
        <x:v>Verified — national register and exact BAG address</x:v>
      </x:c>
      <x:c r="AM29" s="30" t="str">
        <x:v>https://www.golf.nl/de-baan-op/banenzoeker/overzicht</x:v>
      </x:c>
      <x:c r="AN29" s="30" t="str">
        <x:v>2026-08-15</x:v>
      </x:c>
      <x:c r="AO29" s="30" t="str">
        <x:v>+31 321-336618</x:v>
      </x:c>
      <x:c r="AP29" s="30" t="str">
        <x:v>Current NGF/GOLF.NL listing: 18 holes, par 72, 6131 metres. Combined from exact NGF-listed constituent nine-hole loops: 1ste negen (9 holes, par 35, 2747 m); 2de negen (9 holes, par 37, 3384 m) Listed as qualifying.</x:v>
      </x:c>
    </x:row>
    <x:row r="30">
      <x:c r="A30" s="30" t="str">
        <x:v>NL-C0017</x:v>
      </x:c>
      <x:c r="B30" s="30" t="str">
        <x:v>NL-0029</x:v>
      </x:c>
      <x:c r="C30" s="30" t="str">
        <x:v>Golfclub Zeewolde — Aak</x:v>
      </x:c>
      <x:c r="D30" s="30" t="str">
        <x:v>Golfclub Zeewolde</x:v>
      </x:c>
      <x:c r="E30" s="30" t="str">
        <x:v>Aak</x:v>
      </x:c>
      <x:c r="F30" s="30" t="str">
        <x:v>Netherlands</x:v>
      </x:c>
      <x:c r="G30" s="30" t="str">
        <x:v>Flevoland</x:v>
      </x:c>
      <x:c r="H30" s="30" t="str">
        <x:v>Zeewolde</x:v>
      </x:c>
      <x:c r="I30" s="30" t="str">
        <x:v>Zeewolde</x:v>
      </x:c>
      <x:c r="J30" s="30" t="str">
        <x:v>Golflaan 1</x:v>
      </x:c>
      <x:c r="K30" s="30" t="str">
        <x:v>3896 LL</x:v>
      </x:c>
      <x:c r="L30" s="32" t="n">
        <x:v>52.32401001</x:v>
      </x:c>
      <x:c r="M30" s="32" t="n">
        <x:v>5.5070426</x:v>
      </x:c>
      <x:c r="N30" s="30" t="str">
        <x:v>WGS84 / EPSG:4326</x:v>
      </x:c>
      <x:c r="O30" s="30" t="str">
        <x:v>Verified BAG address point via PDOK</x:v>
      </x:c>
      <x:c r="P30" s="30" t="str">
        <x:v>2026-08-15</x:v>
      </x:c>
      <x:c r="Q30" s="33" t="n">
        <x:f>IF(R30="","",ROUND(R30/0.9144,0))</x:f>
        <x:v>3416</x:v>
      </x:c>
      <x:c r="R30" s="33" t="n">
        <x:v>3124</x:v>
      </x:c>
      <x:c r="S30" s="33" t="n">
        <x:v>9</x:v>
      </x:c>
      <x:c r="T30" s="33" t="n">
        <x:v>36</x:v>
      </x:c>
      <x:c r="U30" s="30" t="str">
        <x:v>Full-length course</x:v>
      </x:c>
      <x:c r="V30" s="30"/>
      <x:c r="W30" s="30"/>
      <x:c r="X30" s="30"/>
      <x:c r="Y30" s="30" t="str">
        <x:v>https://www.golfclub-zeewolde.nl/</x:v>
      </x:c>
      <x:c r="Z30" s="30" t="b">
        <x:f>IF(AND(F30="Netherlands",ISNUMBER(L30),ISNUMBER(M30),L30&gt;=50.7,L30&lt;=53.7,M30&gt;=3.2,M30&lt;=7.3,AC30&lt;&gt;"Closed"),TRUE,FALSE)</x:f>
        <x:v>1</x:v>
      </x:c>
      <x:c r="AA30" s="30" t="b">
        <x:f>Z30</x:f>
        <x:v>1</x:v>
      </x:c>
      <x:c r="AB30" s="30" t="str">
        <x:f>IF(Z30,"verified_coordinate_and_open","not_map_ready")</x:f>
        <x:v>verified_coordinate_and_open</x:v>
      </x:c>
      <x:c r="AC30" s="30" t="str">
        <x:v>Open</x:v>
      </x:c>
      <x:c r="AD30" s="30" t="str">
        <x:v>Public — handicap 54 or lower</x:v>
      </x:c>
      <x:c r="AE30" s="31" t="b">
        <x:v>1</x:v>
      </x:c>
      <x:c r="AF30" s="31" t="b">
        <x:v>0</x:v>
      </x:c>
      <x:c r="AG30" s="30"/>
      <x:c r="AH30" s="30"/>
      <x:c r="AI30" s="30"/>
      <x:c r="AJ30" s="31" t="b">
        <x:v>0</x:v>
      </x:c>
      <x:c r="AK30" s="31" t="b">
        <x:v>0</x:v>
      </x:c>
      <x:c r="AL30" s="30" t="str">
        <x:v>Verified — national register and exact BAG address</x:v>
      </x:c>
      <x:c r="AM30" s="30" t="str">
        <x:v>https://www.golf.nl/de-baan-op/banenzoeker/overzicht</x:v>
      </x:c>
      <x:c r="AN30" s="30" t="str">
        <x:v>2026-08-15</x:v>
      </x:c>
      <x:c r="AO30" s="30" t="str">
        <x:v>+31 36-5225831</x:v>
      </x:c>
      <x:c r="AP30" s="30" t="str">
        <x:v>Current NGF/GOLF.NL listing: 9 holes, par 36, 3124 metres. Listed as qualifying.</x:v>
      </x:c>
    </x:row>
    <x:row r="31">
      <x:c r="A31" s="30" t="str">
        <x:v>NL-C0017</x:v>
      </x:c>
      <x:c r="B31" s="30" t="str">
        <x:v>NL-0030</x:v>
      </x:c>
      <x:c r="C31" s="30" t="str">
        <x:v>Golfclub Zeewolde — Botter</x:v>
      </x:c>
      <x:c r="D31" s="30" t="str">
        <x:v>Golfclub Zeewolde</x:v>
      </x:c>
      <x:c r="E31" s="30" t="str">
        <x:v>Botter</x:v>
      </x:c>
      <x:c r="F31" s="30" t="str">
        <x:v>Netherlands</x:v>
      </x:c>
      <x:c r="G31" s="30" t="str">
        <x:v>Flevoland</x:v>
      </x:c>
      <x:c r="H31" s="30" t="str">
        <x:v>Zeewolde</x:v>
      </x:c>
      <x:c r="I31" s="30" t="str">
        <x:v>Zeewolde</x:v>
      </x:c>
      <x:c r="J31" s="30" t="str">
        <x:v>Golflaan 1</x:v>
      </x:c>
      <x:c r="K31" s="30" t="str">
        <x:v>3896 LL</x:v>
      </x:c>
      <x:c r="L31" s="32" t="n">
        <x:v>52.32401001</x:v>
      </x:c>
      <x:c r="M31" s="32" t="n">
        <x:v>5.5070426</x:v>
      </x:c>
      <x:c r="N31" s="30" t="str">
        <x:v>WGS84 / EPSG:4326</x:v>
      </x:c>
      <x:c r="O31" s="30" t="str">
        <x:v>Verified BAG address point via PDOK</x:v>
      </x:c>
      <x:c r="P31" s="30" t="str">
        <x:v>2026-08-15</x:v>
      </x:c>
      <x:c r="Q31" s="33" t="n">
        <x:f>IF(R31="","",ROUND(R31/0.9144,0))</x:f>
        <x:v>3425</x:v>
      </x:c>
      <x:c r="R31" s="33" t="n">
        <x:v>3132</x:v>
      </x:c>
      <x:c r="S31" s="33" t="n">
        <x:v>9</x:v>
      </x:c>
      <x:c r="T31" s="33" t="n">
        <x:v>36</x:v>
      </x:c>
      <x:c r="U31" s="30" t="str">
        <x:v>Full-length course</x:v>
      </x:c>
      <x:c r="V31" s="30"/>
      <x:c r="W31" s="30"/>
      <x:c r="X31" s="30"/>
      <x:c r="Y31" s="30" t="str">
        <x:v>https://www.golfclub-zeewolde.nl/</x:v>
      </x:c>
      <x:c r="Z31" s="30" t="b">
        <x:f>IF(AND(F31="Netherlands",ISNUMBER(L31),ISNUMBER(M31),L31&gt;=50.7,L31&lt;=53.7,M31&gt;=3.2,M31&lt;=7.3,AC31&lt;&gt;"Closed"),TRUE,FALSE)</x:f>
        <x:v>1</x:v>
      </x:c>
      <x:c r="AA31" s="30" t="b">
        <x:f>Z31</x:f>
        <x:v>1</x:v>
      </x:c>
      <x:c r="AB31" s="30" t="str">
        <x:f>IF(Z31,"verified_coordinate_and_open","not_map_ready")</x:f>
        <x:v>verified_coordinate_and_open</x:v>
      </x:c>
      <x:c r="AC31" s="30" t="str">
        <x:v>Open</x:v>
      </x:c>
      <x:c r="AD31" s="30" t="str">
        <x:v>Public — handicap 54 or lower</x:v>
      </x:c>
      <x:c r="AE31" s="31" t="b">
        <x:v>1</x:v>
      </x:c>
      <x:c r="AF31" s="31" t="b">
        <x:v>0</x:v>
      </x:c>
      <x:c r="AG31" s="30"/>
      <x:c r="AH31" s="30"/>
      <x:c r="AI31" s="30"/>
      <x:c r="AJ31" s="31" t="b">
        <x:v>0</x:v>
      </x:c>
      <x:c r="AK31" s="31" t="b">
        <x:v>0</x:v>
      </x:c>
      <x:c r="AL31" s="30" t="str">
        <x:v>Verified — national register and exact BAG address</x:v>
      </x:c>
      <x:c r="AM31" s="30" t="str">
        <x:v>https://www.golf.nl/de-baan-op/banenzoeker/overzicht</x:v>
      </x:c>
      <x:c r="AN31" s="30" t="str">
        <x:v>2026-08-15</x:v>
      </x:c>
      <x:c r="AO31" s="30" t="str">
        <x:v>+31 36-5225831</x:v>
      </x:c>
      <x:c r="AP31" s="30" t="str">
        <x:v>Current NGF/GOLF.NL listing: 9 holes, par 36, 3132 metres. Listed as qualifying.</x:v>
      </x:c>
    </x:row>
    <x:row r="32">
      <x:c r="A32" s="30" t="str">
        <x:v>NL-C0017</x:v>
      </x:c>
      <x:c r="B32" s="30" t="str">
        <x:v>NL-0031</x:v>
      </x:c>
      <x:c r="C32" s="30" t="str">
        <x:v>Golfclub Zeewolde — Jol</x:v>
      </x:c>
      <x:c r="D32" s="30" t="str">
        <x:v>Golfclub Zeewolde</x:v>
      </x:c>
      <x:c r="E32" s="30" t="str">
        <x:v>Jol</x:v>
      </x:c>
      <x:c r="F32" s="30" t="str">
        <x:v>Netherlands</x:v>
      </x:c>
      <x:c r="G32" s="30" t="str">
        <x:v>Flevoland</x:v>
      </x:c>
      <x:c r="H32" s="30" t="str">
        <x:v>Zeewolde</x:v>
      </x:c>
      <x:c r="I32" s="30" t="str">
        <x:v>Zeewolde</x:v>
      </x:c>
      <x:c r="J32" s="30" t="str">
        <x:v>Golflaan 1</x:v>
      </x:c>
      <x:c r="K32" s="30" t="str">
        <x:v>3896 LL</x:v>
      </x:c>
      <x:c r="L32" s="32" t="n">
        <x:v>52.32401001</x:v>
      </x:c>
      <x:c r="M32" s="32" t="n">
        <x:v>5.5070426</x:v>
      </x:c>
      <x:c r="N32" s="30" t="str">
        <x:v>WGS84 / EPSG:4326</x:v>
      </x:c>
      <x:c r="O32" s="30" t="str">
        <x:v>Verified BAG address point via PDOK</x:v>
      </x:c>
      <x:c r="P32" s="30" t="str">
        <x:v>2026-08-15</x:v>
      </x:c>
      <x:c r="Q32" s="33" t="n">
        <x:f>IF(R32="","",ROUND(R32/0.9144,0))</x:f>
        <x:v>1490</x:v>
      </x:c>
      <x:c r="R32" s="33" t="n">
        <x:v>1362</x:v>
      </x:c>
      <x:c r="S32" s="33" t="n">
        <x:v>9</x:v>
      </x:c>
      <x:c r="T32" s="33" t="n">
        <x:v>29</x:v>
      </x:c>
      <x:c r="U32" s="30" t="str">
        <x:v>Par-3/4 course</x:v>
      </x:c>
      <x:c r="V32" s="30"/>
      <x:c r="W32" s="30"/>
      <x:c r="X32" s="30"/>
      <x:c r="Y32" s="30" t="str">
        <x:v>https://www.golfclub-zeewolde.nl/</x:v>
      </x:c>
      <x:c r="Z32" s="30" t="b">
        <x:f>IF(AND(F32="Netherlands",ISNUMBER(L32),ISNUMBER(M32),L32&gt;=50.7,L32&lt;=53.7,M32&gt;=3.2,M32&lt;=7.3,AC32&lt;&gt;"Closed"),TRUE,FALSE)</x:f>
        <x:v>1</x:v>
      </x:c>
      <x:c r="AA32" s="30" t="b">
        <x:f>Z32</x:f>
        <x:v>1</x:v>
      </x:c>
      <x:c r="AB32" s="30" t="str">
        <x:f>IF(Z32,"verified_coordinate_and_open","not_map_ready")</x:f>
        <x:v>verified_coordinate_and_open</x:v>
      </x:c>
      <x:c r="AC32" s="30" t="str">
        <x:v>Open</x:v>
      </x:c>
      <x:c r="AD32" s="30" t="str">
        <x:v>Public — no playing requirement</x:v>
      </x:c>
      <x:c r="AE32" s="31" t="b">
        <x:v>1</x:v>
      </x:c>
      <x:c r="AF32" s="31" t="b">
        <x:v>0</x:v>
      </x:c>
      <x:c r="AG32" s="30"/>
      <x:c r="AH32" s="30"/>
      <x:c r="AI32" s="30"/>
      <x:c r="AJ32" s="31" t="b">
        <x:v>0</x:v>
      </x:c>
      <x:c r="AK32" s="31" t="b">
        <x:v>0</x:v>
      </x:c>
      <x:c r="AL32" s="30" t="str">
        <x:v>Verified — national register and exact BAG address</x:v>
      </x:c>
      <x:c r="AM32" s="30" t="str">
        <x:v>https://www.golf.nl/de-baan-op/banenzoeker/overzicht</x:v>
      </x:c>
      <x:c r="AN32" s="30" t="str">
        <x:v>2026-08-15</x:v>
      </x:c>
      <x:c r="AO32" s="30" t="str">
        <x:v>+31 36-5225831</x:v>
      </x:c>
      <x:c r="AP32" s="30" t="str">
        <x:v>Current NGF/GOLF.NL listing: 9 holes, par 29, 1362 metres. Listed as qualifying.</x:v>
      </x:c>
    </x:row>
    <x:row r="33">
      <x:c r="A33" s="30" t="str">
        <x:v>NL-C0017</x:v>
      </x:c>
      <x:c r="B33" s="30" t="str">
        <x:v>NL-0032</x:v>
      </x:c>
      <x:c r="C33" s="30" t="str">
        <x:v>Golfclub Zeewolde — Pluut</x:v>
      </x:c>
      <x:c r="D33" s="30" t="str">
        <x:v>Golfclub Zeewolde</x:v>
      </x:c>
      <x:c r="E33" s="30" t="str">
        <x:v>Pluut</x:v>
      </x:c>
      <x:c r="F33" s="30" t="str">
        <x:v>Netherlands</x:v>
      </x:c>
      <x:c r="G33" s="30" t="str">
        <x:v>Flevoland</x:v>
      </x:c>
      <x:c r="H33" s="30" t="str">
        <x:v>Zeewolde</x:v>
      </x:c>
      <x:c r="I33" s="30" t="str">
        <x:v>Zeewolde</x:v>
      </x:c>
      <x:c r="J33" s="30" t="str">
        <x:v>Golflaan 1</x:v>
      </x:c>
      <x:c r="K33" s="30" t="str">
        <x:v>3896 LL</x:v>
      </x:c>
      <x:c r="L33" s="32" t="n">
        <x:v>52.32401001</x:v>
      </x:c>
      <x:c r="M33" s="32" t="n">
        <x:v>5.5070426</x:v>
      </x:c>
      <x:c r="N33" s="30" t="str">
        <x:v>WGS84 / EPSG:4326</x:v>
      </x:c>
      <x:c r="O33" s="30" t="str">
        <x:v>Verified BAG address point via PDOK</x:v>
      </x:c>
      <x:c r="P33" s="30" t="str">
        <x:v>2026-08-15</x:v>
      </x:c>
      <x:c r="Q33" s="33" t="n">
        <x:f>IF(R33="","",ROUND(R33/0.9144,0))</x:f>
        <x:v>3414</x:v>
      </x:c>
      <x:c r="R33" s="33" t="n">
        <x:v>3122</x:v>
      </x:c>
      <x:c r="S33" s="33" t="n">
        <x:v>9</x:v>
      </x:c>
      <x:c r="T33" s="33" t="n">
        <x:v>36</x:v>
      </x:c>
      <x:c r="U33" s="30" t="str">
        <x:v>Full-length course</x:v>
      </x:c>
      <x:c r="V33" s="30"/>
      <x:c r="W33" s="30"/>
      <x:c r="X33" s="30"/>
      <x:c r="Y33" s="30" t="str">
        <x:v>https://www.golfclub-zeewolde.nl/</x:v>
      </x:c>
      <x:c r="Z33" s="30" t="b">
        <x:f>IF(AND(F33="Netherlands",ISNUMBER(L33),ISNUMBER(M33),L33&gt;=50.7,L33&lt;=53.7,M33&gt;=3.2,M33&lt;=7.3,AC33&lt;&gt;"Closed"),TRUE,FALSE)</x:f>
        <x:v>1</x:v>
      </x:c>
      <x:c r="AA33" s="30" t="b">
        <x:f>Z33</x:f>
        <x:v>1</x:v>
      </x:c>
      <x:c r="AB33" s="30" t="str">
        <x:f>IF(Z33,"verified_coordinate_and_open","not_map_ready")</x:f>
        <x:v>verified_coordinate_and_open</x:v>
      </x:c>
      <x:c r="AC33" s="30" t="str">
        <x:v>Open</x:v>
      </x:c>
      <x:c r="AD33" s="30" t="str">
        <x:v>Public — handicap 54 or lower</x:v>
      </x:c>
      <x:c r="AE33" s="31" t="b">
        <x:v>1</x:v>
      </x:c>
      <x:c r="AF33" s="31" t="b">
        <x:v>0</x:v>
      </x:c>
      <x:c r="AG33" s="30"/>
      <x:c r="AH33" s="30"/>
      <x:c r="AI33" s="30"/>
      <x:c r="AJ33" s="31" t="b">
        <x:v>0</x:v>
      </x:c>
      <x:c r="AK33" s="31" t="b">
        <x:v>0</x:v>
      </x:c>
      <x:c r="AL33" s="30" t="str">
        <x:v>Verified — national register and exact BAG address</x:v>
      </x:c>
      <x:c r="AM33" s="30" t="str">
        <x:v>https://www.golf.nl/de-baan-op/banenzoeker/overzicht</x:v>
      </x:c>
      <x:c r="AN33" s="30" t="str">
        <x:v>2026-08-15</x:v>
      </x:c>
      <x:c r="AO33" s="30" t="str">
        <x:v>+31 36-5225831</x:v>
      </x:c>
      <x:c r="AP33" s="30" t="str">
        <x:v>Current NGF/GOLF.NL listing: 9 holes, par 36, 3122 metres. Listed as qualifying.</x:v>
      </x:c>
    </x:row>
    <x:row r="34">
      <x:c r="A34" s="30" t="str">
        <x:v>NL-C0018</x:v>
      </x:c>
      <x:c r="B34" s="30" t="str">
        <x:v>NL-0033</x:v>
      </x:c>
      <x:c r="C34" s="30" t="str">
        <x:v>Harderwold Golf &amp; Events</x:v>
      </x:c>
      <x:c r="D34" s="30" t="str">
        <x:v>Harderwold Golf &amp; Events</x:v>
      </x:c>
      <x:c r="E34" s="30" t="str">
        <x:v>Course</x:v>
      </x:c>
      <x:c r="F34" s="30" t="str">
        <x:v>Netherlands</x:v>
      </x:c>
      <x:c r="G34" s="30" t="str">
        <x:v>Flevoland</x:v>
      </x:c>
      <x:c r="H34" s="30" t="str">
        <x:v>Zeewolde</x:v>
      </x:c>
      <x:c r="I34" s="30" t="str">
        <x:v>Zeewolde</x:v>
      </x:c>
      <x:c r="J34" s="30" t="str">
        <x:v>Pluvierenweg 5</x:v>
      </x:c>
      <x:c r="K34" s="30" t="str">
        <x:v>3898 LL</x:v>
      </x:c>
      <x:c r="L34" s="32" t="n">
        <x:v>52.37818748</x:v>
      </x:c>
      <x:c r="M34" s="32" t="n">
        <x:v>5.60336316</x:v>
      </x:c>
      <x:c r="N34" s="30" t="str">
        <x:v>WGS84 / EPSG:4326</x:v>
      </x:c>
      <x:c r="O34" s="30" t="str">
        <x:v>Verified BAG address point via PDOK</x:v>
      </x:c>
      <x:c r="P34" s="30" t="str">
        <x:v>2026-08-15</x:v>
      </x:c>
      <x:c r="Q34" s="33" t="n">
        <x:f>IF(R34="","",ROUND(R34/0.9144,0))</x:f>
        <x:v>1574</x:v>
      </x:c>
      <x:c r="R34" s="33" t="n">
        <x:v>1439</x:v>
      </x:c>
      <x:c r="S34" s="33" t="n">
        <x:v>9</x:v>
      </x:c>
      <x:c r="T34" s="33" t="n">
        <x:v>31</x:v>
      </x:c>
      <x:c r="U34" s="30" t="str">
        <x:v>Par-3/4 course</x:v>
      </x:c>
      <x:c r="V34" s="30"/>
      <x:c r="W34" s="30"/>
      <x:c r="X34" s="30"/>
      <x:c r="Y34" s="30" t="str">
        <x:v>https://harderwold.nl/</x:v>
      </x:c>
      <x:c r="Z34" s="30" t="b">
        <x:f>IF(AND(F34="Netherlands",ISNUMBER(L34),ISNUMBER(M34),L34&gt;=50.7,L34&lt;=53.7,M34&gt;=3.2,M34&lt;=7.3,AC34&lt;&gt;"Closed"),TRUE,FALSE)</x:f>
        <x:v>1</x:v>
      </x:c>
      <x:c r="AA34" s="30" t="b">
        <x:f>Z34</x:f>
        <x:v>1</x:v>
      </x:c>
      <x:c r="AB34" s="30" t="str">
        <x:f>IF(Z34,"verified_coordinate_and_open","not_map_ready")</x:f>
        <x:v>verified_coordinate_and_open</x:v>
      </x:c>
      <x:c r="AC34" s="30" t="str">
        <x:v>Open</x:v>
      </x:c>
      <x:c r="AD34" s="30" t="str">
        <x:v>Public — handicap 54 or lower</x:v>
      </x:c>
      <x:c r="AE34" s="31" t="b">
        <x:v>1</x:v>
      </x:c>
      <x:c r="AF34" s="31" t="b">
        <x:v>0</x:v>
      </x:c>
      <x:c r="AG34" s="30"/>
      <x:c r="AH34" s="30"/>
      <x:c r="AI34" s="30"/>
      <x:c r="AJ34" s="31" t="b">
        <x:v>0</x:v>
      </x:c>
      <x:c r="AK34" s="31" t="b">
        <x:v>0</x:v>
      </x:c>
      <x:c r="AL34" s="30" t="str">
        <x:v>Verified — national register and exact BAG address</x:v>
      </x:c>
      <x:c r="AM34" s="30" t="str">
        <x:v>https://www.golf.nl/de-baan-op/banenzoeker/overzicht</x:v>
      </x:c>
      <x:c r="AN34" s="30" t="str">
        <x:v>2026-08-15</x:v>
      </x:c>
      <x:c r="AO34" s="30" t="str">
        <x:v>+31 320-288185</x:v>
      </x:c>
      <x:c r="AP34" s="30" t="str">
        <x:v>Current NGF/GOLF.NL listing: 9 holes, par 31, 1439 metres. Listed as qualifying.</x:v>
      </x:c>
    </x:row>
    <x:row r="35">
      <x:c r="A35" s="30" t="str">
        <x:v>NL-C0019</x:v>
      </x:c>
      <x:c r="B35" s="30" t="str">
        <x:v>NL-0034</x:v>
      </x:c>
      <x:c r="C35" s="30" t="str">
        <x:v>Openbare Golfclub Dronten</x:v>
      </x:c>
      <x:c r="D35" s="30" t="str">
        <x:v>Openbare Golfclub Dronten</x:v>
      </x:c>
      <x:c r="E35" s="30" t="str">
        <x:v>Course</x:v>
      </x:c>
      <x:c r="F35" s="30" t="str">
        <x:v>Netherlands</x:v>
      </x:c>
      <x:c r="G35" s="30" t="str">
        <x:v>Flevoland</x:v>
      </x:c>
      <x:c r="H35" s="30" t="str">
        <x:v>Dronten</x:v>
      </x:c>
      <x:c r="I35" s="30" t="str">
        <x:v>Dronten</x:v>
      </x:c>
      <x:c r="J35" s="30" t="str">
        <x:v>De Pan 2</x:v>
      </x:c>
      <x:c r="K35" s="30" t="str">
        <x:v>8252 LG</x:v>
      </x:c>
      <x:c r="L35" s="32" t="n">
        <x:v>52.49751865</x:v>
      </x:c>
      <x:c r="M35" s="32" t="n">
        <x:v>5.70899084</x:v>
      </x:c>
      <x:c r="N35" s="30" t="str">
        <x:v>WGS84 / EPSG:4326</x:v>
      </x:c>
      <x:c r="O35" s="30" t="str">
        <x:v>Verified BAG address point via PDOK</x:v>
      </x:c>
      <x:c r="P35" s="30" t="str">
        <x:v>2026-08-15</x:v>
      </x:c>
      <x:c r="Q35" s="33" t="n">
        <x:f>IF(R35="","",ROUND(R35/0.9144,0))</x:f>
        <x:v>2640</x:v>
      </x:c>
      <x:c r="R35" s="33" t="n">
        <x:v>2414</x:v>
      </x:c>
      <x:c r="S35" s="33" t="n">
        <x:v>9</x:v>
      </x:c>
      <x:c r="T35" s="33" t="n">
        <x:v>35</x:v>
      </x:c>
      <x:c r="U35" s="30" t="str">
        <x:v>Full-length course</x:v>
      </x:c>
      <x:c r="V35" s="30"/>
      <x:c r="W35" s="30"/>
      <x:c r="X35" s="30"/>
      <x:c r="Y35" s="30" t="str">
        <x:v>https://www.openbaregolfclubdronten.nl/</x:v>
      </x:c>
      <x:c r="Z35" s="30" t="b">
        <x:f>IF(AND(F35="Netherlands",ISNUMBER(L35),ISNUMBER(M35),L35&gt;=50.7,L35&lt;=53.7,M35&gt;=3.2,M35&lt;=7.3,AC35&lt;&gt;"Closed"),TRUE,FALSE)</x:f>
        <x:v>1</x:v>
      </x:c>
      <x:c r="AA35" s="30" t="b">
        <x:f>Z35</x:f>
        <x:v>1</x:v>
      </x:c>
      <x:c r="AB35" s="30" t="str">
        <x:f>IF(Z35,"verified_coordinate_and_open","not_map_ready")</x:f>
        <x:v>verified_coordinate_and_open</x:v>
      </x:c>
      <x:c r="AC35" s="30" t="str">
        <x:v>Open</x:v>
      </x:c>
      <x:c r="AD35" s="30" t="str">
        <x:v>Public — handicap 54 or lower</x:v>
      </x:c>
      <x:c r="AE35" s="31" t="b">
        <x:v>1</x:v>
      </x:c>
      <x:c r="AF35" s="31" t="b">
        <x:v>0</x:v>
      </x:c>
      <x:c r="AG35" s="30"/>
      <x:c r="AH35" s="30"/>
      <x:c r="AI35" s="30"/>
      <x:c r="AJ35" s="31" t="b">
        <x:v>0</x:v>
      </x:c>
      <x:c r="AK35" s="31" t="b">
        <x:v>0</x:v>
      </x:c>
      <x:c r="AL35" s="30" t="str">
        <x:v>Verified — national register and exact BAG address</x:v>
      </x:c>
      <x:c r="AM35" s="30" t="str">
        <x:v>https://www.golf.nl/de-baan-op/banenzoeker/overzicht</x:v>
      </x:c>
      <x:c r="AN35" s="30" t="str">
        <x:v>2026-08-15</x:v>
      </x:c>
      <x:c r="AO35" s="30" t="str">
        <x:v>+31 6-11369626</x:v>
      </x:c>
      <x:c r="AP35" s="30" t="str">
        <x:v>Current NGF/GOLF.NL listing: 9 holes, par 35, 2414 metres. Listed as qualifying.</x:v>
      </x:c>
    </x:row>
    <x:row r="36">
      <x:c r="A36" s="30" t="str">
        <x:v>NL-C0020</x:v>
      </x:c>
      <x:c r="B36" s="30" t="str">
        <x:v>NL-0035</x:v>
      </x:c>
      <x:c r="C36" s="30" t="str">
        <x:v>Pitch &amp; Putt Strand Horst</x:v>
      </x:c>
      <x:c r="D36" s="30" t="str">
        <x:v>Pitch &amp; Putt Strand Horst</x:v>
      </x:c>
      <x:c r="E36" s="30" t="str">
        <x:v>Course</x:v>
      </x:c>
      <x:c r="F36" s="30" t="str">
        <x:v>Netherlands</x:v>
      </x:c>
      <x:c r="G36" s="30" t="str">
        <x:v>Flevoland</x:v>
      </x:c>
      <x:c r="H36" s="30" t="str">
        <x:v>Ermelo</x:v>
      </x:c>
      <x:c r="I36" s="30" t="str">
        <x:v>Ermelo</x:v>
      </x:c>
      <x:c r="J36" s="30" t="str">
        <x:v>Palmbosweg 4</x:v>
      </x:c>
      <x:c r="K36" s="30" t="str">
        <x:v>3853 LB</x:v>
      </x:c>
      <x:c r="L36" s="32" t="n">
        <x:v>52.30227466</x:v>
      </x:c>
      <x:c r="M36" s="32" t="n">
        <x:v>5.55406021</x:v>
      </x:c>
      <x:c r="N36" s="30" t="str">
        <x:v>WGS84 / EPSG:4326</x:v>
      </x:c>
      <x:c r="O36" s="30" t="str">
        <x:v>Verified BAG address point via PDOK</x:v>
      </x:c>
      <x:c r="P36" s="30" t="str">
        <x:v>2026-08-15</x:v>
      </x:c>
      <x:c r="Q36" s="33" t="n">
        <x:f>IF(R36="","",ROUND(R36/0.9144,0))</x:f>
        <x:v>495</x:v>
      </x:c>
      <x:c r="R36" s="33" t="n">
        <x:v>453</x:v>
      </x:c>
      <x:c r="S36" s="33" t="n">
        <x:v>9</x:v>
      </x:c>
      <x:c r="T36" s="33" t="n">
        <x:v>27</x:v>
      </x:c>
      <x:c r="U36" s="30" t="str">
        <x:v>Shortgolf / Pitch &amp; Putt</x:v>
      </x:c>
      <x:c r="V36" s="30"/>
      <x:c r="W36" s="30"/>
      <x:c r="X36" s="30"/>
      <x:c r="Y36" s="30" t="str">
        <x:v>https://www.pitch-putt-strandhorst.nl/</x:v>
      </x:c>
      <x:c r="Z36" s="30" t="b">
        <x:f>IF(AND(F36="Netherlands",ISNUMBER(L36),ISNUMBER(M36),L36&gt;=50.7,L36&lt;=53.7,M36&gt;=3.2,M36&lt;=7.3,AC36&lt;&gt;"Closed"),TRUE,FALSE)</x:f>
        <x:v>1</x:v>
      </x:c>
      <x:c r="AA36" s="30" t="b">
        <x:f>Z36</x:f>
        <x:v>1</x:v>
      </x:c>
      <x:c r="AB36" s="30" t="str">
        <x:f>IF(Z36,"verified_coordinate_and_open","not_map_ready")</x:f>
        <x:v>verified_coordinate_and_open</x:v>
      </x:c>
      <x:c r="AC36" s="30" t="str">
        <x:v>Open</x:v>
      </x:c>
      <x:c r="AD36" s="30" t="str">
        <x:v>Public — no playing requirement</x:v>
      </x:c>
      <x:c r="AE36" s="31" t="b">
        <x:v>0</x:v>
      </x:c>
      <x:c r="AF36" s="31" t="b">
        <x:v>0</x:v>
      </x:c>
      <x:c r="AG36" s="30"/>
      <x:c r="AH36" s="30"/>
      <x:c r="AI36" s="30"/>
      <x:c r="AJ36" s="31" t="b">
        <x:v>0</x:v>
      </x:c>
      <x:c r="AK36" s="31" t="b">
        <x:v>0</x:v>
      </x:c>
      <x:c r="AL36" s="30" t="str">
        <x:v>Verified — national register and exact BAG address</x:v>
      </x:c>
      <x:c r="AM36" s="30" t="str">
        <x:v>https://www.golf.nl/de-baan-op/banenzoeker/overzicht</x:v>
      </x:c>
      <x:c r="AN36" s="30" t="str">
        <x:v>2026-08-15</x:v>
      </x:c>
      <x:c r="AO36" s="30" t="str">
        <x:v>+31 341-552431</x:v>
      </x:c>
      <x:c r="AP36" s="30" t="str">
        <x:v>Current NGF/GOLF.NL listing: 9 holes, par 27, 453 metres. Listed as non-qualifying.</x:v>
      </x:c>
    </x:row>
    <x:row r="37">
      <x:c r="A37" s="30" t="str">
        <x:v>NL-C0021</x:v>
      </x:c>
      <x:c r="B37" s="30" t="str">
        <x:v>NL-0036</x:v>
      </x:c>
      <x:c r="C37" s="30" t="str">
        <x:v>Shortgolf Swifterbant/Flevoland — Par-3 Course</x:v>
      </x:c>
      <x:c r="D37" s="30" t="str">
        <x:v>Shortgolf Swifterbant/Flevoland</x:v>
      </x:c>
      <x:c r="E37" s="30" t="str">
        <x:v>Par-3 Course</x:v>
      </x:c>
      <x:c r="F37" s="30" t="str">
        <x:v>Netherlands</x:v>
      </x:c>
      <x:c r="G37" s="30" t="str">
        <x:v>Flevoland</x:v>
      </x:c>
      <x:c r="H37" s="30" t="str">
        <x:v>Dronten</x:v>
      </x:c>
      <x:c r="I37" s="30" t="str">
        <x:v>Swifterbant</x:v>
      </x:c>
      <x:c r="J37" s="30" t="str">
        <x:v>Rivierduinweg 9</x:v>
      </x:c>
      <x:c r="K37" s="30" t="str">
        <x:v>8255 PJ</x:v>
      </x:c>
      <x:c r="L37" s="32" t="n">
        <x:v>52.58169751</x:v>
      </x:c>
      <x:c r="M37" s="32" t="n">
        <x:v>5.62624926</x:v>
      </x:c>
      <x:c r="N37" s="30" t="str">
        <x:v>WGS84 / EPSG:4326</x:v>
      </x:c>
      <x:c r="O37" s="30" t="str">
        <x:v>Verified BAG address point via PDOK</x:v>
      </x:c>
      <x:c r="P37" s="30" t="str">
        <x:v>2026-08-15</x:v>
      </x:c>
      <x:c r="Q37" s="33" t="n">
        <x:f>IF(R37="","",ROUND(R37/0.9144,0))</x:f>
        <x:v>1506</x:v>
      </x:c>
      <x:c r="R37" s="33" t="n">
        <x:v>1377</x:v>
      </x:c>
      <x:c r="S37" s="33" t="n">
        <x:v>18</x:v>
      </x:c>
      <x:c r="T37" s="33" t="n">
        <x:v>54</x:v>
      </x:c>
      <x:c r="U37" s="30" t="str">
        <x:v>Par-3 course</x:v>
      </x:c>
      <x:c r="V37" s="30"/>
      <x:c r="W37" s="30"/>
      <x:c r="X37" s="30"/>
      <x:c r="Y37" s="30" t="str">
        <x:v>https://shortgolf.nl/</x:v>
      </x:c>
      <x:c r="Z37" s="30" t="b">
        <x:f>IF(AND(F37="Netherlands",ISNUMBER(L37),ISNUMBER(M37),L37&gt;=50.7,L37&lt;=53.7,M37&gt;=3.2,M37&lt;=7.3,AC37&lt;&gt;"Closed"),TRUE,FALSE)</x:f>
        <x:v>1</x:v>
      </x:c>
      <x:c r="AA37" s="30" t="b">
        <x:f>Z37</x:f>
        <x:v>1</x:v>
      </x:c>
      <x:c r="AB37" s="30" t="str">
        <x:f>IF(Z37,"verified_coordinate_and_open","not_map_ready")</x:f>
        <x:v>verified_coordinate_and_open</x:v>
      </x:c>
      <x:c r="AC37" s="30" t="str">
        <x:v>Open</x:v>
      </x:c>
      <x:c r="AD37" s="30" t="str">
        <x:v>Public — no playing requirement</x:v>
      </x:c>
      <x:c r="AE37" s="31" t="b">
        <x:v>1</x:v>
      </x:c>
      <x:c r="AF37" s="31" t="b">
        <x:v>0</x:v>
      </x:c>
      <x:c r="AG37" s="30"/>
      <x:c r="AH37" s="30"/>
      <x:c r="AI37" s="30"/>
      <x:c r="AJ37" s="31" t="b">
        <x:v>0</x:v>
      </x:c>
      <x:c r="AK37" s="31" t="b">
        <x:v>0</x:v>
      </x:c>
      <x:c r="AL37" s="30" t="str">
        <x:v>Verified — national register and exact BAG address</x:v>
      </x:c>
      <x:c r="AM37" s="30" t="str">
        <x:v>https://www.golf.nl/de-baan-op/banenzoeker/overzicht</x:v>
      </x:c>
      <x:c r="AN37" s="30" t="str">
        <x:v>2026-08-15</x:v>
      </x:c>
      <x:c r="AO37" s="30" t="str">
        <x:v>+31 321-324403</x:v>
      </x:c>
      <x:c r="AP37" s="30" t="str">
        <x:v>Current NGF/GOLF.NL listing: 18 holes, par 54, 1377 metres. Combined from exact NGF-listed constituent nine-hole loops: 1ste negen (9 holes, par 27, 632 m); 2de negen (9 holes, par 27, 745 m) Listed as qualifying.</x:v>
      </x:c>
    </x:row>
    <x:row r="38">
      <x:c r="A38" s="30" t="str">
        <x:v>NL-C0022</x:v>
      </x:c>
      <x:c r="B38" s="30" t="str">
        <x:v>NL-0037</x:v>
      </x:c>
      <x:c r="C38" s="30" t="str">
        <x:v>Buiten-Land Pitch &amp; Putt Leeuwarden — Shortgolf / Pitch &amp; Putt Course</x:v>
      </x:c>
      <x:c r="D38" s="30" t="str">
        <x:v>Buiten-Land Pitch &amp; Putt Leeuwarden</x:v>
      </x:c>
      <x:c r="E38" s="30" t="str">
        <x:v>Shortgolf / Pitch &amp; Putt Course</x:v>
      </x:c>
      <x:c r="F38" s="30" t="str">
        <x:v>Netherlands</x:v>
      </x:c>
      <x:c r="G38" s="30" t="str">
        <x:v>Friesland</x:v>
      </x:c>
      <x:c r="H38" s="30" t="str">
        <x:v>Leeuwarden</x:v>
      </x:c>
      <x:c r="I38" s="30" t="str">
        <x:v>Leeuwarden</x:v>
      </x:c>
      <x:c r="J38" s="30" t="str">
        <x:v>Noarder Stienplaat 3</x:v>
      </x:c>
      <x:c r="K38" s="30" t="str">
        <x:v>8939 DA</x:v>
      </x:c>
      <x:c r="L38" s="32" t="n">
        <x:v>53.18372174</x:v>
      </x:c>
      <x:c r="M38" s="32" t="n">
        <x:v>5.85405751</x:v>
      </x:c>
      <x:c r="N38" s="30" t="str">
        <x:v>WGS84 / EPSG:4326</x:v>
      </x:c>
      <x:c r="O38" s="30" t="str">
        <x:v>Verified BAG address point via PDOK</x:v>
      </x:c>
      <x:c r="P38" s="30" t="str">
        <x:v>2026-08-15</x:v>
      </x:c>
      <x:c r="Q38" s="33" t="n">
        <x:f>IF(R38="","",ROUND(R38/0.9144,0))</x:f>
        <x:v>1068</x:v>
      </x:c>
      <x:c r="R38" s="33" t="n">
        <x:v>977</x:v>
      </x:c>
      <x:c r="S38" s="33" t="n">
        <x:v>18</x:v>
      </x:c>
      <x:c r="T38" s="33" t="n">
        <x:v>54</x:v>
      </x:c>
      <x:c r="U38" s="30" t="str">
        <x:v>Shortgolf / Pitch &amp; Putt</x:v>
      </x:c>
      <x:c r="V38" s="30"/>
      <x:c r="W38" s="30"/>
      <x:c r="X38" s="30"/>
      <x:c r="Y38" s="30" t="str">
        <x:v>https://hetbuiten-land.nl/</x:v>
      </x:c>
      <x:c r="Z38" s="30" t="b">
        <x:f>IF(AND(F38="Netherlands",ISNUMBER(L38),ISNUMBER(M38),L38&gt;=50.7,L38&lt;=53.7,M38&gt;=3.2,M38&lt;=7.3,AC38&lt;&gt;"Closed"),TRUE,FALSE)</x:f>
        <x:v>1</x:v>
      </x:c>
      <x:c r="AA38" s="30" t="b">
        <x:f>Z38</x:f>
        <x:v>1</x:v>
      </x:c>
      <x:c r="AB38" s="30" t="str">
        <x:f>IF(Z38,"verified_coordinate_and_open","not_map_ready")</x:f>
        <x:v>verified_coordinate_and_open</x:v>
      </x:c>
      <x:c r="AC38" s="30" t="str">
        <x:v>Open</x:v>
      </x:c>
      <x:c r="AD38" s="30" t="str">
        <x:v>Public — no playing requirement</x:v>
      </x:c>
      <x:c r="AE38" s="31" t="b">
        <x:v>0</x:v>
      </x:c>
      <x:c r="AF38" s="31" t="b">
        <x:v>0</x:v>
      </x:c>
      <x:c r="AG38" s="30"/>
      <x:c r="AH38" s="30"/>
      <x:c r="AI38" s="30"/>
      <x:c r="AJ38" s="31" t="b">
        <x:v>0</x:v>
      </x:c>
      <x:c r="AK38" s="31" t="b">
        <x:v>0</x:v>
      </x:c>
      <x:c r="AL38" s="30" t="str">
        <x:v>Verified — national register and exact BAG address</x:v>
      </x:c>
      <x:c r="AM38" s="30" t="str">
        <x:v>https://www.golf.nl/de-baan-op/banenzoeker/overzicht</x:v>
      </x:c>
      <x:c r="AN38" s="30" t="str">
        <x:v>2026-08-15</x:v>
      </x:c>
      <x:c r="AO38" s="30" t="str">
        <x:v>+31 58-2889666</x:v>
      </x:c>
      <x:c r="AP38" s="30" t="str">
        <x:v>Current NGF/GOLF.NL listing: 18 holes, par 54, 977 metres. Combined from exact NGF-listed constituent nine-hole loops: 1ste negen (9 holes, par 27, 507 m); 2de negen (9 holes, par 27, 470 m) Listed as non-qualifying.</x:v>
      </x:c>
    </x:row>
    <x:row r="39">
      <x:c r="A39" s="30" t="str">
        <x:v>NL-C0023</x:v>
      </x:c>
      <x:c r="B39" s="30" t="str">
        <x:v>NL-0038</x:v>
      </x:c>
      <x:c r="C39" s="30" t="str">
        <x:v>Golfbaan Ameland — Main Course</x:v>
      </x:c>
      <x:c r="D39" s="30" t="str">
        <x:v>Golfbaan Ameland</x:v>
      </x:c>
      <x:c r="E39" s="30" t="str">
        <x:v>Main Course</x:v>
      </x:c>
      <x:c r="F39" s="30" t="str">
        <x:v>Netherlands</x:v>
      </x:c>
      <x:c r="G39" s="30" t="str">
        <x:v>Friesland</x:v>
      </x:c>
      <x:c r="H39" s="30" t="str">
        <x:v>Ameland</x:v>
      </x:c>
      <x:c r="I39" s="30" t="str">
        <x:v>Hollum</x:v>
      </x:c>
      <x:c r="J39" s="30" t="str">
        <x:v>Oosterhiemweg 20</x:v>
      </x:c>
      <x:c r="K39" s="30" t="str">
        <x:v>9161 CZ</x:v>
      </x:c>
      <x:c r="L39" s="32" t="n">
        <x:v>53.44864163</x:v>
      </x:c>
      <x:c r="M39" s="32" t="n">
        <x:v>5.64299695</x:v>
      </x:c>
      <x:c r="N39" s="30" t="str">
        <x:v>WGS84 / EPSG:4326</x:v>
      </x:c>
      <x:c r="O39" s="30" t="str">
        <x:v>Verified BAG address point via PDOK</x:v>
      </x:c>
      <x:c r="P39" s="30" t="str">
        <x:v>2026-08-15</x:v>
      </x:c>
      <x:c r="Q39" s="33" t="n">
        <x:f>IF(R39="","",ROUND(R39/0.9144,0))</x:f>
        <x:v>3368</x:v>
      </x:c>
      <x:c r="R39" s="33" t="n">
        <x:v>3080</x:v>
      </x:c>
      <x:c r="S39" s="33" t="n">
        <x:v>9</x:v>
      </x:c>
      <x:c r="T39" s="33" t="n">
        <x:v>36</x:v>
      </x:c>
      <x:c r="U39" s="30" t="str">
        <x:v>Full-length course</x:v>
      </x:c>
      <x:c r="V39" s="30"/>
      <x:c r="W39" s="30"/>
      <x:c r="X39" s="30"/>
      <x:c r="Y39" s="30" t="str">
        <x:v>https://golfbaanameland.nl/</x:v>
      </x:c>
      <x:c r="Z39" s="30" t="b">
        <x:f>IF(AND(F39="Netherlands",ISNUMBER(L39),ISNUMBER(M39),L39&gt;=50.7,L39&lt;=53.7,M39&gt;=3.2,M39&lt;=7.3,AC39&lt;&gt;"Closed"),TRUE,FALSE)</x:f>
        <x:v>1</x:v>
      </x:c>
      <x:c r="AA39" s="30" t="b">
        <x:f>Z39</x:f>
        <x:v>1</x:v>
      </x:c>
      <x:c r="AB39" s="30" t="str">
        <x:f>IF(Z39,"verified_coordinate_and_open","not_map_ready")</x:f>
        <x:v>verified_coordinate_and_open</x:v>
      </x:c>
      <x:c r="AC39" s="30" t="str">
        <x:v>Open</x:v>
      </x:c>
      <x:c r="AD39" s="30" t="str">
        <x:v>Public — handicap 54 or lower</x:v>
      </x:c>
      <x:c r="AE39" s="31" t="b">
        <x:v>1</x:v>
      </x:c>
      <x:c r="AF39" s="31" t="b">
        <x:v>0</x:v>
      </x:c>
      <x:c r="AG39" s="30"/>
      <x:c r="AH39" s="30"/>
      <x:c r="AI39" s="30"/>
      <x:c r="AJ39" s="31" t="b">
        <x:v>0</x:v>
      </x:c>
      <x:c r="AK39" s="31" t="b">
        <x:v>0</x:v>
      </x:c>
      <x:c r="AL39" s="30" t="str">
        <x:v>Verified — national register and exact BAG address</x:v>
      </x:c>
      <x:c r="AM39" s="30" t="str">
        <x:v>https://www.golf.nl/de-baan-op/banenzoeker/overzicht</x:v>
      </x:c>
      <x:c r="AN39" s="30" t="str">
        <x:v>2026-08-15</x:v>
      </x:c>
      <x:c r="AO39" s="30" t="str">
        <x:v>+31 6-53164634</x:v>
      </x:c>
      <x:c r="AP39" s="30" t="str">
        <x:v>Current NGF/GOLF.NL listing: 9 holes, par 36, 3080 metres. Listed as qualifying.</x:v>
      </x:c>
    </x:row>
    <x:row r="40">
      <x:c r="A40" s="30" t="str">
        <x:v>NL-C0023</x:v>
      </x:c>
      <x:c r="B40" s="30" t="str">
        <x:v>NL-0039</x:v>
      </x:c>
      <x:c r="C40" s="30" t="str">
        <x:v>Golfbaan Ameland — Par-3 Course</x:v>
      </x:c>
      <x:c r="D40" s="30" t="str">
        <x:v>Golfbaan Ameland</x:v>
      </x:c>
      <x:c r="E40" s="30" t="str">
        <x:v>Par-3 Course</x:v>
      </x:c>
      <x:c r="F40" s="30" t="str">
        <x:v>Netherlands</x:v>
      </x:c>
      <x:c r="G40" s="30" t="str">
        <x:v>Friesland</x:v>
      </x:c>
      <x:c r="H40" s="30" t="str">
        <x:v>Ameland</x:v>
      </x:c>
      <x:c r="I40" s="30" t="str">
        <x:v>Hollum</x:v>
      </x:c>
      <x:c r="J40" s="30" t="str">
        <x:v>Oosterhiemweg 20</x:v>
      </x:c>
      <x:c r="K40" s="30" t="str">
        <x:v>9161 CZ</x:v>
      </x:c>
      <x:c r="L40" s="32" t="n">
        <x:v>53.44864163</x:v>
      </x:c>
      <x:c r="M40" s="32" t="n">
        <x:v>5.64299695</x:v>
      </x:c>
      <x:c r="N40" s="30" t="str">
        <x:v>WGS84 / EPSG:4326</x:v>
      </x:c>
      <x:c r="O40" s="30" t="str">
        <x:v>Verified BAG address point via PDOK</x:v>
      </x:c>
      <x:c r="P40" s="30" t="str">
        <x:v>2026-08-15</x:v>
      </x:c>
      <x:c r="Q40" s="33" t="n">
        <x:f>IF(R40="","",ROUND(R40/0.9144,0))</x:f>
        <x:v>1000</x:v>
      </x:c>
      <x:c r="R40" s="33" t="n">
        <x:v>914</x:v>
      </x:c>
      <x:c r="S40" s="33" t="n">
        <x:v>9</x:v>
      </x:c>
      <x:c r="T40" s="33" t="n">
        <x:v>27</x:v>
      </x:c>
      <x:c r="U40" s="30" t="str">
        <x:v>Par-3 course</x:v>
      </x:c>
      <x:c r="V40" s="30"/>
      <x:c r="W40" s="30"/>
      <x:c r="X40" s="30"/>
      <x:c r="Y40" s="30" t="str">
        <x:v>https://golfbaanameland.nl/</x:v>
      </x:c>
      <x:c r="Z40" s="30" t="b">
        <x:f>IF(AND(F40="Netherlands",ISNUMBER(L40),ISNUMBER(M40),L40&gt;=50.7,L40&lt;=53.7,M40&gt;=3.2,M40&lt;=7.3,AC40&lt;&gt;"Closed"),TRUE,FALSE)</x:f>
        <x:v>1</x:v>
      </x:c>
      <x:c r="AA40" s="30" t="b">
        <x:f>Z40</x:f>
        <x:v>1</x:v>
      </x:c>
      <x:c r="AB40" s="30" t="str">
        <x:f>IF(Z40,"verified_coordinate_and_open","not_map_ready")</x:f>
        <x:v>verified_coordinate_and_open</x:v>
      </x:c>
      <x:c r="AC40" s="30" t="str">
        <x:v>Open</x:v>
      </x:c>
      <x:c r="AD40" s="30" t="str">
        <x:v>Public — no playing requirement</x:v>
      </x:c>
      <x:c r="AE40" s="31" t="b">
        <x:v>1</x:v>
      </x:c>
      <x:c r="AF40" s="31" t="b">
        <x:v>0</x:v>
      </x:c>
      <x:c r="AG40" s="30"/>
      <x:c r="AH40" s="30"/>
      <x:c r="AI40" s="30"/>
      <x:c r="AJ40" s="31" t="b">
        <x:v>0</x:v>
      </x:c>
      <x:c r="AK40" s="31" t="b">
        <x:v>0</x:v>
      </x:c>
      <x:c r="AL40" s="30" t="str">
        <x:v>Verified — national register and exact BAG address</x:v>
      </x:c>
      <x:c r="AM40" s="30" t="str">
        <x:v>https://www.golf.nl/de-baan-op/banenzoeker/overzicht</x:v>
      </x:c>
      <x:c r="AN40" s="30" t="str">
        <x:v>2026-08-15</x:v>
      </x:c>
      <x:c r="AO40" s="30" t="str">
        <x:v>+31 6-53164634</x:v>
      </x:c>
      <x:c r="AP40" s="30" t="str">
        <x:v>Current NGF/GOLF.NL listing: 9 holes, par 27, 914 metres. Listed as qualifying.</x:v>
      </x:c>
    </x:row>
    <x:row r="41">
      <x:c r="A41" s="30" t="str">
        <x:v>NL-C0024</x:v>
      </x:c>
      <x:c r="B41" s="30" t="str">
        <x:v>NL-0040</x:v>
      </x:c>
      <x:c r="C41" s="30" t="str">
        <x:v>Golfbaan Terschelling</x:v>
      </x:c>
      <x:c r="D41" s="30" t="str">
        <x:v>Golfbaan Terschelling</x:v>
      </x:c>
      <x:c r="E41" s="30" t="str">
        <x:v>Course</x:v>
      </x:c>
      <x:c r="F41" s="30" t="str">
        <x:v>Netherlands</x:v>
      </x:c>
      <x:c r="G41" s="30" t="str">
        <x:v>Friesland</x:v>
      </x:c>
      <x:c r="H41" s="30" t="str">
        <x:v>Terschelling</x:v>
      </x:c>
      <x:c r="I41" s="30" t="str">
        <x:v>Hee</x:v>
      </x:c>
      <x:c r="J41" s="30" t="str">
        <x:v>Heester Kooiweg 20</x:v>
      </x:c>
      <x:c r="K41" s="30" t="str">
        <x:v>8882 HE</x:v>
      </x:c>
      <x:c r="L41" s="32" t="n">
        <x:v>53.38234967</x:v>
      </x:c>
      <x:c r="M41" s="32" t="n">
        <x:v>5.2557194</x:v>
      </x:c>
      <x:c r="N41" s="30" t="str">
        <x:v>WGS84 / EPSG:4326</x:v>
      </x:c>
      <x:c r="O41" s="30" t="str">
        <x:v>Verified BAG address point via PDOK</x:v>
      </x:c>
      <x:c r="P41" s="30" t="str">
        <x:v>2026-08-15</x:v>
      </x:c>
      <x:c r="Q41" s="33" t="n">
        <x:f>IF(R41="","",ROUND(R41/0.9144,0))</x:f>
        <x:v>1233</x:v>
      </x:c>
      <x:c r="R41" s="33" t="n">
        <x:v>1127</x:v>
      </x:c>
      <x:c r="S41" s="33" t="n">
        <x:v>9</x:v>
      </x:c>
      <x:c r="T41" s="33" t="n">
        <x:v>27</x:v>
      </x:c>
      <x:c r="U41" s="30" t="str">
        <x:v>Par-3 course</x:v>
      </x:c>
      <x:c r="V41" s="30"/>
      <x:c r="W41" s="30"/>
      <x:c r="X41" s="30"/>
      <x:c r="Y41" s="30" t="str">
        <x:v>https://www.facebook.com/golfclubterschelling</x:v>
      </x:c>
      <x:c r="Z41" s="30" t="b">
        <x:f>IF(AND(F41="Netherlands",ISNUMBER(L41),ISNUMBER(M41),L41&gt;=50.7,L41&lt;=53.7,M41&gt;=3.2,M41&lt;=7.3,AC41&lt;&gt;"Closed"),TRUE,FALSE)</x:f>
        <x:v>1</x:v>
      </x:c>
      <x:c r="AA41" s="30" t="b">
        <x:f>Z41</x:f>
        <x:v>1</x:v>
      </x:c>
      <x:c r="AB41" s="30" t="str">
        <x:f>IF(Z41,"verified_coordinate_and_open","not_map_ready")</x:f>
        <x:v>verified_coordinate_and_open</x:v>
      </x:c>
      <x:c r="AC41" s="30" t="str">
        <x:v>Open</x:v>
      </x:c>
      <x:c r="AD41" s="30" t="str">
        <x:v>Public — NGF course permission</x:v>
      </x:c>
      <x:c r="AE41" s="31" t="b">
        <x:v>0</x:v>
      </x:c>
      <x:c r="AF41" s="31" t="b">
        <x:v>0</x:v>
      </x:c>
      <x:c r="AG41" s="30"/>
      <x:c r="AH41" s="30"/>
      <x:c r="AI41" s="30"/>
      <x:c r="AJ41" s="31" t="b">
        <x:v>0</x:v>
      </x:c>
      <x:c r="AK41" s="31" t="b">
        <x:v>0</x:v>
      </x:c>
      <x:c r="AL41" s="30" t="str">
        <x:v>Verified — national register and exact BAG address</x:v>
      </x:c>
      <x:c r="AM41" s="30" t="str">
        <x:v>https://www.golf.nl/de-baan-op/banenzoeker/overzicht</x:v>
      </x:c>
      <x:c r="AN41" s="30" t="str">
        <x:v>2026-08-15</x:v>
      </x:c>
      <x:c r="AO41" s="30"/>
      <x:c r="AP41" s="30" t="str">
        <x:v>Current NGF/GOLF.NL listing: 9 holes, par 27, 1127 metres. Listed as non-qualifying.</x:v>
      </x:c>
    </x:row>
    <x:row r="42">
      <x:c r="A42" s="30" t="str">
        <x:v>NL-C0025</x:v>
      </x:c>
      <x:c r="B42" s="30" t="str">
        <x:v>NL-0041</x:v>
      </x:c>
      <x:c r="C42" s="30" t="str">
        <x:v>Golfclub Gaasterland</x:v>
      </x:c>
      <x:c r="D42" s="30" t="str">
        <x:v>Golfclub Gaasterland</x:v>
      </x:c>
      <x:c r="E42" s="30" t="str">
        <x:v>Course</x:v>
      </x:c>
      <x:c r="F42" s="30" t="str">
        <x:v>Netherlands</x:v>
      </x:c>
      <x:c r="G42" s="30" t="str">
        <x:v>Friesland</x:v>
      </x:c>
      <x:c r="H42" s="30" t="str">
        <x:v>De Fryske Marren</x:v>
      </x:c>
      <x:c r="I42" s="30" t="str">
        <x:v>Oudemirdum</x:v>
      </x:c>
      <x:c r="J42" s="30" t="str">
        <x:v>Sminkewei 10</x:v>
      </x:c>
      <x:c r="K42" s="30" t="str">
        <x:v>8567 HB</x:v>
      </x:c>
      <x:c r="L42" s="32" t="n">
        <x:v>52.87074686</x:v>
      </x:c>
      <x:c r="M42" s="32" t="n">
        <x:v>5.54482867</x:v>
      </x:c>
      <x:c r="N42" s="30" t="str">
        <x:v>WGS84 / EPSG:4326</x:v>
      </x:c>
      <x:c r="O42" s="30" t="str">
        <x:v>Verified BAG address point via PDOK</x:v>
      </x:c>
      <x:c r="P42" s="30" t="str">
        <x:v>2026-08-15</x:v>
      </x:c>
      <x:c r="Q42" s="33" t="n">
        <x:f>IF(R42="","",ROUND(R42/0.9144,0))</x:f>
        <x:v>3076</x:v>
      </x:c>
      <x:c r="R42" s="33" t="n">
        <x:v>2813</x:v>
      </x:c>
      <x:c r="S42" s="33" t="n">
        <x:v>9</x:v>
      </x:c>
      <x:c r="T42" s="33" t="n">
        <x:v>35</x:v>
      </x:c>
      <x:c r="U42" s="30" t="str">
        <x:v>Full-length course</x:v>
      </x:c>
      <x:c r="V42" s="30"/>
      <x:c r="W42" s="30"/>
      <x:c r="X42" s="30"/>
      <x:c r="Y42" s="30" t="str">
        <x:v>https://golfclubgaasterland.nl/</x:v>
      </x:c>
      <x:c r="Z42" s="30" t="b">
        <x:f>IF(AND(F42="Netherlands",ISNUMBER(L42),ISNUMBER(M42),L42&gt;=50.7,L42&lt;=53.7,M42&gt;=3.2,M42&lt;=7.3,AC42&lt;&gt;"Closed"),TRUE,FALSE)</x:f>
        <x:v>1</x:v>
      </x:c>
      <x:c r="AA42" s="30" t="b">
        <x:f>Z42</x:f>
        <x:v>1</x:v>
      </x:c>
      <x:c r="AB42" s="30" t="str">
        <x:f>IF(Z42,"verified_coordinate_and_open","not_map_ready")</x:f>
        <x:v>verified_coordinate_and_open</x:v>
      </x:c>
      <x:c r="AC42" s="30" t="str">
        <x:v>Open</x:v>
      </x:c>
      <x:c r="AD42" s="30" t="str">
        <x:v>Public — handicap 54 or lower</x:v>
      </x:c>
      <x:c r="AE42" s="31" t="b">
        <x:v>1</x:v>
      </x:c>
      <x:c r="AF42" s="31" t="b">
        <x:v>0</x:v>
      </x:c>
      <x:c r="AG42" s="30"/>
      <x:c r="AH42" s="30"/>
      <x:c r="AI42" s="30"/>
      <x:c r="AJ42" s="31" t="b">
        <x:v>0</x:v>
      </x:c>
      <x:c r="AK42" s="31" t="b">
        <x:v>0</x:v>
      </x:c>
      <x:c r="AL42" s="30" t="str">
        <x:v>Verified — national register and exact BAG address</x:v>
      </x:c>
      <x:c r="AM42" s="30" t="str">
        <x:v>https://www.golf.nl/de-baan-op/banenzoeker/overzicht</x:v>
      </x:c>
      <x:c r="AN42" s="30" t="str">
        <x:v>2026-08-15</x:v>
      </x:c>
      <x:c r="AO42" s="30" t="str">
        <x:v>+31 514-604236</x:v>
      </x:c>
      <x:c r="AP42" s="30" t="str">
        <x:v>Current NGF/GOLF.NL listing: 9 holes, par 35, 2813 metres. Listed as qualifying.</x:v>
      </x:c>
    </x:row>
    <x:row r="43">
      <x:c r="A43" s="30" t="str">
        <x:v>NL-C0026</x:v>
      </x:c>
      <x:c r="B43" s="30" t="str">
        <x:v>NL-0042</x:v>
      </x:c>
      <x:c r="C43" s="30" t="str">
        <x:v>Golfclub Heidemeer</x:v>
      </x:c>
      <x:c r="D43" s="30" t="str">
        <x:v>Golfclub Heidemeer</x:v>
      </x:c>
      <x:c r="E43" s="30" t="str">
        <x:v>Course</x:v>
      </x:c>
      <x:c r="F43" s="30" t="str">
        <x:v>Netherlands</x:v>
      </x:c>
      <x:c r="G43" s="30" t="str">
        <x:v>Friesland</x:v>
      </x:c>
      <x:c r="H43" s="30" t="str">
        <x:v>Heerenveen</x:v>
      </x:c>
      <x:c r="I43" s="30" t="str">
        <x:v>Heerenveen</x:v>
      </x:c>
      <x:c r="J43" s="30" t="str">
        <x:v>Heidemeer 2</x:v>
      </x:c>
      <x:c r="K43" s="30" t="str">
        <x:v>8445 SB</x:v>
      </x:c>
      <x:c r="L43" s="32" t="n">
        <x:v>52.9376148</x:v>
      </x:c>
      <x:c r="M43" s="32" t="n">
        <x:v>5.93926164</x:v>
      </x:c>
      <x:c r="N43" s="30" t="str">
        <x:v>WGS84 / EPSG:4326</x:v>
      </x:c>
      <x:c r="O43" s="30" t="str">
        <x:v>Verified BAG address point via PDOK</x:v>
      </x:c>
      <x:c r="P43" s="30" t="str">
        <x:v>2026-08-15</x:v>
      </x:c>
      <x:c r="Q43" s="33" t="n">
        <x:f>IF(R43="","",ROUND(R43/0.9144,0))</x:f>
        <x:v>2860</x:v>
      </x:c>
      <x:c r="R43" s="33" t="n">
        <x:v>2615</x:v>
      </x:c>
      <x:c r="S43" s="33" t="n">
        <x:v>9</x:v>
      </x:c>
      <x:c r="T43" s="33" t="n">
        <x:v>35</x:v>
      </x:c>
      <x:c r="U43" s="30" t="str">
        <x:v>Full-length course</x:v>
      </x:c>
      <x:c r="V43" s="30"/>
      <x:c r="W43" s="30"/>
      <x:c r="X43" s="30"/>
      <x:c r="Y43" s="30" t="str">
        <x:v>https://golfclubheidemeer.nl/</x:v>
      </x:c>
      <x:c r="Z43" s="30" t="b">
        <x:f>IF(AND(F43="Netherlands",ISNUMBER(L43),ISNUMBER(M43),L43&gt;=50.7,L43&lt;=53.7,M43&gt;=3.2,M43&lt;=7.3,AC43&lt;&gt;"Closed"),TRUE,FALSE)</x:f>
        <x:v>1</x:v>
      </x:c>
      <x:c r="AA43" s="30" t="b">
        <x:f>Z43</x:f>
        <x:v>1</x:v>
      </x:c>
      <x:c r="AB43" s="30" t="str">
        <x:f>IF(Z43,"verified_coordinate_and_open","not_map_ready")</x:f>
        <x:v>verified_coordinate_and_open</x:v>
      </x:c>
      <x:c r="AC43" s="30" t="str">
        <x:v>Open</x:v>
      </x:c>
      <x:c r="AD43" s="30" t="str">
        <x:v>Public — handicap 54 or lower</x:v>
      </x:c>
      <x:c r="AE43" s="31" t="b">
        <x:v>1</x:v>
      </x:c>
      <x:c r="AF43" s="31" t="b">
        <x:v>0</x:v>
      </x:c>
      <x:c r="AG43" s="30"/>
      <x:c r="AH43" s="30"/>
      <x:c r="AI43" s="30"/>
      <x:c r="AJ43" s="31" t="b">
        <x:v>0</x:v>
      </x:c>
      <x:c r="AK43" s="31" t="b">
        <x:v>0</x:v>
      </x:c>
      <x:c r="AL43" s="30" t="str">
        <x:v>Verified — national register and exact BAG address</x:v>
      </x:c>
      <x:c r="AM43" s="30" t="str">
        <x:v>https://www.golf.nl/de-baan-op/banenzoeker/overzicht</x:v>
      </x:c>
      <x:c r="AN43" s="30" t="str">
        <x:v>2026-08-15</x:v>
      </x:c>
      <x:c r="AO43" s="30" t="str">
        <x:v>+31 513-636519</x:v>
      </x:c>
      <x:c r="AP43" s="30" t="str">
        <x:v>Current NGF/GOLF.NL listing: 9 holes, par 35, 2615 metres. Listed as qualifying.</x:v>
      </x:c>
    </x:row>
    <x:row r="44">
      <x:c r="A44" s="30" t="str">
        <x:v>NL-C0027</x:v>
      </x:c>
      <x:c r="B44" s="30" t="str">
        <x:v>NL-0043</x:v>
      </x:c>
      <x:c r="C44" s="30" t="str">
        <x:v>Golfclub Lauswolt — Main Course</x:v>
      </x:c>
      <x:c r="D44" s="30" t="str">
        <x:v>Golfclub Lauswolt</x:v>
      </x:c>
      <x:c r="E44" s="30" t="str">
        <x:v>Main Course</x:v>
      </x:c>
      <x:c r="F44" s="30" t="str">
        <x:v>Netherlands</x:v>
      </x:c>
      <x:c r="G44" s="30" t="str">
        <x:v>Friesland</x:v>
      </x:c>
      <x:c r="H44" s="30" t="str">
        <x:v>Opsterland</x:v>
      </x:c>
      <x:c r="I44" s="30" t="str">
        <x:v>Beetsterzwaag</x:v>
      </x:c>
      <x:c r="J44" s="30" t="str">
        <x:v>Van Harinxmaweg 8a</x:v>
      </x:c>
      <x:c r="K44" s="30" t="str">
        <x:v>9244 CJ</x:v>
      </x:c>
      <x:c r="L44" s="32" t="n">
        <x:v>53.05641766</x:v>
      </x:c>
      <x:c r="M44" s="32" t="n">
        <x:v>6.08889319</x:v>
      </x:c>
      <x:c r="N44" s="30" t="str">
        <x:v>WGS84 / EPSG:4326</x:v>
      </x:c>
      <x:c r="O44" s="30" t="str">
        <x:v>Verified BAG address point via PDOK</x:v>
      </x:c>
      <x:c r="P44" s="30" t="str">
        <x:v>2026-08-15</x:v>
      </x:c>
      <x:c r="Q44" s="33" t="n">
        <x:f>IF(R44="","",ROUND(R44/0.9144,0))</x:f>
        <x:v>6823</x:v>
      </x:c>
      <x:c r="R44" s="33" t="n">
        <x:v>6239</x:v>
      </x:c>
      <x:c r="S44" s="33" t="n">
        <x:v>18</x:v>
      </x:c>
      <x:c r="T44" s="33" t="n">
        <x:v>73</x:v>
      </x:c>
      <x:c r="U44" s="30" t="str">
        <x:v>Full-length course</x:v>
      </x:c>
      <x:c r="V44" s="30"/>
      <x:c r="W44" s="30"/>
      <x:c r="X44" s="30"/>
      <x:c r="Y44" s="30" t="str">
        <x:v>https://golfclublauswolt.nl/</x:v>
      </x:c>
      <x:c r="Z44" s="30" t="b">
        <x:f>IF(AND(F44="Netherlands",ISNUMBER(L44),ISNUMBER(M44),L44&gt;=50.7,L44&lt;=53.7,M44&gt;=3.2,M44&lt;=7.3,AC44&lt;&gt;"Closed"),TRUE,FALSE)</x:f>
        <x:v>1</x:v>
      </x:c>
      <x:c r="AA44" s="30" t="b">
        <x:f>Z44</x:f>
        <x:v>1</x:v>
      </x:c>
      <x:c r="AB44" s="30" t="str">
        <x:f>IF(Z44,"verified_coordinate_and_open","not_map_ready")</x:f>
        <x:v>verified_coordinate_and_open</x:v>
      </x:c>
      <x:c r="AC44" s="30" t="str">
        <x:v>Open</x:v>
      </x:c>
      <x:c r="AD44" s="30" t="str">
        <x:v>Public — handicap 54 or lower</x:v>
      </x:c>
      <x:c r="AE44" s="31" t="b">
        <x:v>1</x:v>
      </x:c>
      <x:c r="AF44" s="31" t="b">
        <x:v>0</x:v>
      </x:c>
      <x:c r="AG44" s="30"/>
      <x:c r="AH44" s="30"/>
      <x:c r="AI44" s="30"/>
      <x:c r="AJ44" s="31" t="b">
        <x:v>0</x:v>
      </x:c>
      <x:c r="AK44" s="31" t="b">
        <x:v>0</x:v>
      </x:c>
      <x:c r="AL44" s="30" t="str">
        <x:v>Verified — national register and exact BAG address</x:v>
      </x:c>
      <x:c r="AM44" s="30" t="str">
        <x:v>https://www.golf.nl/de-baan-op/banenzoeker/overzicht</x:v>
      </x:c>
      <x:c r="AN44" s="30" t="str">
        <x:v>2026-08-15</x:v>
      </x:c>
      <x:c r="AO44" s="30" t="str">
        <x:v>+31 512-383590</x:v>
      </x:c>
      <x:c r="AP44" s="30" t="str">
        <x:v>Current NGF/GOLF.NL listing: 18 holes, par 73, 6239 metres. Combined from exact NGF-listed constituent nine-hole loops: 1ste negen (9 holes, par 36, 3099 m); 2de negen (9 holes, par 37, 3140 m) Listed as qualifying.</x:v>
      </x:c>
    </x:row>
    <x:row r="45">
      <x:c r="A45" s="30" t="str">
        <x:v>NL-C0028</x:v>
      </x:c>
      <x:c r="B45" s="30" t="str">
        <x:v>NL-0044</x:v>
      </x:c>
      <x:c r="C45" s="30" t="str">
        <x:v>Golfpark De Hildenberg — Main Course</x:v>
      </x:c>
      <x:c r="D45" s="30" t="str">
        <x:v>Golfpark De Hildenberg</x:v>
      </x:c>
      <x:c r="E45" s="30" t="str">
        <x:v>Main Course</x:v>
      </x:c>
      <x:c r="F45" s="30" t="str">
        <x:v>Netherlands</x:v>
      </x:c>
      <x:c r="G45" s="30" t="str">
        <x:v>Friesland</x:v>
      </x:c>
      <x:c r="H45" s="30" t="str">
        <x:v>Ooststellingwerf</x:v>
      </x:c>
      <x:c r="I45" s="30" t="str">
        <x:v>Appelscha</x:v>
      </x:c>
      <x:c r="J45" s="30" t="str">
        <x:v>Gruun 3</x:v>
      </x:c>
      <x:c r="K45" s="30" t="str">
        <x:v>8426 NA</x:v>
      </x:c>
      <x:c r="L45" s="32" t="n">
        <x:v>52.94230192</x:v>
      </x:c>
      <x:c r="M45" s="32" t="n">
        <x:v>6.35267516</x:v>
      </x:c>
      <x:c r="N45" s="30" t="str">
        <x:v>WGS84 / EPSG:4326</x:v>
      </x:c>
      <x:c r="O45" s="30" t="str">
        <x:v>Verified BAG address point via PDOK</x:v>
      </x:c>
      <x:c r="P45" s="30" t="str">
        <x:v>2026-08-15</x:v>
      </x:c>
      <x:c r="Q45" s="33" t="n">
        <x:f>IF(R45="","",ROUND(R45/0.9144,0))</x:f>
        <x:v>2682</x:v>
      </x:c>
      <x:c r="R45" s="33" t="n">
        <x:v>2452</x:v>
      </x:c>
      <x:c r="S45" s="33" t="n">
        <x:v>9</x:v>
      </x:c>
      <x:c r="T45" s="33" t="n">
        <x:v>35</x:v>
      </x:c>
      <x:c r="U45" s="30" t="str">
        <x:v>Full-length course</x:v>
      </x:c>
      <x:c r="V45" s="30"/>
      <x:c r="W45" s="30"/>
      <x:c r="X45" s="30"/>
      <x:c r="Y45" s="30" t="str">
        <x:v>https://golfparkdehildenberg.nl/</x:v>
      </x:c>
      <x:c r="Z45" s="30" t="b">
        <x:f>IF(AND(F45="Netherlands",ISNUMBER(L45),ISNUMBER(M45),L45&gt;=50.7,L45&lt;=53.7,M45&gt;=3.2,M45&lt;=7.3,AC45&lt;&gt;"Closed"),TRUE,FALSE)</x:f>
        <x:v>1</x:v>
      </x:c>
      <x:c r="AA45" s="30" t="b">
        <x:f>Z45</x:f>
        <x:v>1</x:v>
      </x:c>
      <x:c r="AB45" s="30" t="str">
        <x:f>IF(Z45,"verified_coordinate_and_open","not_map_ready")</x:f>
        <x:v>verified_coordinate_and_open</x:v>
      </x:c>
      <x:c r="AC45" s="30" t="str">
        <x:v>Open</x:v>
      </x:c>
      <x:c r="AD45" s="30" t="str">
        <x:v>Public — NGF course permission</x:v>
      </x:c>
      <x:c r="AE45" s="31" t="b">
        <x:v>1</x:v>
      </x:c>
      <x:c r="AF45" s="31" t="b">
        <x:v>0</x:v>
      </x:c>
      <x:c r="AG45" s="30"/>
      <x:c r="AH45" s="30"/>
      <x:c r="AI45" s="30"/>
      <x:c r="AJ45" s="31" t="b">
        <x:v>0</x:v>
      </x:c>
      <x:c r="AK45" s="31" t="b">
        <x:v>0</x:v>
      </x:c>
      <x:c r="AL45" s="30" t="str">
        <x:v>Verified — national register and exact BAG address</x:v>
      </x:c>
      <x:c r="AM45" s="30" t="str">
        <x:v>https://www.golf.nl/de-baan-op/banenzoeker/overzicht</x:v>
      </x:c>
      <x:c r="AN45" s="30" t="str">
        <x:v>2026-08-15</x:v>
      </x:c>
      <x:c r="AO45" s="30" t="str">
        <x:v>+31 6-57848818</x:v>
      </x:c>
      <x:c r="AP45" s="30" t="str">
        <x:v>Current NGF/GOLF.NL listing: 9 holes, par 35, 2452 metres. Listed as qualifying.</x:v>
      </x:c>
    </x:row>
    <x:row r="46">
      <x:c r="A46" s="30" t="str">
        <x:v>NL-C0028</x:v>
      </x:c>
      <x:c r="B46" s="30" t="str">
        <x:v>NL-0045</x:v>
      </x:c>
      <x:c r="C46" s="30" t="str">
        <x:v>Golfpark De Hildenberg — Pitch en Put</x:v>
      </x:c>
      <x:c r="D46" s="30" t="str">
        <x:v>Golfpark De Hildenberg</x:v>
      </x:c>
      <x:c r="E46" s="30" t="str">
        <x:v>Pitch en Put</x:v>
      </x:c>
      <x:c r="F46" s="30" t="str">
        <x:v>Netherlands</x:v>
      </x:c>
      <x:c r="G46" s="30" t="str">
        <x:v>Friesland</x:v>
      </x:c>
      <x:c r="H46" s="30" t="str">
        <x:v>Ooststellingwerf</x:v>
      </x:c>
      <x:c r="I46" s="30" t="str">
        <x:v>Appelscha</x:v>
      </x:c>
      <x:c r="J46" s="30" t="str">
        <x:v>Gruun 3</x:v>
      </x:c>
      <x:c r="K46" s="30" t="str">
        <x:v>8426 NA</x:v>
      </x:c>
      <x:c r="L46" s="32" t="n">
        <x:v>52.94230192</x:v>
      </x:c>
      <x:c r="M46" s="32" t="n">
        <x:v>6.35267516</x:v>
      </x:c>
      <x:c r="N46" s="30" t="str">
        <x:v>WGS84 / EPSG:4326</x:v>
      </x:c>
      <x:c r="O46" s="30" t="str">
        <x:v>Verified BAG address point via PDOK</x:v>
      </x:c>
      <x:c r="P46" s="30" t="str">
        <x:v>2026-08-15</x:v>
      </x:c>
      <x:c r="Q46" s="33" t="n">
        <x:f>IF(R46="","",ROUND(R46/0.9144,0))</x:f>
        <x:v>273</x:v>
      </x:c>
      <x:c r="R46" s="33" t="n">
        <x:v>250</x:v>
      </x:c>
      <x:c r="S46" s="33" t="n">
        <x:v>9</x:v>
      </x:c>
      <x:c r="T46" s="33" t="n">
        <x:v>27</x:v>
      </x:c>
      <x:c r="U46" s="30" t="str">
        <x:v>Shortgolf / Pitch &amp; Putt</x:v>
      </x:c>
      <x:c r="V46" s="30"/>
      <x:c r="W46" s="30"/>
      <x:c r="X46" s="30"/>
      <x:c r="Y46" s="30" t="str">
        <x:v>https://golfparkdehildenberg.nl/</x:v>
      </x:c>
      <x:c r="Z46" s="30" t="b">
        <x:f>IF(AND(F46="Netherlands",ISNUMBER(L46),ISNUMBER(M46),L46&gt;=50.7,L46&lt;=53.7,M46&gt;=3.2,M46&lt;=7.3,AC46&lt;&gt;"Closed"),TRUE,FALSE)</x:f>
        <x:v>1</x:v>
      </x:c>
      <x:c r="AA46" s="30" t="b">
        <x:f>Z46</x:f>
        <x:v>1</x:v>
      </x:c>
      <x:c r="AB46" s="30" t="str">
        <x:f>IF(Z46,"verified_coordinate_and_open","not_map_ready")</x:f>
        <x:v>verified_coordinate_and_open</x:v>
      </x:c>
      <x:c r="AC46" s="30" t="str">
        <x:v>Open</x:v>
      </x:c>
      <x:c r="AD46" s="30" t="str">
        <x:v>Public — no playing requirement</x:v>
      </x:c>
      <x:c r="AE46" s="31" t="b">
        <x:v>0</x:v>
      </x:c>
      <x:c r="AF46" s="31" t="b">
        <x:v>0</x:v>
      </x:c>
      <x:c r="AG46" s="30"/>
      <x:c r="AH46" s="30"/>
      <x:c r="AI46" s="30"/>
      <x:c r="AJ46" s="31" t="b">
        <x:v>0</x:v>
      </x:c>
      <x:c r="AK46" s="31" t="b">
        <x:v>0</x:v>
      </x:c>
      <x:c r="AL46" s="30" t="str">
        <x:v>Verified — national register and exact BAG address</x:v>
      </x:c>
      <x:c r="AM46" s="30" t="str">
        <x:v>https://www.golf.nl/de-baan-op/banenzoeker/overzicht</x:v>
      </x:c>
      <x:c r="AN46" s="30" t="str">
        <x:v>2026-08-15</x:v>
      </x:c>
      <x:c r="AO46" s="30" t="str">
        <x:v>+31 6-57848818</x:v>
      </x:c>
      <x:c r="AP46" s="30" t="str">
        <x:v>Current NGF/GOLF.NL listing: 9 holes, par 27, 250 metres. Listed as non-qualifying.</x:v>
      </x:c>
    </x:row>
    <x:row r="47">
      <x:c r="A47" s="30" t="str">
        <x:v>NL-C0029</x:v>
      </x:c>
      <x:c r="B47" s="30" t="str">
        <x:v>NL-0046</x:v>
      </x:c>
      <x:c r="C47" s="30" t="str">
        <x:v>Golfpark Sint Nyk — Red</x:v>
      </x:c>
      <x:c r="D47" s="30" t="str">
        <x:v>Golfpark Sint Nyk</x:v>
      </x:c>
      <x:c r="E47" s="30" t="str">
        <x:v>Red</x:v>
      </x:c>
      <x:c r="F47" s="30" t="str">
        <x:v>Netherlands</x:v>
      </x:c>
      <x:c r="G47" s="30" t="str">
        <x:v>Friesland</x:v>
      </x:c>
      <x:c r="H47" s="30" t="str">
        <x:v>De Fryske Marren</x:v>
      </x:c>
      <x:c r="I47" s="30" t="str">
        <x:v>Legemeer</x:v>
      </x:c>
      <x:c r="J47" s="30" t="str">
        <x:v>Legemeersterweg 16-18</x:v>
      </x:c>
      <x:c r="K47" s="30" t="str">
        <x:v>8527 DS</x:v>
      </x:c>
      <x:c r="L47" s="32" t="n">
        <x:v>52.9395149</x:v>
      </x:c>
      <x:c r="M47" s="32" t="n">
        <x:v>5.72940042</x:v>
      </x:c>
      <x:c r="N47" s="30" t="str">
        <x:v>WGS84 / EPSG:4326</x:v>
      </x:c>
      <x:c r="O47" s="30" t="str">
        <x:v>Verified BAG address point via PDOK</x:v>
      </x:c>
      <x:c r="P47" s="30" t="str">
        <x:v>2026-08-15</x:v>
      </x:c>
      <x:c r="Q47" s="33" t="n">
        <x:f>IF(R47="","",ROUND(R47/0.9144,0))</x:f>
        <x:v>3323</x:v>
      </x:c>
      <x:c r="R47" s="33" t="n">
        <x:v>3039</x:v>
      </x:c>
      <x:c r="S47" s="33" t="n">
        <x:v>9</x:v>
      </x:c>
      <x:c r="T47" s="33" t="n">
        <x:v>36</x:v>
      </x:c>
      <x:c r="U47" s="30" t="str">
        <x:v>Full-length course</x:v>
      </x:c>
      <x:c r="V47" s="30"/>
      <x:c r="W47" s="30"/>
      <x:c r="X47" s="30"/>
      <x:c r="Y47" s="30" t="str">
        <x:v>https://www.hollandschegolfclub.nl/golfpark/sint-nyk/</x:v>
      </x:c>
      <x:c r="Z47" s="30" t="b">
        <x:f>IF(AND(F47="Netherlands",ISNUMBER(L47),ISNUMBER(M47),L47&gt;=50.7,L47&lt;=53.7,M47&gt;=3.2,M47&lt;=7.3,AC47&lt;&gt;"Closed"),TRUE,FALSE)</x:f>
        <x:v>1</x:v>
      </x:c>
      <x:c r="AA47" s="30" t="b">
        <x:f>Z47</x:f>
        <x:v>1</x:v>
      </x:c>
      <x:c r="AB47" s="30" t="str">
        <x:f>IF(Z47,"verified_coordinate_and_open","not_map_ready")</x:f>
        <x:v>verified_coordinate_and_open</x:v>
      </x:c>
      <x:c r="AC47" s="30" t="str">
        <x:v>Open</x:v>
      </x:c>
      <x:c r="AD47" s="30" t="str">
        <x:v>Public — handicap 54 or lower</x:v>
      </x:c>
      <x:c r="AE47" s="31" t="b">
        <x:v>1</x:v>
      </x:c>
      <x:c r="AF47" s="31" t="b">
        <x:v>0</x:v>
      </x:c>
      <x:c r="AG47" s="30"/>
      <x:c r="AH47" s="30"/>
      <x:c r="AI47" s="30"/>
      <x:c r="AJ47" s="31" t="b">
        <x:v>0</x:v>
      </x:c>
      <x:c r="AK47" s="31" t="b">
        <x:v>0</x:v>
      </x:c>
      <x:c r="AL47" s="30" t="str">
        <x:v>Verified — national register and exact BAG address</x:v>
      </x:c>
      <x:c r="AM47" s="30" t="str">
        <x:v>https://www.golf.nl/de-baan-op/banenzoeker/overzicht</x:v>
      </x:c>
      <x:c r="AN47" s="30" t="str">
        <x:v>2026-08-15</x:v>
      </x:c>
      <x:c r="AO47" s="30" t="str">
        <x:v>+31 513-498032</x:v>
      </x:c>
      <x:c r="AP47" s="30" t="str">
        <x:v>Current NGF/GOLF.NL listing: 9 holes, par 36, 3039 metres. Listed as qualifying.</x:v>
      </x:c>
    </x:row>
    <x:row r="48">
      <x:c r="A48" s="30" t="str">
        <x:v>NL-C0029</x:v>
      </x:c>
      <x:c r="B48" s="30" t="str">
        <x:v>NL-0047</x:v>
      </x:c>
      <x:c r="C48" s="30" t="str">
        <x:v>Golfpark Sint Nyk — Yellow</x:v>
      </x:c>
      <x:c r="D48" s="30" t="str">
        <x:v>Golfpark Sint Nyk</x:v>
      </x:c>
      <x:c r="E48" s="30" t="str">
        <x:v>Yellow</x:v>
      </x:c>
      <x:c r="F48" s="30" t="str">
        <x:v>Netherlands</x:v>
      </x:c>
      <x:c r="G48" s="30" t="str">
        <x:v>Friesland</x:v>
      </x:c>
      <x:c r="H48" s="30" t="str">
        <x:v>De Fryske Marren</x:v>
      </x:c>
      <x:c r="I48" s="30" t="str">
        <x:v>Legemeer</x:v>
      </x:c>
      <x:c r="J48" s="30" t="str">
        <x:v>Legemeersterweg 16-18</x:v>
      </x:c>
      <x:c r="K48" s="30" t="str">
        <x:v>8527 DS</x:v>
      </x:c>
      <x:c r="L48" s="32" t="n">
        <x:v>52.9395149</x:v>
      </x:c>
      <x:c r="M48" s="32" t="n">
        <x:v>5.72940042</x:v>
      </x:c>
      <x:c r="N48" s="30" t="str">
        <x:v>WGS84 / EPSG:4326</x:v>
      </x:c>
      <x:c r="O48" s="30" t="str">
        <x:v>Verified BAG address point via PDOK</x:v>
      </x:c>
      <x:c r="P48" s="30" t="str">
        <x:v>2026-08-15</x:v>
      </x:c>
      <x:c r="Q48" s="33" t="n">
        <x:f>IF(R48="","",ROUND(R48/0.9144,0))</x:f>
        <x:v>3280</x:v>
      </x:c>
      <x:c r="R48" s="33" t="n">
        <x:v>2999</x:v>
      </x:c>
      <x:c r="S48" s="33" t="n">
        <x:v>9</x:v>
      </x:c>
      <x:c r="T48" s="33" t="n">
        <x:v>36</x:v>
      </x:c>
      <x:c r="U48" s="30" t="str">
        <x:v>Full-length course</x:v>
      </x:c>
      <x:c r="V48" s="30"/>
      <x:c r="W48" s="30"/>
      <x:c r="X48" s="30"/>
      <x:c r="Y48" s="30" t="str">
        <x:v>https://www.hollandschegolfclub.nl/golfpark/sint-nyk/</x:v>
      </x:c>
      <x:c r="Z48" s="30" t="b">
        <x:f>IF(AND(F48="Netherlands",ISNUMBER(L48),ISNUMBER(M48),L48&gt;=50.7,L48&lt;=53.7,M48&gt;=3.2,M48&lt;=7.3,AC48&lt;&gt;"Closed"),TRUE,FALSE)</x:f>
        <x:v>1</x:v>
      </x:c>
      <x:c r="AA48" s="30" t="b">
        <x:f>Z48</x:f>
        <x:v>1</x:v>
      </x:c>
      <x:c r="AB48" s="30" t="str">
        <x:f>IF(Z48,"verified_coordinate_and_open","not_map_ready")</x:f>
        <x:v>verified_coordinate_and_open</x:v>
      </x:c>
      <x:c r="AC48" s="30" t="str">
        <x:v>Open</x:v>
      </x:c>
      <x:c r="AD48" s="30" t="str">
        <x:v>Public — handicap 54 or lower</x:v>
      </x:c>
      <x:c r="AE48" s="31" t="b">
        <x:v>1</x:v>
      </x:c>
      <x:c r="AF48" s="31" t="b">
        <x:v>0</x:v>
      </x:c>
      <x:c r="AG48" s="30"/>
      <x:c r="AH48" s="30"/>
      <x:c r="AI48" s="30"/>
      <x:c r="AJ48" s="31" t="b">
        <x:v>0</x:v>
      </x:c>
      <x:c r="AK48" s="31" t="b">
        <x:v>0</x:v>
      </x:c>
      <x:c r="AL48" s="30" t="str">
        <x:v>Verified — national register and exact BAG address</x:v>
      </x:c>
      <x:c r="AM48" s="30" t="str">
        <x:v>https://www.golf.nl/de-baan-op/banenzoeker/overzicht</x:v>
      </x:c>
      <x:c r="AN48" s="30" t="str">
        <x:v>2026-08-15</x:v>
      </x:c>
      <x:c r="AO48" s="30" t="str">
        <x:v>+31 513-498032</x:v>
      </x:c>
      <x:c r="AP48" s="30" t="str">
        <x:v>Current NGF/GOLF.NL listing: 9 holes, par 36, 2999 metres. Listed as qualifying.</x:v>
      </x:c>
    </x:row>
    <x:row r="49">
      <x:c r="A49" s="30" t="str">
        <x:v>NL-C0030</x:v>
      </x:c>
      <x:c r="B49" s="30" t="str">
        <x:v>NL-0048</x:v>
      </x:c>
      <x:c r="C49" s="30" t="str">
        <x:v>Leeuwarder Golfclub De Groene Ster — Main Course</x:v>
      </x:c>
      <x:c r="D49" s="30" t="str">
        <x:v>Leeuwarder Golfclub De Groene Ster</x:v>
      </x:c>
      <x:c r="E49" s="30" t="str">
        <x:v>Main Course</x:v>
      </x:c>
      <x:c r="F49" s="30" t="str">
        <x:v>Netherlands</x:v>
      </x:c>
      <x:c r="G49" s="30" t="str">
        <x:v>Friesland</x:v>
      </x:c>
      <x:c r="H49" s="30" t="str">
        <x:v>Leeuwarden</x:v>
      </x:c>
      <x:c r="I49" s="30" t="str">
        <x:v>Leeuwarden</x:v>
      </x:c>
      <x:c r="J49" s="30" t="str">
        <x:v>Woelwijk 101</x:v>
      </x:c>
      <x:c r="K49" s="30" t="str">
        <x:v>8926 XD</x:v>
      </x:c>
      <x:c r="L49" s="32" t="n">
        <x:v>53.21000584</x:v>
      </x:c>
      <x:c r="M49" s="32" t="n">
        <x:v>5.89129983</x:v>
      </x:c>
      <x:c r="N49" s="30" t="str">
        <x:v>WGS84 / EPSG:4326</x:v>
      </x:c>
      <x:c r="O49" s="30" t="str">
        <x:v>Verified BAG address point via PDOK</x:v>
      </x:c>
      <x:c r="P49" s="30" t="str">
        <x:v>2026-08-15</x:v>
      </x:c>
      <x:c r="Q49" s="33" t="n">
        <x:f>IF(R49="","",ROUND(R49/0.9144,0))</x:f>
        <x:v>6767</x:v>
      </x:c>
      <x:c r="R49" s="33" t="n">
        <x:v>6188</x:v>
      </x:c>
      <x:c r="S49" s="33" t="n">
        <x:v>18</x:v>
      </x:c>
      <x:c r="T49" s="33" t="n">
        <x:v>72</x:v>
      </x:c>
      <x:c r="U49" s="30" t="str">
        <x:v>Full-length course</x:v>
      </x:c>
      <x:c r="V49" s="30"/>
      <x:c r="W49" s="30"/>
      <x:c r="X49" s="30"/>
      <x:c r="Y49" s="30" t="str">
        <x:v>https://www.leeuwardergolfclub.nl/</x:v>
      </x:c>
      <x:c r="Z49" s="30" t="b">
        <x:f>IF(AND(F49="Netherlands",ISNUMBER(L49),ISNUMBER(M49),L49&gt;=50.7,L49&lt;=53.7,M49&gt;=3.2,M49&lt;=7.3,AC49&lt;&gt;"Closed"),TRUE,FALSE)</x:f>
        <x:v>1</x:v>
      </x:c>
      <x:c r="AA49" s="30" t="b">
        <x:f>Z49</x:f>
        <x:v>1</x:v>
      </x:c>
      <x:c r="AB49" s="30" t="str">
        <x:f>IF(Z49,"verified_coordinate_and_open","not_map_ready")</x:f>
        <x:v>verified_coordinate_and_open</x:v>
      </x:c>
      <x:c r="AC49" s="30" t="str">
        <x:v>Open</x:v>
      </x:c>
      <x:c r="AD49" s="30" t="str">
        <x:v>Public — handicap 54 or lower</x:v>
      </x:c>
      <x:c r="AE49" s="31" t="b">
        <x:v>1</x:v>
      </x:c>
      <x:c r="AF49" s="31" t="b">
        <x:v>0</x:v>
      </x:c>
      <x:c r="AG49" s="30"/>
      <x:c r="AH49" s="30"/>
      <x:c r="AI49" s="30"/>
      <x:c r="AJ49" s="31" t="b">
        <x:v>0</x:v>
      </x:c>
      <x:c r="AK49" s="31" t="b">
        <x:v>0</x:v>
      </x:c>
      <x:c r="AL49" s="30" t="str">
        <x:v>Verified — national register and exact BAG address</x:v>
      </x:c>
      <x:c r="AM49" s="30" t="str">
        <x:v>https://www.golf.nl/de-baan-op/banenzoeker/overzicht</x:v>
      </x:c>
      <x:c r="AN49" s="30" t="str">
        <x:v>2026-08-15</x:v>
      </x:c>
      <x:c r="AO49" s="30" t="str">
        <x:v>0511-43 22 99</x:v>
      </x:c>
      <x:c r="AP49" s="30" t="str">
        <x:v>Current NGF/GOLF.NL listing: 18 holes, par 72, 6188 metres. Combined from exact NGF-listed constituent nine-hole loops: 1ste negen (9 holes, par 37, 3187 m); 2de negen (9 holes, par 35, 3001 m) Listed as qualifying.</x:v>
      </x:c>
    </x:row>
    <x:row r="50">
      <x:c r="A50" s="30" t="str">
        <x:v>NL-C0031</x:v>
      </x:c>
      <x:c r="B50" s="30" t="str">
        <x:v>NL-0049</x:v>
      </x:c>
      <x:c r="C50" s="30" t="str">
        <x:v>Pitch &amp; Putt Esonstad — Seedyk, 1ste negen</x:v>
      </x:c>
      <x:c r="D50" s="30" t="str">
        <x:v>Pitch &amp; Putt Esonstad</x:v>
      </x:c>
      <x:c r="E50" s="30" t="str">
        <x:v>Seedyk, 1ste negen</x:v>
      </x:c>
      <x:c r="F50" s="30" t="str">
        <x:v>Netherlands</x:v>
      </x:c>
      <x:c r="G50" s="30" t="str">
        <x:v>Friesland</x:v>
      </x:c>
      <x:c r="H50" s="30" t="str">
        <x:v>Noardeast-Fryslân</x:v>
      </x:c>
      <x:c r="I50" s="30" t="str">
        <x:v>Eanjum</x:v>
      </x:c>
      <x:c r="J50" s="30" t="str">
        <x:v>Skânserwei 28</x:v>
      </x:c>
      <x:c r="K50" s="30" t="str">
        <x:v>9133 DV</x:v>
      </x:c>
      <x:c r="L50" s="32" t="n">
        <x:v>53.37553131</x:v>
      </x:c>
      <x:c r="M50" s="32" t="n">
        <x:v>6.15808959</x:v>
      </x:c>
      <x:c r="N50" s="30" t="str">
        <x:v>WGS84 / EPSG:4326</x:v>
      </x:c>
      <x:c r="O50" s="30" t="str">
        <x:v>Verified BAG address point via PDOK</x:v>
      </x:c>
      <x:c r="P50" s="30" t="str">
        <x:v>2026-08-15</x:v>
      </x:c>
      <x:c r="Q50" s="33" t="n">
        <x:f>IF(R50="","",ROUND(R50/0.9144,0))</x:f>
        <x:v>492</x:v>
      </x:c>
      <x:c r="R50" s="33" t="n">
        <x:v>450</x:v>
      </x:c>
      <x:c r="S50" s="33" t="n">
        <x:v>9</x:v>
      </x:c>
      <x:c r="T50" s="33" t="n">
        <x:v>27</x:v>
      </x:c>
      <x:c r="U50" s="30" t="str">
        <x:v>Shortgolf / Pitch &amp; Putt</x:v>
      </x:c>
      <x:c r="V50" s="30"/>
      <x:c r="W50" s="30"/>
      <x:c r="X50" s="30"/>
      <x:c r="Y50" s="30" t="str">
        <x:v>https://www.esonstadevents.nl/</x:v>
      </x:c>
      <x:c r="Z50" s="30" t="b">
        <x:f>IF(AND(F50="Netherlands",ISNUMBER(L50),ISNUMBER(M50),L50&gt;=50.7,L50&lt;=53.7,M50&gt;=3.2,M50&lt;=7.3,AC50&lt;&gt;"Closed"),TRUE,FALSE)</x:f>
        <x:v>1</x:v>
      </x:c>
      <x:c r="AA50" s="30" t="b">
        <x:f>Z50</x:f>
        <x:v>1</x:v>
      </x:c>
      <x:c r="AB50" s="30" t="str">
        <x:f>IF(Z50,"verified_coordinate_and_open","not_map_ready")</x:f>
        <x:v>verified_coordinate_and_open</x:v>
      </x:c>
      <x:c r="AC50" s="30" t="str">
        <x:v>Open</x:v>
      </x:c>
      <x:c r="AD50" s="30" t="str">
        <x:v>Public — no playing requirement</x:v>
      </x:c>
      <x:c r="AE50" s="31" t="b">
        <x:v>0</x:v>
      </x:c>
      <x:c r="AF50" s="31" t="b">
        <x:v>0</x:v>
      </x:c>
      <x:c r="AG50" s="30"/>
      <x:c r="AH50" s="30"/>
      <x:c r="AI50" s="30"/>
      <x:c r="AJ50" s="31" t="b">
        <x:v>0</x:v>
      </x:c>
      <x:c r="AK50" s="31" t="b">
        <x:v>0</x:v>
      </x:c>
      <x:c r="AL50" s="30" t="str">
        <x:v>Verified — national register and exact BAG address</x:v>
      </x:c>
      <x:c r="AM50" s="30" t="str">
        <x:v>https://www.golf.nl/de-baan-op/banenzoeker/overzicht</x:v>
      </x:c>
      <x:c r="AN50" s="30" t="str">
        <x:v>2026-08-15</x:v>
      </x:c>
      <x:c r="AO50" s="30" t="str">
        <x:v>+31 519-329555</x:v>
      </x:c>
      <x:c r="AP50" s="30" t="str">
        <x:v>Current NGF/GOLF.NL listing: 9 holes, par 27, 450 metres. Listed as non-qualifying.</x:v>
      </x:c>
    </x:row>
    <x:row r="51">
      <x:c r="A51" s="30" t="str">
        <x:v>NL-C0031</x:v>
      </x:c>
      <x:c r="B51" s="30" t="str">
        <x:v>NL-0050</x:v>
      </x:c>
      <x:c r="C51" s="30" t="str">
        <x:v>Pitch &amp; Putt Esonstad — Terpen, 2de negen</x:v>
      </x:c>
      <x:c r="D51" s="30" t="str">
        <x:v>Pitch &amp; Putt Esonstad</x:v>
      </x:c>
      <x:c r="E51" s="30" t="str">
        <x:v>Terpen, 2de negen</x:v>
      </x:c>
      <x:c r="F51" s="30" t="str">
        <x:v>Netherlands</x:v>
      </x:c>
      <x:c r="G51" s="30" t="str">
        <x:v>Friesland</x:v>
      </x:c>
      <x:c r="H51" s="30" t="str">
        <x:v>Noardeast-Fryslân</x:v>
      </x:c>
      <x:c r="I51" s="30" t="str">
        <x:v>Eanjum</x:v>
      </x:c>
      <x:c r="J51" s="30" t="str">
        <x:v>Skânserwei 28</x:v>
      </x:c>
      <x:c r="K51" s="30" t="str">
        <x:v>9133 DV</x:v>
      </x:c>
      <x:c r="L51" s="32" t="n">
        <x:v>53.37553131</x:v>
      </x:c>
      <x:c r="M51" s="32" t="n">
        <x:v>6.15808959</x:v>
      </x:c>
      <x:c r="N51" s="30" t="str">
        <x:v>WGS84 / EPSG:4326</x:v>
      </x:c>
      <x:c r="O51" s="30" t="str">
        <x:v>Verified BAG address point via PDOK</x:v>
      </x:c>
      <x:c r="P51" s="30" t="str">
        <x:v>2026-08-15</x:v>
      </x:c>
      <x:c r="Q51" s="33" t="n">
        <x:f>IF(R51="","",ROUND(R51/0.9144,0))</x:f>
        <x:v>492</x:v>
      </x:c>
      <x:c r="R51" s="33" t="n">
        <x:v>450</x:v>
      </x:c>
      <x:c r="S51" s="33" t="n">
        <x:v>9</x:v>
      </x:c>
      <x:c r="T51" s="33" t="n">
        <x:v>27</x:v>
      </x:c>
      <x:c r="U51" s="30" t="str">
        <x:v>Shortgolf / Pitch &amp; Putt</x:v>
      </x:c>
      <x:c r="V51" s="30"/>
      <x:c r="W51" s="30"/>
      <x:c r="X51" s="30"/>
      <x:c r="Y51" s="30" t="str">
        <x:v>https://www.esonstadevents.nl/</x:v>
      </x:c>
      <x:c r="Z51" s="30" t="b">
        <x:f>IF(AND(F51="Netherlands",ISNUMBER(L51),ISNUMBER(M51),L51&gt;=50.7,L51&lt;=53.7,M51&gt;=3.2,M51&lt;=7.3,AC51&lt;&gt;"Closed"),TRUE,FALSE)</x:f>
        <x:v>1</x:v>
      </x:c>
      <x:c r="AA51" s="30" t="b">
        <x:f>Z51</x:f>
        <x:v>1</x:v>
      </x:c>
      <x:c r="AB51" s="30" t="str">
        <x:f>IF(Z51,"verified_coordinate_and_open","not_map_ready")</x:f>
        <x:v>verified_coordinate_and_open</x:v>
      </x:c>
      <x:c r="AC51" s="30" t="str">
        <x:v>Open</x:v>
      </x:c>
      <x:c r="AD51" s="30" t="str">
        <x:v>Public — no playing requirement</x:v>
      </x:c>
      <x:c r="AE51" s="31" t="b">
        <x:v>0</x:v>
      </x:c>
      <x:c r="AF51" s="31" t="b">
        <x:v>0</x:v>
      </x:c>
      <x:c r="AG51" s="30"/>
      <x:c r="AH51" s="30"/>
      <x:c r="AI51" s="30"/>
      <x:c r="AJ51" s="31" t="b">
        <x:v>0</x:v>
      </x:c>
      <x:c r="AK51" s="31" t="b">
        <x:v>0</x:v>
      </x:c>
      <x:c r="AL51" s="30" t="str">
        <x:v>Verified — national register and exact BAG address</x:v>
      </x:c>
      <x:c r="AM51" s="30" t="str">
        <x:v>https://www.golf.nl/de-baan-op/banenzoeker/overzicht</x:v>
      </x:c>
      <x:c r="AN51" s="30" t="str">
        <x:v>2026-08-15</x:v>
      </x:c>
      <x:c r="AO51" s="30" t="str">
        <x:v>+31 519-329555</x:v>
      </x:c>
      <x:c r="AP51" s="30" t="str">
        <x:v>Current NGF/GOLF.NL listing: 9 holes, par 27, 450 metres. Listed as non-qualifying.</x:v>
      </x:c>
    </x:row>
    <x:row r="52">
      <x:c r="A52" s="30" t="str">
        <x:v>NL-C0032</x:v>
      </x:c>
      <x:c r="B52" s="30" t="str">
        <x:v>NL-0051</x:v>
      </x:c>
      <x:c r="C52" s="30" t="str">
        <x:v>Pitch &amp; putt Koudum — Shortgolf / Pitch &amp; Putt Course</x:v>
      </x:c>
      <x:c r="D52" s="30" t="str">
        <x:v>Pitch &amp; putt Koudum</x:v>
      </x:c>
      <x:c r="E52" s="30" t="str">
        <x:v>Shortgolf / Pitch &amp; Putt Course</x:v>
      </x:c>
      <x:c r="F52" s="30" t="str">
        <x:v>Netherlands</x:v>
      </x:c>
      <x:c r="G52" s="30" t="str">
        <x:v>Friesland</x:v>
      </x:c>
      <x:c r="H52" s="30" t="str">
        <x:v>Súdwest-Fryslân</x:v>
      </x:c>
      <x:c r="I52" s="30" t="str">
        <x:v>Koudum</x:v>
      </x:c>
      <x:c r="J52" s="30" t="str">
        <x:v>Nieuweweg 42</x:v>
      </x:c>
      <x:c r="K52" s="30" t="str">
        <x:v>8723 EB</x:v>
      </x:c>
      <x:c r="L52" s="32" t="n">
        <x:v>52.91960364</x:v>
      </x:c>
      <x:c r="M52" s="32" t="n">
        <x:v>5.46119135</x:v>
      </x:c>
      <x:c r="N52" s="30" t="str">
        <x:v>WGS84 / EPSG:4326</x:v>
      </x:c>
      <x:c r="O52" s="30" t="str">
        <x:v>Verified BAG address point via PDOK</x:v>
      </x:c>
      <x:c r="P52" s="30" t="str">
        <x:v>2026-08-15</x:v>
      </x:c>
      <x:c r="Q52" s="33" t="n">
        <x:f>IF(R52="","",ROUND(R52/0.9144,0))</x:f>
        <x:v>984</x:v>
      </x:c>
      <x:c r="R52" s="33" t="n">
        <x:v>900</x:v>
      </x:c>
      <x:c r="S52" s="33" t="n">
        <x:v>18</x:v>
      </x:c>
      <x:c r="T52" s="33" t="n">
        <x:v>54</x:v>
      </x:c>
      <x:c r="U52" s="30" t="str">
        <x:v>Shortgolf / Pitch &amp; Putt</x:v>
      </x:c>
      <x:c r="V52" s="30"/>
      <x:c r="W52" s="30"/>
      <x:c r="X52" s="30"/>
      <x:c r="Y52" s="30" t="str">
        <x:v>https://www.pitch-putt.nl/locaties/koudum/</x:v>
      </x:c>
      <x:c r="Z52" s="30" t="b">
        <x:f>IF(AND(F52="Netherlands",ISNUMBER(L52),ISNUMBER(M52),L52&gt;=50.7,L52&lt;=53.7,M52&gt;=3.2,M52&lt;=7.3,AC52&lt;&gt;"Closed"),TRUE,FALSE)</x:f>
        <x:v>1</x:v>
      </x:c>
      <x:c r="AA52" s="30" t="b">
        <x:f>Z52</x:f>
        <x:v>1</x:v>
      </x:c>
      <x:c r="AB52" s="30" t="str">
        <x:f>IF(Z52,"verified_coordinate_and_open","not_map_ready")</x:f>
        <x:v>verified_coordinate_and_open</x:v>
      </x:c>
      <x:c r="AC52" s="30" t="str">
        <x:v>Open</x:v>
      </x:c>
      <x:c r="AD52" s="30" t="str">
        <x:v>Public — no playing requirement</x:v>
      </x:c>
      <x:c r="AE52" s="31" t="b">
        <x:v>0</x:v>
      </x:c>
      <x:c r="AF52" s="31" t="b">
        <x:v>0</x:v>
      </x:c>
      <x:c r="AG52" s="30"/>
      <x:c r="AH52" s="30"/>
      <x:c r="AI52" s="30"/>
      <x:c r="AJ52" s="31" t="b">
        <x:v>0</x:v>
      </x:c>
      <x:c r="AK52" s="31" t="b">
        <x:v>0</x:v>
      </x:c>
      <x:c r="AL52" s="30" t="str">
        <x:v>Verified — national register and exact BAG address</x:v>
      </x:c>
      <x:c r="AM52" s="30" t="str">
        <x:v>https://www.golf.nl/de-baan-op/banenzoeker/overzicht</x:v>
      </x:c>
      <x:c r="AN52" s="30" t="str">
        <x:v>2026-08-15</x:v>
      </x:c>
      <x:c r="AO52" s="30" t="str">
        <x:v>+31 514-522246</x:v>
      </x:c>
      <x:c r="AP52" s="30" t="str">
        <x:v>Current NGF/GOLF.NL listing: 18 holes, par 54, 900 metres. Combined from exact NGF-listed constituent nine-hole loops: 1ste negen (9 holes, par 27, 450 m); 2de negen (9 holes, par 27, 450 m) The current official facility contact page and BAG address replace the postcode typo in the NGF overview (Nieuweweg 42, 7823 EB Koudum). Listed as non-qualifying.</x:v>
      </x:c>
    </x:row>
    <x:row r="53">
      <x:c r="A53" s="30" t="str">
        <x:v>NL-C0033</x:v>
      </x:c>
      <x:c r="B53" s="30" t="str">
        <x:v>NL-0052</x:v>
      </x:c>
      <x:c r="C53" s="30" t="str">
        <x:v>Edese Golf Club Papendal — Main Course</x:v>
      </x:c>
      <x:c r="D53" s="30" t="str">
        <x:v>Edese Golf Club Papendal</x:v>
      </x:c>
      <x:c r="E53" s="30" t="str">
        <x:v>Main Course</x:v>
      </x:c>
      <x:c r="F53" s="30" t="str">
        <x:v>Netherlands</x:v>
      </x:c>
      <x:c r="G53" s="30" t="str">
        <x:v>Gelderland</x:v>
      </x:c>
      <x:c r="H53" s="30" t="str">
        <x:v>Arnhem</x:v>
      </x:c>
      <x:c r="I53" s="30" t="str">
        <x:v>Arnhem</x:v>
      </x:c>
      <x:c r="J53" s="30" t="str">
        <x:v>Papendallaan 22</x:v>
      </x:c>
      <x:c r="K53" s="30" t="str">
        <x:v>6816 VD</x:v>
      </x:c>
      <x:c r="L53" s="32" t="n">
        <x:v>52.01004975</x:v>
      </x:c>
      <x:c r="M53" s="32" t="n">
        <x:v>5.82836412</x:v>
      </x:c>
      <x:c r="N53" s="30" t="str">
        <x:v>WGS84 / EPSG:4326</x:v>
      </x:c>
      <x:c r="O53" s="30" t="str">
        <x:v>Verified BAG address point via PDOK</x:v>
      </x:c>
      <x:c r="P53" s="30" t="str">
        <x:v>2026-08-15</x:v>
      </x:c>
      <x:c r="Q53" s="33" t="n">
        <x:f>IF(R53="","",ROUND(R53/0.9144,0))</x:f>
        <x:v>6598</x:v>
      </x:c>
      <x:c r="R53" s="33" t="n">
        <x:v>6033</x:v>
      </x:c>
      <x:c r="S53" s="33" t="n">
        <x:v>18</x:v>
      </x:c>
      <x:c r="T53" s="33" t="n">
        <x:v>71</x:v>
      </x:c>
      <x:c r="U53" s="30" t="str">
        <x:v>Full-length course</x:v>
      </x:c>
      <x:c r="V53" s="30"/>
      <x:c r="W53" s="30"/>
      <x:c r="X53" s="30"/>
      <x:c r="Y53" s="30" t="str">
        <x:v>https://www.edesegcpapendal.nl/</x:v>
      </x:c>
      <x:c r="Z53" s="30" t="b">
        <x:f>IF(AND(F53="Netherlands",ISNUMBER(L53),ISNUMBER(M53),L53&gt;=50.7,L53&lt;=53.7,M53&gt;=3.2,M53&lt;=7.3,AC53&lt;&gt;"Closed"),TRUE,FALSE)</x:f>
        <x:v>1</x:v>
      </x:c>
      <x:c r="AA53" s="30" t="b">
        <x:f>Z53</x:f>
        <x:v>1</x:v>
      </x:c>
      <x:c r="AB53" s="30" t="str">
        <x:f>IF(Z53,"verified_coordinate_and_open","not_map_ready")</x:f>
        <x:v>verified_coordinate_and_open</x:v>
      </x:c>
      <x:c r="AC53" s="30" t="str">
        <x:v>Open</x:v>
      </x:c>
      <x:c r="AD53" s="30" t="str">
        <x:v>Public — handicap 36 or lower</x:v>
      </x:c>
      <x:c r="AE53" s="31" t="b">
        <x:v>1</x:v>
      </x:c>
      <x:c r="AF53" s="31" t="b">
        <x:v>0</x:v>
      </x:c>
      <x:c r="AG53" s="30"/>
      <x:c r="AH53" s="30"/>
      <x:c r="AI53" s="30"/>
      <x:c r="AJ53" s="31" t="b">
        <x:v>0</x:v>
      </x:c>
      <x:c r="AK53" s="31" t="b">
        <x:v>0</x:v>
      </x:c>
      <x:c r="AL53" s="30" t="str">
        <x:v>Verified — national register and exact BAG address</x:v>
      </x:c>
      <x:c r="AM53" s="30" t="str">
        <x:v>https://www.golf.nl/de-baan-op/banenzoeker/overzicht</x:v>
      </x:c>
      <x:c r="AN53" s="30" t="str">
        <x:v>2026-08-15</x:v>
      </x:c>
      <x:c r="AO53" s="30" t="str">
        <x:v>+31 26-4821985</x:v>
      </x:c>
      <x:c r="AP53" s="30" t="str">
        <x:v>Current NGF/GOLF.NL listing: 18 holes, par 71, 6033 metres. Combined from exact NGF-listed constituent nine-hole loops: 1ste negen (9 holes, par 35, 2882 m); 2de negen (9 holes, par 36, 3151 m) Listed as qualifying.</x:v>
      </x:c>
    </x:row>
    <x:row r="54">
      <x:c r="A54" s="30" t="str">
        <x:v>NL-C0034</x:v>
      </x:c>
      <x:c r="B54" s="30" t="str">
        <x:v>NL-0053</x:v>
      </x:c>
      <x:c r="C54" s="30" t="str">
        <x:v>Golf &amp; Businessclub De Scherpenbergh — Berkenbaan</x:v>
      </x:c>
      <x:c r="D54" s="30" t="str">
        <x:v>Golf &amp; Businessclub De Scherpenbergh</x:v>
      </x:c>
      <x:c r="E54" s="30" t="str">
        <x:v>Berkenbaan</x:v>
      </x:c>
      <x:c r="F54" s="30" t="str">
        <x:v>Netherlands</x:v>
      </x:c>
      <x:c r="G54" s="30" t="str">
        <x:v>Gelderland</x:v>
      </x:c>
      <x:c r="H54" s="30" t="str">
        <x:v>Apeldoorn</x:v>
      </x:c>
      <x:c r="I54" s="30" t="str">
        <x:v>Lieren</x:v>
      </x:c>
      <x:c r="J54" s="30" t="str">
        <x:v>Albaweg 43</x:v>
      </x:c>
      <x:c r="K54" s="30" t="str">
        <x:v>7364 CB</x:v>
      </x:c>
      <x:c r="L54" s="32" t="n">
        <x:v>52.14835113</x:v>
      </x:c>
      <x:c r="M54" s="32" t="n">
        <x:v>6.01891497</x:v>
      </x:c>
      <x:c r="N54" s="30" t="str">
        <x:v>WGS84 / EPSG:4326</x:v>
      </x:c>
      <x:c r="O54" s="30" t="str">
        <x:v>Verified BAG address point via PDOK</x:v>
      </x:c>
      <x:c r="P54" s="30" t="str">
        <x:v>2026-08-15</x:v>
      </x:c>
      <x:c r="Q54" s="33" t="n">
        <x:f>IF(R54="","",ROUND(R54/0.9144,0))</x:f>
        <x:v>1661</x:v>
      </x:c>
      <x:c r="R54" s="33" t="n">
        <x:v>1519</x:v>
      </x:c>
      <x:c r="S54" s="33" t="n">
        <x:v>9</x:v>
      </x:c>
      <x:c r="T54" s="33" t="n">
        <x:v>31</x:v>
      </x:c>
      <x:c r="U54" s="30" t="str">
        <x:v>Par-3/4 course</x:v>
      </x:c>
      <x:c r="V54" s="30"/>
      <x:c r="W54" s="30"/>
      <x:c r="X54" s="30"/>
      <x:c r="Y54" s="30" t="str">
        <x:v>https://www.descherpenbergh.nl/</x:v>
      </x:c>
      <x:c r="Z54" s="30" t="b">
        <x:f>IF(AND(F54="Netherlands",ISNUMBER(L54),ISNUMBER(M54),L54&gt;=50.7,L54&lt;=53.7,M54&gt;=3.2,M54&lt;=7.3,AC54&lt;&gt;"Closed"),TRUE,FALSE)</x:f>
        <x:v>1</x:v>
      </x:c>
      <x:c r="AA54" s="30" t="b">
        <x:f>Z54</x:f>
        <x:v>1</x:v>
      </x:c>
      <x:c r="AB54" s="30" t="str">
        <x:f>IF(Z54,"verified_coordinate_and_open","not_map_ready")</x:f>
        <x:v>verified_coordinate_and_open</x:v>
      </x:c>
      <x:c r="AC54" s="30" t="str">
        <x:v>Open</x:v>
      </x:c>
      <x:c r="AD54" s="30" t="str">
        <x:v>Public — no playing requirement</x:v>
      </x:c>
      <x:c r="AE54" s="31" t="b">
        <x:v>1</x:v>
      </x:c>
      <x:c r="AF54" s="31" t="b">
        <x:v>0</x:v>
      </x:c>
      <x:c r="AG54" s="30"/>
      <x:c r="AH54" s="30"/>
      <x:c r="AI54" s="30"/>
      <x:c r="AJ54" s="31" t="b">
        <x:v>0</x:v>
      </x:c>
      <x:c r="AK54" s="31" t="b">
        <x:v>0</x:v>
      </x:c>
      <x:c r="AL54" s="30" t="str">
        <x:v>Verified — national register and exact BAG address</x:v>
      </x:c>
      <x:c r="AM54" s="30" t="str">
        <x:v>https://www.golf.nl/de-baan-op/banenzoeker/overzicht</x:v>
      </x:c>
      <x:c r="AN54" s="30" t="str">
        <x:v>2026-08-15</x:v>
      </x:c>
      <x:c r="AO54" s="30" t="str">
        <x:v>+31 55-5051262</x:v>
      </x:c>
      <x:c r="AP54" s="30" t="str">
        <x:v>Current NGF/GOLF.NL listing: 9 holes, par 31, 1519 metres. Listed as qualifying.</x:v>
      </x:c>
    </x:row>
    <x:row r="55">
      <x:c r="A55" s="30" t="str">
        <x:v>NL-C0034</x:v>
      </x:c>
      <x:c r="B55" s="30" t="str">
        <x:v>NL-0054</x:v>
      </x:c>
      <x:c r="C55" s="30" t="str">
        <x:v>Golf &amp; Businessclub De Scherpenbergh — Dassenbaan</x:v>
      </x:c>
      <x:c r="D55" s="30" t="str">
        <x:v>Golf &amp; Businessclub De Scherpenbergh</x:v>
      </x:c>
      <x:c r="E55" s="30" t="str">
        <x:v>Dassenbaan</x:v>
      </x:c>
      <x:c r="F55" s="30" t="str">
        <x:v>Netherlands</x:v>
      </x:c>
      <x:c r="G55" s="30" t="str">
        <x:v>Gelderland</x:v>
      </x:c>
      <x:c r="H55" s="30" t="str">
        <x:v>Apeldoorn</x:v>
      </x:c>
      <x:c r="I55" s="30" t="str">
        <x:v>Lieren</x:v>
      </x:c>
      <x:c r="J55" s="30" t="str">
        <x:v>Albaweg 43</x:v>
      </x:c>
      <x:c r="K55" s="30" t="str">
        <x:v>7364 CB</x:v>
      </x:c>
      <x:c r="L55" s="32" t="n">
        <x:v>52.14835113</x:v>
      </x:c>
      <x:c r="M55" s="32" t="n">
        <x:v>6.01891497</x:v>
      </x:c>
      <x:c r="N55" s="30" t="str">
        <x:v>WGS84 / EPSG:4326</x:v>
      </x:c>
      <x:c r="O55" s="30" t="str">
        <x:v>Verified BAG address point via PDOK</x:v>
      </x:c>
      <x:c r="P55" s="30" t="str">
        <x:v>2026-08-15</x:v>
      </x:c>
      <x:c r="Q55" s="33" t="n">
        <x:f>IF(R55="","",ROUND(R55/0.9144,0))</x:f>
        <x:v>3025</x:v>
      </x:c>
      <x:c r="R55" s="33" t="n">
        <x:v>2766</x:v>
      </x:c>
      <x:c r="S55" s="33" t="n">
        <x:v>9</x:v>
      </x:c>
      <x:c r="T55" s="33" t="n">
        <x:v>36</x:v>
      </x:c>
      <x:c r="U55" s="30" t="str">
        <x:v>Full-length course</x:v>
      </x:c>
      <x:c r="V55" s="30"/>
      <x:c r="W55" s="30"/>
      <x:c r="X55" s="30"/>
      <x:c r="Y55" s="30" t="str">
        <x:v>https://www.descherpenbergh.nl/</x:v>
      </x:c>
      <x:c r="Z55" s="30" t="b">
        <x:f>IF(AND(F55="Netherlands",ISNUMBER(L55),ISNUMBER(M55),L55&gt;=50.7,L55&lt;=53.7,M55&gt;=3.2,M55&lt;=7.3,AC55&lt;&gt;"Closed"),TRUE,FALSE)</x:f>
        <x:v>1</x:v>
      </x:c>
      <x:c r="AA55" s="30" t="b">
        <x:f>Z55</x:f>
        <x:v>1</x:v>
      </x:c>
      <x:c r="AB55" s="30" t="str">
        <x:f>IF(Z55,"verified_coordinate_and_open","not_map_ready")</x:f>
        <x:v>verified_coordinate_and_open</x:v>
      </x:c>
      <x:c r="AC55" s="30" t="str">
        <x:v>Open</x:v>
      </x:c>
      <x:c r="AD55" s="30" t="str">
        <x:v>Public — handicap 54 or lower</x:v>
      </x:c>
      <x:c r="AE55" s="31" t="b">
        <x:v>1</x:v>
      </x:c>
      <x:c r="AF55" s="31" t="b">
        <x:v>0</x:v>
      </x:c>
      <x:c r="AG55" s="30"/>
      <x:c r="AH55" s="30"/>
      <x:c r="AI55" s="30"/>
      <x:c r="AJ55" s="31" t="b">
        <x:v>0</x:v>
      </x:c>
      <x:c r="AK55" s="31" t="b">
        <x:v>0</x:v>
      </x:c>
      <x:c r="AL55" s="30" t="str">
        <x:v>Verified — national register and exact BAG address</x:v>
      </x:c>
      <x:c r="AM55" s="30" t="str">
        <x:v>https://www.golf.nl/de-baan-op/banenzoeker/overzicht</x:v>
      </x:c>
      <x:c r="AN55" s="30" t="str">
        <x:v>2026-08-15</x:v>
      </x:c>
      <x:c r="AO55" s="30" t="str">
        <x:v>+31 55-5051262</x:v>
      </x:c>
      <x:c r="AP55" s="30" t="str">
        <x:v>Current NGF/GOLF.NL listing: 9 holes, par 36, 2766 metres. Listed as qualifying.</x:v>
      </x:c>
    </x:row>
    <x:row r="56">
      <x:c r="A56" s="30" t="str">
        <x:v>NL-C0034</x:v>
      </x:c>
      <x:c r="B56" s="30" t="str">
        <x:v>NL-0055</x:v>
      </x:c>
      <x:c r="C56" s="30" t="str">
        <x:v>Golf &amp; Businessclub De Scherpenbergh — Zwaluwenbaan</x:v>
      </x:c>
      <x:c r="D56" s="30" t="str">
        <x:v>Golf &amp; Businessclub De Scherpenbergh</x:v>
      </x:c>
      <x:c r="E56" s="30" t="str">
        <x:v>Zwaluwenbaan</x:v>
      </x:c>
      <x:c r="F56" s="30" t="str">
        <x:v>Netherlands</x:v>
      </x:c>
      <x:c r="G56" s="30" t="str">
        <x:v>Gelderland</x:v>
      </x:c>
      <x:c r="H56" s="30" t="str">
        <x:v>Apeldoorn</x:v>
      </x:c>
      <x:c r="I56" s="30" t="str">
        <x:v>Lieren</x:v>
      </x:c>
      <x:c r="J56" s="30" t="str">
        <x:v>Albaweg 43</x:v>
      </x:c>
      <x:c r="K56" s="30" t="str">
        <x:v>7364 CB</x:v>
      </x:c>
      <x:c r="L56" s="32" t="n">
        <x:v>52.14835113</x:v>
      </x:c>
      <x:c r="M56" s="32" t="n">
        <x:v>6.01891497</x:v>
      </x:c>
      <x:c r="N56" s="30" t="str">
        <x:v>WGS84 / EPSG:4326</x:v>
      </x:c>
      <x:c r="O56" s="30" t="str">
        <x:v>Verified BAG address point via PDOK</x:v>
      </x:c>
      <x:c r="P56" s="30" t="str">
        <x:v>2026-08-15</x:v>
      </x:c>
      <x:c r="Q56" s="33" t="n">
        <x:f>IF(R56="","",ROUND(R56/0.9144,0))</x:f>
        <x:v>3086</x:v>
      </x:c>
      <x:c r="R56" s="33" t="n">
        <x:v>2822</x:v>
      </x:c>
      <x:c r="S56" s="33" t="n">
        <x:v>9</x:v>
      </x:c>
      <x:c r="T56" s="33" t="n">
        <x:v>36</x:v>
      </x:c>
      <x:c r="U56" s="30" t="str">
        <x:v>Full-length course</x:v>
      </x:c>
      <x:c r="V56" s="30"/>
      <x:c r="W56" s="30"/>
      <x:c r="X56" s="30"/>
      <x:c r="Y56" s="30" t="str">
        <x:v>https://www.descherpenbergh.nl/</x:v>
      </x:c>
      <x:c r="Z56" s="30" t="b">
        <x:f>IF(AND(F56="Netherlands",ISNUMBER(L56),ISNUMBER(M56),L56&gt;=50.7,L56&lt;=53.7,M56&gt;=3.2,M56&lt;=7.3,AC56&lt;&gt;"Closed"),TRUE,FALSE)</x:f>
        <x:v>1</x:v>
      </x:c>
      <x:c r="AA56" s="30" t="b">
        <x:f>Z56</x:f>
        <x:v>1</x:v>
      </x:c>
      <x:c r="AB56" s="30" t="str">
        <x:f>IF(Z56,"verified_coordinate_and_open","not_map_ready")</x:f>
        <x:v>verified_coordinate_and_open</x:v>
      </x:c>
      <x:c r="AC56" s="30" t="str">
        <x:v>Open</x:v>
      </x:c>
      <x:c r="AD56" s="30" t="str">
        <x:v>Public — handicap 54 or lower</x:v>
      </x:c>
      <x:c r="AE56" s="31" t="b">
        <x:v>1</x:v>
      </x:c>
      <x:c r="AF56" s="31" t="b">
        <x:v>0</x:v>
      </x:c>
      <x:c r="AG56" s="30"/>
      <x:c r="AH56" s="30"/>
      <x:c r="AI56" s="30"/>
      <x:c r="AJ56" s="31" t="b">
        <x:v>0</x:v>
      </x:c>
      <x:c r="AK56" s="31" t="b">
        <x:v>0</x:v>
      </x:c>
      <x:c r="AL56" s="30" t="str">
        <x:v>Verified — national register and exact BAG address</x:v>
      </x:c>
      <x:c r="AM56" s="30" t="str">
        <x:v>https://www.golf.nl/de-baan-op/banenzoeker/overzicht</x:v>
      </x:c>
      <x:c r="AN56" s="30" t="str">
        <x:v>2026-08-15</x:v>
      </x:c>
      <x:c r="AO56" s="30" t="str">
        <x:v>+31 55-5051262</x:v>
      </x:c>
      <x:c r="AP56" s="30" t="str">
        <x:v>Current NGF/GOLF.NL listing: 9 holes, par 36, 2822 metres. Listed as qualifying.</x:v>
      </x:c>
    </x:row>
    <x:row r="57">
      <x:c r="A57" s="30" t="str">
        <x:v>NL-C0035</x:v>
      </x:c>
      <x:c r="B57" s="30" t="str">
        <x:v>NL-0056</x:v>
      </x:c>
      <x:c r="C57" s="30" t="str">
        <x:v>Golfbaan De Voortwisch — Main Course</x:v>
      </x:c>
      <x:c r="D57" s="30" t="str">
        <x:v>Golfbaan De Voortwisch</x:v>
      </x:c>
      <x:c r="E57" s="30" t="str">
        <x:v>Main Course</x:v>
      </x:c>
      <x:c r="F57" s="30" t="str">
        <x:v>Netherlands</x:v>
      </x:c>
      <x:c r="G57" s="30" t="str">
        <x:v>Gelderland</x:v>
      </x:c>
      <x:c r="H57" s="30" t="str">
        <x:v>Winterswijk</x:v>
      </x:c>
      <x:c r="I57" s="30" t="str">
        <x:v>Winterswijk Henxel</x:v>
      </x:c>
      <x:c r="J57" s="30" t="str">
        <x:v>Vredenseweg 150</x:v>
      </x:c>
      <x:c r="K57" s="30" t="str">
        <x:v>7113 AE</x:v>
      </x:c>
      <x:c r="L57" s="32" t="n">
        <x:v>51.98516011</x:v>
      </x:c>
      <x:c r="M57" s="32" t="n">
        <x:v>6.76845836</x:v>
      </x:c>
      <x:c r="N57" s="30" t="str">
        <x:v>WGS84 / EPSG:4326</x:v>
      </x:c>
      <x:c r="O57" s="30" t="str">
        <x:v>Verified BAG address point via PDOK</x:v>
      </x:c>
      <x:c r="P57" s="30" t="str">
        <x:v>2026-08-15</x:v>
      </x:c>
      <x:c r="Q57" s="33" t="n">
        <x:f>IF(R57="","",ROUND(R57/0.9144,0))</x:f>
        <x:v>6425</x:v>
      </x:c>
      <x:c r="R57" s="33" t="n">
        <x:v>5875</x:v>
      </x:c>
      <x:c r="S57" s="33" t="n">
        <x:v>18</x:v>
      </x:c>
      <x:c r="T57" s="33" t="n">
        <x:v>72</x:v>
      </x:c>
      <x:c r="U57" s="30" t="str">
        <x:v>Full-length course</x:v>
      </x:c>
      <x:c r="V57" s="30"/>
      <x:c r="W57" s="30"/>
      <x:c r="X57" s="30"/>
      <x:c r="Y57" s="30" t="str">
        <x:v>https://www.golfclubwinterswijk.nl/</x:v>
      </x:c>
      <x:c r="Z57" s="30" t="b">
        <x:f>IF(AND(F57="Netherlands",ISNUMBER(L57),ISNUMBER(M57),L57&gt;=50.7,L57&lt;=53.7,M57&gt;=3.2,M57&lt;=7.3,AC57&lt;&gt;"Closed"),TRUE,FALSE)</x:f>
        <x:v>1</x:v>
      </x:c>
      <x:c r="AA57" s="30" t="b">
        <x:f>Z57</x:f>
        <x:v>1</x:v>
      </x:c>
      <x:c r="AB57" s="30" t="str">
        <x:f>IF(Z57,"verified_coordinate_and_open","not_map_ready")</x:f>
        <x:v>verified_coordinate_and_open</x:v>
      </x:c>
      <x:c r="AC57" s="30" t="str">
        <x:v>Open</x:v>
      </x:c>
      <x:c r="AD57" s="30" t="str">
        <x:v>Public — handicap 54 or lower</x:v>
      </x:c>
      <x:c r="AE57" s="31" t="b">
        <x:v>1</x:v>
      </x:c>
      <x:c r="AF57" s="31" t="b">
        <x:v>0</x:v>
      </x:c>
      <x:c r="AG57" s="30"/>
      <x:c r="AH57" s="30"/>
      <x:c r="AI57" s="30"/>
      <x:c r="AJ57" s="31" t="b">
        <x:v>0</x:v>
      </x:c>
      <x:c r="AK57" s="31" t="b">
        <x:v>0</x:v>
      </x:c>
      <x:c r="AL57" s="30" t="str">
        <x:v>Verified — national register and exact BAG address</x:v>
      </x:c>
      <x:c r="AM57" s="30" t="str">
        <x:v>https://www.golf.nl/de-baan-op/banenzoeker/overzicht</x:v>
      </x:c>
      <x:c r="AN57" s="30" t="str">
        <x:v>2026-08-15</x:v>
      </x:c>
      <x:c r="AO57" s="30" t="str">
        <x:v>+31 543-562525</x:v>
      </x:c>
      <x:c r="AP57" s="30" t="str">
        <x:v>Current NGF/GOLF.NL listing: 18 holes, par 72, 5875 metres. Combined from exact NGF-listed constituent nine-hole loops: 1ste negen (9 holes, par 35, 2800 m); 2de negen (9 holes, par 37, 3075 m) Listed as qualifying.</x:v>
      </x:c>
    </x:row>
    <x:row r="58">
      <x:c r="A58" s="30" t="str">
        <x:v>NL-C0036</x:v>
      </x:c>
      <x:c r="B58" s="30" t="str">
        <x:v>NL-0057</x:v>
      </x:c>
      <x:c r="C58" s="30" t="str">
        <x:v>Golfbaan Engelenburg</x:v>
      </x:c>
      <x:c r="D58" s="30" t="str">
        <x:v>Golfbaan Engelenburg</x:v>
      </x:c>
      <x:c r="E58" s="30" t="str">
        <x:v>Course</x:v>
      </x:c>
      <x:c r="F58" s="30" t="str">
        <x:v>Netherlands</x:v>
      </x:c>
      <x:c r="G58" s="30" t="str">
        <x:v>Gelderland</x:v>
      </x:c>
      <x:c r="H58" s="30" t="str">
        <x:v>Brummen</x:v>
      </x:c>
      <x:c r="I58" s="30" t="str">
        <x:v>Brummen</x:v>
      </x:c>
      <x:c r="J58" s="30" t="str">
        <x:v>Eerbeekseweg 6</x:v>
      </x:c>
      <x:c r="K58" s="30" t="str">
        <x:v>6971 LB</x:v>
      </x:c>
      <x:c r="L58" s="32" t="n">
        <x:v>52.09048198</x:v>
      </x:c>
      <x:c r="M58" s="32" t="n">
        <x:v>6.13459866</x:v>
      </x:c>
      <x:c r="N58" s="30" t="str">
        <x:v>WGS84 / EPSG:4326</x:v>
      </x:c>
      <x:c r="O58" s="30" t="str">
        <x:v>Verified BAG address point via PDOK</x:v>
      </x:c>
      <x:c r="P58" s="30" t="str">
        <x:v>2026-08-15</x:v>
      </x:c>
      <x:c r="Q58" s="33" t="n">
        <x:f>IF(R58="","",ROUND(R58/0.9144,0))</x:f>
        <x:v>3200</x:v>
      </x:c>
      <x:c r="R58" s="33" t="n">
        <x:v>2926</x:v>
      </x:c>
      <x:c r="S58" s="33" t="n">
        <x:v>9</x:v>
      </x:c>
      <x:c r="T58" s="33" t="n">
        <x:v>36</x:v>
      </x:c>
      <x:c r="U58" s="30" t="str">
        <x:v>Full-length course</x:v>
      </x:c>
      <x:c r="V58" s="30"/>
      <x:c r="W58" s="30"/>
      <x:c r="X58" s="30"/>
      <x:c r="Y58" s="30" t="str">
        <x:v>https://engelenburg.com/</x:v>
      </x:c>
      <x:c r="Z58" s="30" t="b">
        <x:f>IF(AND(F58="Netherlands",ISNUMBER(L58),ISNUMBER(M58),L58&gt;=50.7,L58&lt;=53.7,M58&gt;=3.2,M58&lt;=7.3,AC58&lt;&gt;"Closed"),TRUE,FALSE)</x:f>
        <x:v>1</x:v>
      </x:c>
      <x:c r="AA58" s="30" t="b">
        <x:f>Z58</x:f>
        <x:v>1</x:v>
      </x:c>
      <x:c r="AB58" s="30" t="str">
        <x:f>IF(Z58,"verified_coordinate_and_open","not_map_ready")</x:f>
        <x:v>verified_coordinate_and_open</x:v>
      </x:c>
      <x:c r="AC58" s="30" t="str">
        <x:v>Open</x:v>
      </x:c>
      <x:c r="AD58" s="30" t="str">
        <x:v>Public — handicap 54 or lower</x:v>
      </x:c>
      <x:c r="AE58" s="31" t="b">
        <x:v>1</x:v>
      </x:c>
      <x:c r="AF58" s="31" t="b">
        <x:v>0</x:v>
      </x:c>
      <x:c r="AG58" s="30"/>
      <x:c r="AH58" s="30"/>
      <x:c r="AI58" s="30"/>
      <x:c r="AJ58" s="31" t="b">
        <x:v>0</x:v>
      </x:c>
      <x:c r="AK58" s="31" t="b">
        <x:v>0</x:v>
      </x:c>
      <x:c r="AL58" s="30" t="str">
        <x:v>Verified — national register and exact BAG address</x:v>
      </x:c>
      <x:c r="AM58" s="30" t="str">
        <x:v>https://www.golf.nl/de-baan-op/banenzoeker/overzicht</x:v>
      </x:c>
      <x:c r="AN58" s="30" t="str">
        <x:v>2026-08-15</x:v>
      </x:c>
      <x:c r="AO58" s="30" t="str">
        <x:v>+31 575-569999</x:v>
      </x:c>
      <x:c r="AP58" s="30" t="str">
        <x:v>Current NGF/GOLF.NL listing: 9 holes, par 36, 2926 metres. Listed as qualifying.</x:v>
      </x:c>
    </x:row>
    <x:row r="59">
      <x:c r="A59" s="30" t="str">
        <x:v>NL-C0037</x:v>
      </x:c>
      <x:c r="B59" s="30" t="str">
        <x:v>NL-0058</x:v>
      </x:c>
      <x:c r="C59" s="30" t="str">
        <x:v>Golfbaan Het Rijk van Nijmegen — Groesbeekse baan Noord</x:v>
      </x:c>
      <x:c r="D59" s="30" t="str">
        <x:v>Golfbaan Het Rijk van Nijmegen</x:v>
      </x:c>
      <x:c r="E59" s="30" t="str">
        <x:v>Groesbeekse baan Noord</x:v>
      </x:c>
      <x:c r="F59" s="30" t="str">
        <x:v>Netherlands</x:v>
      </x:c>
      <x:c r="G59" s="30" t="str">
        <x:v>Gelderland</x:v>
      </x:c>
      <x:c r="H59" s="30" t="str">
        <x:v>Berg en Dal</x:v>
      </x:c>
      <x:c r="I59" s="30" t="str">
        <x:v>Groesbeek</x:v>
      </x:c>
      <x:c r="J59" s="30" t="str">
        <x:v>Postweg 17</x:v>
      </x:c>
      <x:c r="K59" s="30" t="str">
        <x:v>6561 KJ</x:v>
      </x:c>
      <x:c r="L59" s="32" t="n">
        <x:v>51.79028879</x:v>
      </x:c>
      <x:c r="M59" s="32" t="n">
        <x:v>5.92241917</x:v>
      </x:c>
      <x:c r="N59" s="30" t="str">
        <x:v>WGS84 / EPSG:4326</x:v>
      </x:c>
      <x:c r="O59" s="30" t="str">
        <x:v>Verified BAG address point via PDOK</x:v>
      </x:c>
      <x:c r="P59" s="30" t="str">
        <x:v>2026-08-15</x:v>
      </x:c>
      <x:c r="Q59" s="33" t="n">
        <x:f>IF(R59="","",ROUND(R59/0.9144,0))</x:f>
        <x:v>3036</x:v>
      </x:c>
      <x:c r="R59" s="33" t="n">
        <x:v>2776</x:v>
      </x:c>
      <x:c r="S59" s="33" t="n">
        <x:v>9</x:v>
      </x:c>
      <x:c r="T59" s="33" t="n">
        <x:v>36</x:v>
      </x:c>
      <x:c r="U59" s="30" t="str">
        <x:v>Full-length course</x:v>
      </x:c>
      <x:c r="V59" s="30"/>
      <x:c r="W59" s="30"/>
      <x:c r="X59" s="30"/>
      <x:c r="Y59" s="30" t="str">
        <x:v>https://www.golfenophetrijk.nl/nijmegen.html</x:v>
      </x:c>
      <x:c r="Z59" s="30" t="b">
        <x:f>IF(AND(F59="Netherlands",ISNUMBER(L59),ISNUMBER(M59),L59&gt;=50.7,L59&lt;=53.7,M59&gt;=3.2,M59&lt;=7.3,AC59&lt;&gt;"Closed"),TRUE,FALSE)</x:f>
        <x:v>1</x:v>
      </x:c>
      <x:c r="AA59" s="30" t="b">
        <x:f>Z59</x:f>
        <x:v>1</x:v>
      </x:c>
      <x:c r="AB59" s="30" t="str">
        <x:f>IF(Z59,"verified_coordinate_and_open","not_map_ready")</x:f>
        <x:v>verified_coordinate_and_open</x:v>
      </x:c>
      <x:c r="AC59" s="30" t="str">
        <x:v>Open</x:v>
      </x:c>
      <x:c r="AD59" s="30" t="str">
        <x:v>Public — handicap 54 or lower</x:v>
      </x:c>
      <x:c r="AE59" s="31" t="b">
        <x:v>1</x:v>
      </x:c>
      <x:c r="AF59" s="31" t="b">
        <x:v>0</x:v>
      </x:c>
      <x:c r="AG59" s="30"/>
      <x:c r="AH59" s="30"/>
      <x:c r="AI59" s="30"/>
      <x:c r="AJ59" s="31" t="b">
        <x:v>0</x:v>
      </x:c>
      <x:c r="AK59" s="31" t="b">
        <x:v>0</x:v>
      </x:c>
      <x:c r="AL59" s="30" t="str">
        <x:v>Verified — national register and exact BAG address</x:v>
      </x:c>
      <x:c r="AM59" s="30" t="str">
        <x:v>https://www.golf.nl/de-baan-op/banenzoeker/overzicht</x:v>
      </x:c>
      <x:c r="AN59" s="30" t="str">
        <x:v>2026-08-15</x:v>
      </x:c>
      <x:c r="AO59" s="30" t="str">
        <x:v>+31 24-3976644</x:v>
      </x:c>
      <x:c r="AP59" s="30" t="str">
        <x:v>Current NGF/GOLF.NL listing: 9 holes, par 36, 2776 metres. Listed as qualifying.</x:v>
      </x:c>
    </x:row>
    <x:row r="60">
      <x:c r="A60" s="30" t="str">
        <x:v>NL-C0037</x:v>
      </x:c>
      <x:c r="B60" s="30" t="str">
        <x:v>NL-0059</x:v>
      </x:c>
      <x:c r="C60" s="30" t="str">
        <x:v>Golfbaan Het Rijk van Nijmegen — Groesbeekse baan Oost</x:v>
      </x:c>
      <x:c r="D60" s="30" t="str">
        <x:v>Golfbaan Het Rijk van Nijmegen</x:v>
      </x:c>
      <x:c r="E60" s="30" t="str">
        <x:v>Groesbeekse baan Oost</x:v>
      </x:c>
      <x:c r="F60" s="30" t="str">
        <x:v>Netherlands</x:v>
      </x:c>
      <x:c r="G60" s="30" t="str">
        <x:v>Gelderland</x:v>
      </x:c>
      <x:c r="H60" s="30" t="str">
        <x:v>Berg en Dal</x:v>
      </x:c>
      <x:c r="I60" s="30" t="str">
        <x:v>Groesbeek</x:v>
      </x:c>
      <x:c r="J60" s="30" t="str">
        <x:v>Postweg 17</x:v>
      </x:c>
      <x:c r="K60" s="30" t="str">
        <x:v>6561 KJ</x:v>
      </x:c>
      <x:c r="L60" s="32" t="n">
        <x:v>51.79028879</x:v>
      </x:c>
      <x:c r="M60" s="32" t="n">
        <x:v>5.92241917</x:v>
      </x:c>
      <x:c r="N60" s="30" t="str">
        <x:v>WGS84 / EPSG:4326</x:v>
      </x:c>
      <x:c r="O60" s="30" t="str">
        <x:v>Verified BAG address point via PDOK</x:v>
      </x:c>
      <x:c r="P60" s="30" t="str">
        <x:v>2026-08-15</x:v>
      </x:c>
      <x:c r="Q60" s="33" t="n">
        <x:f>IF(R60="","",ROUND(R60/0.9144,0))</x:f>
        <x:v>2883</x:v>
      </x:c>
      <x:c r="R60" s="33" t="n">
        <x:v>2636</x:v>
      </x:c>
      <x:c r="S60" s="33" t="n">
        <x:v>9</x:v>
      </x:c>
      <x:c r="T60" s="33" t="n">
        <x:v>35</x:v>
      </x:c>
      <x:c r="U60" s="30" t="str">
        <x:v>Full-length course</x:v>
      </x:c>
      <x:c r="V60" s="30"/>
      <x:c r="W60" s="30"/>
      <x:c r="X60" s="30"/>
      <x:c r="Y60" s="30" t="str">
        <x:v>https://www.golfenophetrijk.nl/nijmegen.html</x:v>
      </x:c>
      <x:c r="Z60" s="30" t="b">
        <x:f>IF(AND(F60="Netherlands",ISNUMBER(L60),ISNUMBER(M60),L60&gt;=50.7,L60&lt;=53.7,M60&gt;=3.2,M60&lt;=7.3,AC60&lt;&gt;"Closed"),TRUE,FALSE)</x:f>
        <x:v>1</x:v>
      </x:c>
      <x:c r="AA60" s="30" t="b">
        <x:f>Z60</x:f>
        <x:v>1</x:v>
      </x:c>
      <x:c r="AB60" s="30" t="str">
        <x:f>IF(Z60,"verified_coordinate_and_open","not_map_ready")</x:f>
        <x:v>verified_coordinate_and_open</x:v>
      </x:c>
      <x:c r="AC60" s="30" t="str">
        <x:v>Open</x:v>
      </x:c>
      <x:c r="AD60" s="30" t="str">
        <x:v>Public — handicap 54 or lower</x:v>
      </x:c>
      <x:c r="AE60" s="31" t="b">
        <x:v>1</x:v>
      </x:c>
      <x:c r="AF60" s="31" t="b">
        <x:v>0</x:v>
      </x:c>
      <x:c r="AG60" s="30"/>
      <x:c r="AH60" s="30"/>
      <x:c r="AI60" s="30"/>
      <x:c r="AJ60" s="31" t="b">
        <x:v>0</x:v>
      </x:c>
      <x:c r="AK60" s="31" t="b">
        <x:v>0</x:v>
      </x:c>
      <x:c r="AL60" s="30" t="str">
        <x:v>Verified — national register and exact BAG address</x:v>
      </x:c>
      <x:c r="AM60" s="30" t="str">
        <x:v>https://www.golf.nl/de-baan-op/banenzoeker/overzicht</x:v>
      </x:c>
      <x:c r="AN60" s="30" t="str">
        <x:v>2026-08-15</x:v>
      </x:c>
      <x:c r="AO60" s="30" t="str">
        <x:v>+31 24-3976644</x:v>
      </x:c>
      <x:c r="AP60" s="30" t="str">
        <x:v>Current NGF/GOLF.NL listing: 9 holes, par 35, 2636 metres. Listed as qualifying.</x:v>
      </x:c>
    </x:row>
    <x:row r="61">
      <x:c r="A61" s="30" t="str">
        <x:v>NL-C0037</x:v>
      </x:c>
      <x:c r="B61" s="30" t="str">
        <x:v>NL-0060</x:v>
      </x:c>
      <x:c r="C61" s="30" t="str">
        <x:v>Golfbaan Het Rijk van Nijmegen — Groesbeekse baan Zuid</x:v>
      </x:c>
      <x:c r="D61" s="30" t="str">
        <x:v>Golfbaan Het Rijk van Nijmegen</x:v>
      </x:c>
      <x:c r="E61" s="30" t="str">
        <x:v>Groesbeekse baan Zuid</x:v>
      </x:c>
      <x:c r="F61" s="30" t="str">
        <x:v>Netherlands</x:v>
      </x:c>
      <x:c r="G61" s="30" t="str">
        <x:v>Gelderland</x:v>
      </x:c>
      <x:c r="H61" s="30" t="str">
        <x:v>Berg en Dal</x:v>
      </x:c>
      <x:c r="I61" s="30" t="str">
        <x:v>Groesbeek</x:v>
      </x:c>
      <x:c r="J61" s="30" t="str">
        <x:v>Postweg 17</x:v>
      </x:c>
      <x:c r="K61" s="30" t="str">
        <x:v>6561 KJ</x:v>
      </x:c>
      <x:c r="L61" s="32" t="n">
        <x:v>51.79028879</x:v>
      </x:c>
      <x:c r="M61" s="32" t="n">
        <x:v>5.92241917</x:v>
      </x:c>
      <x:c r="N61" s="30" t="str">
        <x:v>WGS84 / EPSG:4326</x:v>
      </x:c>
      <x:c r="O61" s="30" t="str">
        <x:v>Verified BAG address point via PDOK</x:v>
      </x:c>
      <x:c r="P61" s="30" t="str">
        <x:v>2026-08-15</x:v>
      </x:c>
      <x:c r="Q61" s="33" t="n">
        <x:f>IF(R61="","",ROUND(R61/0.9144,0))</x:f>
        <x:v>3395</x:v>
      </x:c>
      <x:c r="R61" s="33" t="n">
        <x:v>3104</x:v>
      </x:c>
      <x:c r="S61" s="33" t="n">
        <x:v>9</x:v>
      </x:c>
      <x:c r="T61" s="33" t="n">
        <x:v>36</x:v>
      </x:c>
      <x:c r="U61" s="30" t="str">
        <x:v>Full-length course</x:v>
      </x:c>
      <x:c r="V61" s="30"/>
      <x:c r="W61" s="30"/>
      <x:c r="X61" s="30"/>
      <x:c r="Y61" s="30" t="str">
        <x:v>https://www.golfenophetrijk.nl/nijmegen.html</x:v>
      </x:c>
      <x:c r="Z61" s="30" t="b">
        <x:f>IF(AND(F61="Netherlands",ISNUMBER(L61),ISNUMBER(M61),L61&gt;=50.7,L61&lt;=53.7,M61&gt;=3.2,M61&lt;=7.3,AC61&lt;&gt;"Closed"),TRUE,FALSE)</x:f>
        <x:v>1</x:v>
      </x:c>
      <x:c r="AA61" s="30" t="b">
        <x:f>Z61</x:f>
        <x:v>1</x:v>
      </x:c>
      <x:c r="AB61" s="30" t="str">
        <x:f>IF(Z61,"verified_coordinate_and_open","not_map_ready")</x:f>
        <x:v>verified_coordinate_and_open</x:v>
      </x:c>
      <x:c r="AC61" s="30" t="str">
        <x:v>Open</x:v>
      </x:c>
      <x:c r="AD61" s="30" t="str">
        <x:v>Public — handicap 54 or lower</x:v>
      </x:c>
      <x:c r="AE61" s="31" t="b">
        <x:v>1</x:v>
      </x:c>
      <x:c r="AF61" s="31" t="b">
        <x:v>0</x:v>
      </x:c>
      <x:c r="AG61" s="30"/>
      <x:c r="AH61" s="30"/>
      <x:c r="AI61" s="30"/>
      <x:c r="AJ61" s="31" t="b">
        <x:v>0</x:v>
      </x:c>
      <x:c r="AK61" s="31" t="b">
        <x:v>0</x:v>
      </x:c>
      <x:c r="AL61" s="30" t="str">
        <x:v>Verified — national register and exact BAG address</x:v>
      </x:c>
      <x:c r="AM61" s="30" t="str">
        <x:v>https://www.golf.nl/de-baan-op/banenzoeker/overzicht</x:v>
      </x:c>
      <x:c r="AN61" s="30" t="str">
        <x:v>2026-08-15</x:v>
      </x:c>
      <x:c r="AO61" s="30" t="str">
        <x:v>+31 24-3976644</x:v>
      </x:c>
      <x:c r="AP61" s="30" t="str">
        <x:v>Current NGF/GOLF.NL listing: 9 holes, par 36, 3104 metres. Listed as qualifying.</x:v>
      </x:c>
    </x:row>
    <x:row r="62">
      <x:c r="A62" s="30" t="str">
        <x:v>NL-C0037</x:v>
      </x:c>
      <x:c r="B62" s="30" t="str">
        <x:v>NL-0061</x:v>
      </x:c>
      <x:c r="C62" s="30" t="str">
        <x:v>Golfbaan Het Rijk van Nijmegen — Nijmeegse baan</x:v>
      </x:c>
      <x:c r="D62" s="30" t="str">
        <x:v>Golfbaan Het Rijk van Nijmegen</x:v>
      </x:c>
      <x:c r="E62" s="30" t="str">
        <x:v>Nijmeegse baan</x:v>
      </x:c>
      <x:c r="F62" s="30" t="str">
        <x:v>Netherlands</x:v>
      </x:c>
      <x:c r="G62" s="30" t="str">
        <x:v>Gelderland</x:v>
      </x:c>
      <x:c r="H62" s="30" t="str">
        <x:v>Berg en Dal</x:v>
      </x:c>
      <x:c r="I62" s="30" t="str">
        <x:v>Groesbeek</x:v>
      </x:c>
      <x:c r="J62" s="30" t="str">
        <x:v>Postweg 17</x:v>
      </x:c>
      <x:c r="K62" s="30" t="str">
        <x:v>6561 KJ</x:v>
      </x:c>
      <x:c r="L62" s="32" t="n">
        <x:v>51.79028879</x:v>
      </x:c>
      <x:c r="M62" s="32" t="n">
        <x:v>5.92241917</x:v>
      </x:c>
      <x:c r="N62" s="30" t="str">
        <x:v>WGS84 / EPSG:4326</x:v>
      </x:c>
      <x:c r="O62" s="30" t="str">
        <x:v>Verified BAG address point via PDOK</x:v>
      </x:c>
      <x:c r="P62" s="30" t="str">
        <x:v>2026-08-15</x:v>
      </x:c>
      <x:c r="Q62" s="33" t="n">
        <x:f>IF(R62="","",ROUND(R62/0.9144,0))</x:f>
        <x:v>6602</x:v>
      </x:c>
      <x:c r="R62" s="33" t="n">
        <x:v>6037</x:v>
      </x:c>
      <x:c r="S62" s="33" t="n">
        <x:v>18</x:v>
      </x:c>
      <x:c r="T62" s="33" t="n">
        <x:v>72</x:v>
      </x:c>
      <x:c r="U62" s="30" t="str">
        <x:v>Full-length course</x:v>
      </x:c>
      <x:c r="V62" s="30"/>
      <x:c r="W62" s="30"/>
      <x:c r="X62" s="30"/>
      <x:c r="Y62" s="30" t="str">
        <x:v>https://www.golfenophetrijk.nl/nijmegen.html</x:v>
      </x:c>
      <x:c r="Z62" s="30" t="b">
        <x:f>IF(AND(F62="Netherlands",ISNUMBER(L62),ISNUMBER(M62),L62&gt;=50.7,L62&lt;=53.7,M62&gt;=3.2,M62&lt;=7.3,AC62&lt;&gt;"Closed"),TRUE,FALSE)</x:f>
        <x:v>1</x:v>
      </x:c>
      <x:c r="AA62" s="30" t="b">
        <x:f>Z62</x:f>
        <x:v>1</x:v>
      </x:c>
      <x:c r="AB62" s="30" t="str">
        <x:f>IF(Z62,"verified_coordinate_and_open","not_map_ready")</x:f>
        <x:v>verified_coordinate_and_open</x:v>
      </x:c>
      <x:c r="AC62" s="30" t="str">
        <x:v>Open</x:v>
      </x:c>
      <x:c r="AD62" s="30" t="str">
        <x:v>Public — handicap 54 or lower</x:v>
      </x:c>
      <x:c r="AE62" s="31" t="b">
        <x:v>1</x:v>
      </x:c>
      <x:c r="AF62" s="31" t="b">
        <x:v>0</x:v>
      </x:c>
      <x:c r="AG62" s="30"/>
      <x:c r="AH62" s="30"/>
      <x:c r="AI62" s="30"/>
      <x:c r="AJ62" s="31" t="b">
        <x:v>0</x:v>
      </x:c>
      <x:c r="AK62" s="31" t="b">
        <x:v>0</x:v>
      </x:c>
      <x:c r="AL62" s="30" t="str">
        <x:v>Verified — national register and exact BAG address</x:v>
      </x:c>
      <x:c r="AM62" s="30" t="str">
        <x:v>https://www.golf.nl/de-baan-op/banenzoeker/overzicht</x:v>
      </x:c>
      <x:c r="AN62" s="30" t="str">
        <x:v>2026-08-15</x:v>
      </x:c>
      <x:c r="AO62" s="30" t="str">
        <x:v>+31 24-3976644</x:v>
      </x:c>
      <x:c r="AP62" s="30" t="str">
        <x:v>Current NGF/GOLF.NL listing: 18 holes, par 72, 6037 metres. Combined from exact NGF-listed constituent nine-hole loops: Nijmeegse baan 1ste negen (9 holes, par 36, 3046 m); Nijmeegse baan 2de negen (9 holes, par 36, 2991 m) Listed as qualifying.</x:v>
      </x:c>
    </x:row>
    <x:row r="63">
      <x:c r="A63" s="30" t="str">
        <x:v>NL-C0038</x:v>
      </x:c>
      <x:c r="B63" s="30" t="str">
        <x:v>NL-0062</x:v>
      </x:c>
      <x:c r="C63" s="30" t="str">
        <x:v>Golfbaan Het Rijk van Nunspeet — Noord</x:v>
      </x:c>
      <x:c r="D63" s="30" t="str">
        <x:v>Golfbaan Het Rijk van Nunspeet</x:v>
      </x:c>
      <x:c r="E63" s="30" t="str">
        <x:v>Noord</x:v>
      </x:c>
      <x:c r="F63" s="30" t="str">
        <x:v>Netherlands</x:v>
      </x:c>
      <x:c r="G63" s="30" t="str">
        <x:v>Gelderland</x:v>
      </x:c>
      <x:c r="H63" s="30" t="str">
        <x:v>Nunspeet</x:v>
      </x:c>
      <x:c r="I63" s="30" t="str">
        <x:v>Nunspeet</x:v>
      </x:c>
      <x:c r="J63" s="30" t="str">
        <x:v>Plesmanlaan 30</x:v>
      </x:c>
      <x:c r="K63" s="30" t="str">
        <x:v>8072 PT</x:v>
      </x:c>
      <x:c r="L63" s="32" t="n">
        <x:v>52.36770503</x:v>
      </x:c>
      <x:c r="M63" s="32" t="n">
        <x:v>5.79827164</x:v>
      </x:c>
      <x:c r="N63" s="30" t="str">
        <x:v>WGS84 / EPSG:4326</x:v>
      </x:c>
      <x:c r="O63" s="30" t="str">
        <x:v>Verified BAG address point via PDOK</x:v>
      </x:c>
      <x:c r="P63" s="30" t="str">
        <x:v>2026-08-15</x:v>
      </x:c>
      <x:c r="Q63" s="33" t="n">
        <x:f>IF(R63="","",ROUND(R63/0.9144,0))</x:f>
        <x:v>3317</x:v>
      </x:c>
      <x:c r="R63" s="33" t="n">
        <x:v>3033</x:v>
      </x:c>
      <x:c r="S63" s="33" t="n">
        <x:v>9</x:v>
      </x:c>
      <x:c r="T63" s="33" t="n">
        <x:v>36</x:v>
      </x:c>
      <x:c r="U63" s="30" t="str">
        <x:v>Full-length course</x:v>
      </x:c>
      <x:c r="V63" s="30"/>
      <x:c r="W63" s="30"/>
      <x:c r="X63" s="30"/>
      <x:c r="Y63" s="30" t="str">
        <x:v>https://www.golfenophetrijk.nl/nunspeet.html</x:v>
      </x:c>
      <x:c r="Z63" s="30" t="b">
        <x:f>IF(AND(F63="Netherlands",ISNUMBER(L63),ISNUMBER(M63),L63&gt;=50.7,L63&lt;=53.7,M63&gt;=3.2,M63&lt;=7.3,AC63&lt;&gt;"Closed"),TRUE,FALSE)</x:f>
        <x:v>1</x:v>
      </x:c>
      <x:c r="AA63" s="30" t="b">
        <x:f>Z63</x:f>
        <x:v>1</x:v>
      </x:c>
      <x:c r="AB63" s="30" t="str">
        <x:f>IF(Z63,"verified_coordinate_and_open","not_map_ready")</x:f>
        <x:v>verified_coordinate_and_open</x:v>
      </x:c>
      <x:c r="AC63" s="30" t="str">
        <x:v>Open</x:v>
      </x:c>
      <x:c r="AD63" s="30" t="str">
        <x:v>Public — handicap 54 or lower</x:v>
      </x:c>
      <x:c r="AE63" s="31" t="b">
        <x:v>1</x:v>
      </x:c>
      <x:c r="AF63" s="31" t="b">
        <x:v>0</x:v>
      </x:c>
      <x:c r="AG63" s="30"/>
      <x:c r="AH63" s="30"/>
      <x:c r="AI63" s="30"/>
      <x:c r="AJ63" s="31" t="b">
        <x:v>0</x:v>
      </x:c>
      <x:c r="AK63" s="31" t="b">
        <x:v>0</x:v>
      </x:c>
      <x:c r="AL63" s="30" t="str">
        <x:v>Verified — national register and exact BAG address</x:v>
      </x:c>
      <x:c r="AM63" s="30" t="str">
        <x:v>https://www.golf.nl/de-baan-op/banenzoeker/overzicht</x:v>
      </x:c>
      <x:c r="AN63" s="30" t="str">
        <x:v>2026-08-15</x:v>
      </x:c>
      <x:c r="AO63" s="30" t="str">
        <x:v>+31 341-255255</x:v>
      </x:c>
      <x:c r="AP63" s="30" t="str">
        <x:v>Current NGF/GOLF.NL listing: 9 holes, par 36, 3033 metres. Listed as qualifying.</x:v>
      </x:c>
    </x:row>
    <x:row r="64">
      <x:c r="A64" s="30" t="str">
        <x:v>NL-C0038</x:v>
      </x:c>
      <x:c r="B64" s="30" t="str">
        <x:v>NL-0063</x:v>
      </x:c>
      <x:c r="C64" s="30" t="str">
        <x:v>Golfbaan Het Rijk van Nunspeet — Oost</x:v>
      </x:c>
      <x:c r="D64" s="30" t="str">
        <x:v>Golfbaan Het Rijk van Nunspeet</x:v>
      </x:c>
      <x:c r="E64" s="30" t="str">
        <x:v>Oost</x:v>
      </x:c>
      <x:c r="F64" s="30" t="str">
        <x:v>Netherlands</x:v>
      </x:c>
      <x:c r="G64" s="30" t="str">
        <x:v>Gelderland</x:v>
      </x:c>
      <x:c r="H64" s="30" t="str">
        <x:v>Nunspeet</x:v>
      </x:c>
      <x:c r="I64" s="30" t="str">
        <x:v>Nunspeet</x:v>
      </x:c>
      <x:c r="J64" s="30" t="str">
        <x:v>Plesmanlaan 30</x:v>
      </x:c>
      <x:c r="K64" s="30" t="str">
        <x:v>8072 PT</x:v>
      </x:c>
      <x:c r="L64" s="32" t="n">
        <x:v>52.36770503</x:v>
      </x:c>
      <x:c r="M64" s="32" t="n">
        <x:v>5.79827164</x:v>
      </x:c>
      <x:c r="N64" s="30" t="str">
        <x:v>WGS84 / EPSG:4326</x:v>
      </x:c>
      <x:c r="O64" s="30" t="str">
        <x:v>Verified BAG address point via PDOK</x:v>
      </x:c>
      <x:c r="P64" s="30" t="str">
        <x:v>2026-08-15</x:v>
      </x:c>
      <x:c r="Q64" s="33" t="n">
        <x:f>IF(R64="","",ROUND(R64/0.9144,0))</x:f>
        <x:v>3258</x:v>
      </x:c>
      <x:c r="R64" s="33" t="n">
        <x:v>2979</x:v>
      </x:c>
      <x:c r="S64" s="33" t="n">
        <x:v>9</x:v>
      </x:c>
      <x:c r="T64" s="33" t="n">
        <x:v>36</x:v>
      </x:c>
      <x:c r="U64" s="30" t="str">
        <x:v>Full-length course</x:v>
      </x:c>
      <x:c r="V64" s="30"/>
      <x:c r="W64" s="30"/>
      <x:c r="X64" s="30"/>
      <x:c r="Y64" s="30" t="str">
        <x:v>https://www.golfenophetrijk.nl/nunspeet.html</x:v>
      </x:c>
      <x:c r="Z64" s="30" t="b">
        <x:f>IF(AND(F64="Netherlands",ISNUMBER(L64),ISNUMBER(M64),L64&gt;=50.7,L64&lt;=53.7,M64&gt;=3.2,M64&lt;=7.3,AC64&lt;&gt;"Closed"),TRUE,FALSE)</x:f>
        <x:v>1</x:v>
      </x:c>
      <x:c r="AA64" s="30" t="b">
        <x:f>Z64</x:f>
        <x:v>1</x:v>
      </x:c>
      <x:c r="AB64" s="30" t="str">
        <x:f>IF(Z64,"verified_coordinate_and_open","not_map_ready")</x:f>
        <x:v>verified_coordinate_and_open</x:v>
      </x:c>
      <x:c r="AC64" s="30" t="str">
        <x:v>Open</x:v>
      </x:c>
      <x:c r="AD64" s="30" t="str">
        <x:v>Public — handicap 54 or lower</x:v>
      </x:c>
      <x:c r="AE64" s="31" t="b">
        <x:v>1</x:v>
      </x:c>
      <x:c r="AF64" s="31" t="b">
        <x:v>0</x:v>
      </x:c>
      <x:c r="AG64" s="30"/>
      <x:c r="AH64" s="30"/>
      <x:c r="AI64" s="30"/>
      <x:c r="AJ64" s="31" t="b">
        <x:v>0</x:v>
      </x:c>
      <x:c r="AK64" s="31" t="b">
        <x:v>0</x:v>
      </x:c>
      <x:c r="AL64" s="30" t="str">
        <x:v>Verified — national register and exact BAG address</x:v>
      </x:c>
      <x:c r="AM64" s="30" t="str">
        <x:v>https://www.golf.nl/de-baan-op/banenzoeker/overzicht</x:v>
      </x:c>
      <x:c r="AN64" s="30" t="str">
        <x:v>2026-08-15</x:v>
      </x:c>
      <x:c r="AO64" s="30" t="str">
        <x:v>+31 341-255255</x:v>
      </x:c>
      <x:c r="AP64" s="30" t="str">
        <x:v>Current NGF/GOLF.NL listing: 9 holes, par 36, 2979 metres. Listed as qualifying.</x:v>
      </x:c>
    </x:row>
    <x:row r="65">
      <x:c r="A65" s="30" t="str">
        <x:v>NL-C0038</x:v>
      </x:c>
      <x:c r="B65" s="30" t="str">
        <x:v>NL-0064</x:v>
      </x:c>
      <x:c r="C65" s="30" t="str">
        <x:v>Golfbaan Het Rijk van Nunspeet — Zuid</x:v>
      </x:c>
      <x:c r="D65" s="30" t="str">
        <x:v>Golfbaan Het Rijk van Nunspeet</x:v>
      </x:c>
      <x:c r="E65" s="30" t="str">
        <x:v>Zuid</x:v>
      </x:c>
      <x:c r="F65" s="30" t="str">
        <x:v>Netherlands</x:v>
      </x:c>
      <x:c r="G65" s="30" t="str">
        <x:v>Gelderland</x:v>
      </x:c>
      <x:c r="H65" s="30" t="str">
        <x:v>Nunspeet</x:v>
      </x:c>
      <x:c r="I65" s="30" t="str">
        <x:v>Nunspeet</x:v>
      </x:c>
      <x:c r="J65" s="30" t="str">
        <x:v>Plesmanlaan 30</x:v>
      </x:c>
      <x:c r="K65" s="30" t="str">
        <x:v>8072 PT</x:v>
      </x:c>
      <x:c r="L65" s="32" t="n">
        <x:v>52.36770503</x:v>
      </x:c>
      <x:c r="M65" s="32" t="n">
        <x:v>5.79827164</x:v>
      </x:c>
      <x:c r="N65" s="30" t="str">
        <x:v>WGS84 / EPSG:4326</x:v>
      </x:c>
      <x:c r="O65" s="30" t="str">
        <x:v>Verified BAG address point via PDOK</x:v>
      </x:c>
      <x:c r="P65" s="30" t="str">
        <x:v>2026-08-15</x:v>
      </x:c>
      <x:c r="Q65" s="33" t="n">
        <x:f>IF(R65="","",ROUND(R65/0.9144,0))</x:f>
        <x:v>3247</x:v>
      </x:c>
      <x:c r="R65" s="33" t="n">
        <x:v>2969</x:v>
      </x:c>
      <x:c r="S65" s="33" t="n">
        <x:v>9</x:v>
      </x:c>
      <x:c r="T65" s="33" t="n">
        <x:v>36</x:v>
      </x:c>
      <x:c r="U65" s="30" t="str">
        <x:v>Full-length course</x:v>
      </x:c>
      <x:c r="V65" s="30"/>
      <x:c r="W65" s="30"/>
      <x:c r="X65" s="30"/>
      <x:c r="Y65" s="30" t="str">
        <x:v>https://www.golfenophetrijk.nl/nunspeet.html</x:v>
      </x:c>
      <x:c r="Z65" s="30" t="b">
        <x:f>IF(AND(F65="Netherlands",ISNUMBER(L65),ISNUMBER(M65),L65&gt;=50.7,L65&lt;=53.7,M65&gt;=3.2,M65&lt;=7.3,AC65&lt;&gt;"Closed"),TRUE,FALSE)</x:f>
        <x:v>1</x:v>
      </x:c>
      <x:c r="AA65" s="30" t="b">
        <x:f>Z65</x:f>
        <x:v>1</x:v>
      </x:c>
      <x:c r="AB65" s="30" t="str">
        <x:f>IF(Z65,"verified_coordinate_and_open","not_map_ready")</x:f>
        <x:v>verified_coordinate_and_open</x:v>
      </x:c>
      <x:c r="AC65" s="30" t="str">
        <x:v>Open</x:v>
      </x:c>
      <x:c r="AD65" s="30" t="str">
        <x:v>Public — handicap 54 or lower</x:v>
      </x:c>
      <x:c r="AE65" s="31" t="b">
        <x:v>1</x:v>
      </x:c>
      <x:c r="AF65" s="31" t="b">
        <x:v>0</x:v>
      </x:c>
      <x:c r="AG65" s="30"/>
      <x:c r="AH65" s="30"/>
      <x:c r="AI65" s="30"/>
      <x:c r="AJ65" s="31" t="b">
        <x:v>0</x:v>
      </x:c>
      <x:c r="AK65" s="31" t="b">
        <x:v>0</x:v>
      </x:c>
      <x:c r="AL65" s="30" t="str">
        <x:v>Verified — national register and exact BAG address</x:v>
      </x:c>
      <x:c r="AM65" s="30" t="str">
        <x:v>https://www.golf.nl/de-baan-op/banenzoeker/overzicht</x:v>
      </x:c>
      <x:c r="AN65" s="30" t="str">
        <x:v>2026-08-15</x:v>
      </x:c>
      <x:c r="AO65" s="30" t="str">
        <x:v>+31 341-255255</x:v>
      </x:c>
      <x:c r="AP65" s="30" t="str">
        <x:v>Current NGF/GOLF.NL listing: 9 holes, par 36, 2969 metres. Listed as qualifying.</x:v>
      </x:c>
    </x:row>
    <x:row r="66">
      <x:c r="A66" s="30" t="str">
        <x:v>NL-C0039</x:v>
      </x:c>
      <x:c r="B66" s="30" t="str">
        <x:v>NL-0065</x:v>
      </x:c>
      <x:c r="C66" s="30" t="str">
        <x:v>Golfbaan Landgoed Welderen — Main Course</x:v>
      </x:c>
      <x:c r="D66" s="30" t="str">
        <x:v>Golfbaan Landgoed Welderen</x:v>
      </x:c>
      <x:c r="E66" s="30" t="str">
        <x:v>Main Course</x:v>
      </x:c>
      <x:c r="F66" s="30" t="str">
        <x:v>Netherlands</x:v>
      </x:c>
      <x:c r="G66" s="30" t="str">
        <x:v>Gelderland</x:v>
      </x:c>
      <x:c r="H66" s="30" t="str">
        <x:v>Overbetuwe</x:v>
      </x:c>
      <x:c r="I66" s="30" t="str">
        <x:v>Elst</x:v>
      </x:c>
      <x:c r="J66" s="30" t="str">
        <x:v>Grote Molenstraat 173</x:v>
      </x:c>
      <x:c r="K66" s="30" t="str">
        <x:v>6661 NH</x:v>
      </x:c>
      <x:c r="L66" s="32" t="n">
        <x:v>51.94234267</x:v>
      </x:c>
      <x:c r="M66" s="32" t="n">
        <x:v>5.82959052</x:v>
      </x:c>
      <x:c r="N66" s="30" t="str">
        <x:v>WGS84 / EPSG:4326</x:v>
      </x:c>
      <x:c r="O66" s="30" t="str">
        <x:v>Verified BAG address point via PDOK</x:v>
      </x:c>
      <x:c r="P66" s="30" t="str">
        <x:v>2026-08-15</x:v>
      </x:c>
      <x:c r="Q66" s="33" t="n">
        <x:f>IF(R66="","",ROUND(R66/0.9144,0))</x:f>
        <x:v>6716</x:v>
      </x:c>
      <x:c r="R66" s="33" t="n">
        <x:v>6141</x:v>
      </x:c>
      <x:c r="S66" s="33" t="n">
        <x:v>18</x:v>
      </x:c>
      <x:c r="T66" s="33" t="n">
        <x:v>72</x:v>
      </x:c>
      <x:c r="U66" s="30" t="str">
        <x:v>Full-length course</x:v>
      </x:c>
      <x:c r="V66" s="30"/>
      <x:c r="W66" s="30"/>
      <x:c r="X66" s="30"/>
      <x:c r="Y66" s="30" t="str">
        <x:v>https://welderen.nl/</x:v>
      </x:c>
      <x:c r="Z66" s="30" t="b">
        <x:f>IF(AND(F66="Netherlands",ISNUMBER(L66),ISNUMBER(M66),L66&gt;=50.7,L66&lt;=53.7,M66&gt;=3.2,M66&lt;=7.3,AC66&lt;&gt;"Closed"),TRUE,FALSE)</x:f>
        <x:v>1</x:v>
      </x:c>
      <x:c r="AA66" s="30" t="b">
        <x:f>Z66</x:f>
        <x:v>1</x:v>
      </x:c>
      <x:c r="AB66" s="30" t="str">
        <x:f>IF(Z66,"verified_coordinate_and_open","not_map_ready")</x:f>
        <x:v>verified_coordinate_and_open</x:v>
      </x:c>
      <x:c r="AC66" s="30" t="str">
        <x:v>Open</x:v>
      </x:c>
      <x:c r="AD66" s="30" t="str">
        <x:v>Public — handicap 54 or lower</x:v>
      </x:c>
      <x:c r="AE66" s="31" t="b">
        <x:v>1</x:v>
      </x:c>
      <x:c r="AF66" s="31" t="b">
        <x:v>0</x:v>
      </x:c>
      <x:c r="AG66" s="30"/>
      <x:c r="AH66" s="30"/>
      <x:c r="AI66" s="30"/>
      <x:c r="AJ66" s="31" t="b">
        <x:v>0</x:v>
      </x:c>
      <x:c r="AK66" s="31" t="b">
        <x:v>0</x:v>
      </x:c>
      <x:c r="AL66" s="30" t="str">
        <x:v>Verified — national register and exact BAG address</x:v>
      </x:c>
      <x:c r="AM66" s="30" t="str">
        <x:v>https://www.golf.nl/de-baan-op/banenzoeker/overzicht</x:v>
      </x:c>
      <x:c r="AN66" s="30" t="str">
        <x:v>2026-08-15</x:v>
      </x:c>
      <x:c r="AO66" s="30" t="str">
        <x:v>+31 481-376591</x:v>
      </x:c>
      <x:c r="AP66" s="30" t="str">
        <x:v>Current NGF/GOLF.NL listing: 18 holes, par 72, 6141 metres. Combined from exact NGF-listed constituent nine-hole loops: 1ste negen (9 holes, par 36, 3010 m); 2de negen (9 holes, par 36, 3131 m) Listed as qualifying.</x:v>
      </x:c>
    </x:row>
    <x:row r="67">
      <x:c r="A67" s="30" t="str">
        <x:v>NL-C0039</x:v>
      </x:c>
      <x:c r="B67" s="30" t="str">
        <x:v>NL-0066</x:v>
      </x:c>
      <x:c r="C67" s="30" t="str">
        <x:v>Golfbaan Landgoed Welderen — Par 3-4 baan</x:v>
      </x:c>
      <x:c r="D67" s="30" t="str">
        <x:v>Golfbaan Landgoed Welderen</x:v>
      </x:c>
      <x:c r="E67" s="30" t="str">
        <x:v>Par 3-4 baan</x:v>
      </x:c>
      <x:c r="F67" s="30" t="str">
        <x:v>Netherlands</x:v>
      </x:c>
      <x:c r="G67" s="30" t="str">
        <x:v>Gelderland</x:v>
      </x:c>
      <x:c r="H67" s="30" t="str">
        <x:v>Overbetuwe</x:v>
      </x:c>
      <x:c r="I67" s="30" t="str">
        <x:v>Elst</x:v>
      </x:c>
      <x:c r="J67" s="30" t="str">
        <x:v>Grote Molenstraat 173</x:v>
      </x:c>
      <x:c r="K67" s="30" t="str">
        <x:v>6661 NH</x:v>
      </x:c>
      <x:c r="L67" s="32" t="n">
        <x:v>51.94234267</x:v>
      </x:c>
      <x:c r="M67" s="32" t="n">
        <x:v>5.82959052</x:v>
      </x:c>
      <x:c r="N67" s="30" t="str">
        <x:v>WGS84 / EPSG:4326</x:v>
      </x:c>
      <x:c r="O67" s="30" t="str">
        <x:v>Verified BAG address point via PDOK</x:v>
      </x:c>
      <x:c r="P67" s="30" t="str">
        <x:v>2026-08-15</x:v>
      </x:c>
      <x:c r="Q67" s="33" t="n">
        <x:f>IF(R67="","",ROUND(R67/0.9144,0))</x:f>
        <x:v>1331</x:v>
      </x:c>
      <x:c r="R67" s="33" t="n">
        <x:v>1217</x:v>
      </x:c>
      <x:c r="S67" s="33" t="n">
        <x:v>9</x:v>
      </x:c>
      <x:c r="T67" s="33" t="n">
        <x:v>29</x:v>
      </x:c>
      <x:c r="U67" s="30" t="str">
        <x:v>Par-3/4 course</x:v>
      </x:c>
      <x:c r="V67" s="30"/>
      <x:c r="W67" s="30"/>
      <x:c r="X67" s="30"/>
      <x:c r="Y67" s="30" t="str">
        <x:v>https://welderen.nl/</x:v>
      </x:c>
      <x:c r="Z67" s="30" t="b">
        <x:f>IF(AND(F67="Netherlands",ISNUMBER(L67),ISNUMBER(M67),L67&gt;=50.7,L67&lt;=53.7,M67&gt;=3.2,M67&lt;=7.3,AC67&lt;&gt;"Closed"),TRUE,FALSE)</x:f>
        <x:v>1</x:v>
      </x:c>
      <x:c r="AA67" s="30" t="b">
        <x:f>Z67</x:f>
        <x:v>1</x:v>
      </x:c>
      <x:c r="AB67" s="30" t="str">
        <x:f>IF(Z67,"verified_coordinate_and_open","not_map_ready")</x:f>
        <x:v>verified_coordinate_and_open</x:v>
      </x:c>
      <x:c r="AC67" s="30" t="str">
        <x:v>Open</x:v>
      </x:c>
      <x:c r="AD67" s="30" t="str">
        <x:v>Public — NGF course permission</x:v>
      </x:c>
      <x:c r="AE67" s="31" t="b">
        <x:v>1</x:v>
      </x:c>
      <x:c r="AF67" s="31" t="b">
        <x:v>0</x:v>
      </x:c>
      <x:c r="AG67" s="30"/>
      <x:c r="AH67" s="30"/>
      <x:c r="AI67" s="30"/>
      <x:c r="AJ67" s="31" t="b">
        <x:v>0</x:v>
      </x:c>
      <x:c r="AK67" s="31" t="b">
        <x:v>0</x:v>
      </x:c>
      <x:c r="AL67" s="30" t="str">
        <x:v>Verified — national register and exact BAG address</x:v>
      </x:c>
      <x:c r="AM67" s="30" t="str">
        <x:v>https://www.golf.nl/de-baan-op/banenzoeker/overzicht</x:v>
      </x:c>
      <x:c r="AN67" s="30" t="str">
        <x:v>2026-08-15</x:v>
      </x:c>
      <x:c r="AO67" s="30" t="str">
        <x:v>+31 481-376591</x:v>
      </x:c>
      <x:c r="AP67" s="30" t="str">
        <x:v>Current NGF/GOLF.NL listing: 9 holes, par 29, 1217 metres. Listed as qualifying.</x:v>
      </x:c>
    </x:row>
    <x:row r="68">
      <x:c r="A68" s="30" t="str">
        <x:v>NL-C0040</x:v>
      </x:c>
      <x:c r="B68" s="30" t="str">
        <x:v>NL-0067</x:v>
      </x:c>
      <x:c r="C68" s="30" t="str">
        <x:v>Golfcentrum De Batouwe — Appel</x:v>
      </x:c>
      <x:c r="D68" s="30" t="str">
        <x:v>Golfcentrum De Batouwe</x:v>
      </x:c>
      <x:c r="E68" s="30" t="str">
        <x:v>Appel</x:v>
      </x:c>
      <x:c r="F68" s="30" t="str">
        <x:v>Netherlands</x:v>
      </x:c>
      <x:c r="G68" s="30" t="str">
        <x:v>Gelderland</x:v>
      </x:c>
      <x:c r="H68" s="30" t="str">
        <x:v>Buren</x:v>
      </x:c>
      <x:c r="I68" s="30" t="str">
        <x:v>Zoelen</x:v>
      </x:c>
      <x:c r="J68" s="30" t="str">
        <x:v>Oost Kanaalweg 1</x:v>
      </x:c>
      <x:c r="K68" s="30" t="str">
        <x:v>4011 LA</x:v>
      </x:c>
      <x:c r="L68" s="32" t="n">
        <x:v>51.92764239</x:v>
      </x:c>
      <x:c r="M68" s="32" t="n">
        <x:v>5.42269119</x:v>
      </x:c>
      <x:c r="N68" s="30" t="str">
        <x:v>WGS84 / EPSG:4326</x:v>
      </x:c>
      <x:c r="O68" s="30" t="str">
        <x:v>Verified BAG address point via PDOK</x:v>
      </x:c>
      <x:c r="P68" s="30" t="str">
        <x:v>2026-08-15</x:v>
      </x:c>
      <x:c r="Q68" s="33" t="n">
        <x:f>IF(R68="","",ROUND(R68/0.9144,0))</x:f>
        <x:v>3064</x:v>
      </x:c>
      <x:c r="R68" s="33" t="n">
        <x:v>2802</x:v>
      </x:c>
      <x:c r="S68" s="33" t="n">
        <x:v>9</x:v>
      </x:c>
      <x:c r="T68" s="33" t="n">
        <x:v>35</x:v>
      </x:c>
      <x:c r="U68" s="30" t="str">
        <x:v>Full-length course</x:v>
      </x:c>
      <x:c r="V68" s="30"/>
      <x:c r="W68" s="30"/>
      <x:c r="X68" s="30"/>
      <x:c r="Y68" s="30" t="str">
        <x:v>https://golfcentrumdebatouwe.nl/</x:v>
      </x:c>
      <x:c r="Z68" s="30" t="b">
        <x:f>IF(AND(F68="Netherlands",ISNUMBER(L68),ISNUMBER(M68),L68&gt;=50.7,L68&lt;=53.7,M68&gt;=3.2,M68&lt;=7.3,AC68&lt;&gt;"Closed"),TRUE,FALSE)</x:f>
        <x:v>1</x:v>
      </x:c>
      <x:c r="AA68" s="30" t="b">
        <x:f>Z68</x:f>
        <x:v>1</x:v>
      </x:c>
      <x:c r="AB68" s="30" t="str">
        <x:f>IF(Z68,"verified_coordinate_and_open","not_map_ready")</x:f>
        <x:v>verified_coordinate_and_open</x:v>
      </x:c>
      <x:c r="AC68" s="30" t="str">
        <x:v>Open</x:v>
      </x:c>
      <x:c r="AD68" s="30" t="str">
        <x:v>Public — handicap 54 or lower</x:v>
      </x:c>
      <x:c r="AE68" s="31" t="b">
        <x:v>1</x:v>
      </x:c>
      <x:c r="AF68" s="31" t="b">
        <x:v>0</x:v>
      </x:c>
      <x:c r="AG68" s="30"/>
      <x:c r="AH68" s="30"/>
      <x:c r="AI68" s="30"/>
      <x:c r="AJ68" s="31" t="b">
        <x:v>0</x:v>
      </x:c>
      <x:c r="AK68" s="31" t="b">
        <x:v>0</x:v>
      </x:c>
      <x:c r="AL68" s="30" t="str">
        <x:v>Verified — national register and exact BAG address</x:v>
      </x:c>
      <x:c r="AM68" s="30" t="str">
        <x:v>https://www.golf.nl/de-baan-op/banenzoeker/overzicht</x:v>
      </x:c>
      <x:c r="AN68" s="30" t="str">
        <x:v>2026-08-15</x:v>
      </x:c>
      <x:c r="AO68" s="30" t="str">
        <x:v>+31 344-624370</x:v>
      </x:c>
      <x:c r="AP68" s="30" t="str">
        <x:v>Current NGF/GOLF.NL listing: 9 holes, par 35, 2802 metres. Listed as qualifying.</x:v>
      </x:c>
    </x:row>
    <x:row r="69">
      <x:c r="A69" s="30" t="str">
        <x:v>NL-C0040</x:v>
      </x:c>
      <x:c r="B69" s="30" t="str">
        <x:v>NL-0068</x:v>
      </x:c>
      <x:c r="C69" s="30" t="str">
        <x:v>Golfcentrum De Batouwe — Kers</x:v>
      </x:c>
      <x:c r="D69" s="30" t="str">
        <x:v>Golfcentrum De Batouwe</x:v>
      </x:c>
      <x:c r="E69" s="30" t="str">
        <x:v>Kers</x:v>
      </x:c>
      <x:c r="F69" s="30" t="str">
        <x:v>Netherlands</x:v>
      </x:c>
      <x:c r="G69" s="30" t="str">
        <x:v>Gelderland</x:v>
      </x:c>
      <x:c r="H69" s="30" t="str">
        <x:v>Buren</x:v>
      </x:c>
      <x:c r="I69" s="30" t="str">
        <x:v>Zoelen</x:v>
      </x:c>
      <x:c r="J69" s="30" t="str">
        <x:v>Oost Kanaalweg 1</x:v>
      </x:c>
      <x:c r="K69" s="30" t="str">
        <x:v>4011 LA</x:v>
      </x:c>
      <x:c r="L69" s="32" t="n">
        <x:v>51.92764239</x:v>
      </x:c>
      <x:c r="M69" s="32" t="n">
        <x:v>5.42269119</x:v>
      </x:c>
      <x:c r="N69" s="30" t="str">
        <x:v>WGS84 / EPSG:4326</x:v>
      </x:c>
      <x:c r="O69" s="30" t="str">
        <x:v>Verified BAG address point via PDOK</x:v>
      </x:c>
      <x:c r="P69" s="30" t="str">
        <x:v>2026-08-15</x:v>
      </x:c>
      <x:c r="Q69" s="33" t="n">
        <x:f>IF(R69="","",ROUND(R69/0.9144,0))</x:f>
        <x:v>3073</x:v>
      </x:c>
      <x:c r="R69" s="33" t="n">
        <x:v>2810</x:v>
      </x:c>
      <x:c r="S69" s="33" t="n">
        <x:v>9</x:v>
      </x:c>
      <x:c r="T69" s="33" t="n">
        <x:v>36</x:v>
      </x:c>
      <x:c r="U69" s="30" t="str">
        <x:v>Full-length course</x:v>
      </x:c>
      <x:c r="V69" s="30"/>
      <x:c r="W69" s="30"/>
      <x:c r="X69" s="30"/>
      <x:c r="Y69" s="30" t="str">
        <x:v>https://golfcentrumdebatouwe.nl/</x:v>
      </x:c>
      <x:c r="Z69" s="30" t="b">
        <x:f>IF(AND(F69="Netherlands",ISNUMBER(L69),ISNUMBER(M69),L69&gt;=50.7,L69&lt;=53.7,M69&gt;=3.2,M69&lt;=7.3,AC69&lt;&gt;"Closed"),TRUE,FALSE)</x:f>
        <x:v>1</x:v>
      </x:c>
      <x:c r="AA69" s="30" t="b">
        <x:f>Z69</x:f>
        <x:v>1</x:v>
      </x:c>
      <x:c r="AB69" s="30" t="str">
        <x:f>IF(Z69,"verified_coordinate_and_open","not_map_ready")</x:f>
        <x:v>verified_coordinate_and_open</x:v>
      </x:c>
      <x:c r="AC69" s="30" t="str">
        <x:v>Open</x:v>
      </x:c>
      <x:c r="AD69" s="30" t="str">
        <x:v>Public — handicap 54 or lower</x:v>
      </x:c>
      <x:c r="AE69" s="31" t="b">
        <x:v>1</x:v>
      </x:c>
      <x:c r="AF69" s="31" t="b">
        <x:v>0</x:v>
      </x:c>
      <x:c r="AG69" s="30"/>
      <x:c r="AH69" s="30"/>
      <x:c r="AI69" s="30"/>
      <x:c r="AJ69" s="31" t="b">
        <x:v>0</x:v>
      </x:c>
      <x:c r="AK69" s="31" t="b">
        <x:v>0</x:v>
      </x:c>
      <x:c r="AL69" s="30" t="str">
        <x:v>Verified — national register and exact BAG address</x:v>
      </x:c>
      <x:c r="AM69" s="30" t="str">
        <x:v>https://www.golf.nl/de-baan-op/banenzoeker/overzicht</x:v>
      </x:c>
      <x:c r="AN69" s="30" t="str">
        <x:v>2026-08-15</x:v>
      </x:c>
      <x:c r="AO69" s="30" t="str">
        <x:v>+31 344-624370</x:v>
      </x:c>
      <x:c r="AP69" s="30" t="str">
        <x:v>Current NGF/GOLF.NL listing: 9 holes, par 36, 2810 metres. Listed as qualifying.</x:v>
      </x:c>
    </x:row>
    <x:row r="70">
      <x:c r="A70" s="30" t="str">
        <x:v>NL-C0040</x:v>
      </x:c>
      <x:c r="B70" s="30" t="str">
        <x:v>NL-0069</x:v>
      </x:c>
      <x:c r="C70" s="30" t="str">
        <x:v>Golfcentrum De Batouwe — Peer</x:v>
      </x:c>
      <x:c r="D70" s="30" t="str">
        <x:v>Golfcentrum De Batouwe</x:v>
      </x:c>
      <x:c r="E70" s="30" t="str">
        <x:v>Peer</x:v>
      </x:c>
      <x:c r="F70" s="30" t="str">
        <x:v>Netherlands</x:v>
      </x:c>
      <x:c r="G70" s="30" t="str">
        <x:v>Gelderland</x:v>
      </x:c>
      <x:c r="H70" s="30" t="str">
        <x:v>Buren</x:v>
      </x:c>
      <x:c r="I70" s="30" t="str">
        <x:v>Zoelen</x:v>
      </x:c>
      <x:c r="J70" s="30" t="str">
        <x:v>Oost Kanaalweg 1</x:v>
      </x:c>
      <x:c r="K70" s="30" t="str">
        <x:v>4011 LA</x:v>
      </x:c>
      <x:c r="L70" s="32" t="n">
        <x:v>51.92764239</x:v>
      </x:c>
      <x:c r="M70" s="32" t="n">
        <x:v>5.42269119</x:v>
      </x:c>
      <x:c r="N70" s="30" t="str">
        <x:v>WGS84 / EPSG:4326</x:v>
      </x:c>
      <x:c r="O70" s="30" t="str">
        <x:v>Verified BAG address point via PDOK</x:v>
      </x:c>
      <x:c r="P70" s="30" t="str">
        <x:v>2026-08-15</x:v>
      </x:c>
      <x:c r="Q70" s="33" t="n">
        <x:f>IF(R70="","",ROUND(R70/0.9144,0))</x:f>
        <x:v>3257</x:v>
      </x:c>
      <x:c r="R70" s="33" t="n">
        <x:v>2978</x:v>
      </x:c>
      <x:c r="S70" s="33" t="n">
        <x:v>9</x:v>
      </x:c>
      <x:c r="T70" s="33" t="n">
        <x:v>36</x:v>
      </x:c>
      <x:c r="U70" s="30" t="str">
        <x:v>Full-length course</x:v>
      </x:c>
      <x:c r="V70" s="30"/>
      <x:c r="W70" s="30"/>
      <x:c r="X70" s="30"/>
      <x:c r="Y70" s="30" t="str">
        <x:v>https://golfcentrumdebatouwe.nl/</x:v>
      </x:c>
      <x:c r="Z70" s="30" t="b">
        <x:f>IF(AND(F70="Netherlands",ISNUMBER(L70),ISNUMBER(M70),L70&gt;=50.7,L70&lt;=53.7,M70&gt;=3.2,M70&lt;=7.3,AC70&lt;&gt;"Closed"),TRUE,FALSE)</x:f>
        <x:v>1</x:v>
      </x:c>
      <x:c r="AA70" s="30" t="b">
        <x:f>Z70</x:f>
        <x:v>1</x:v>
      </x:c>
      <x:c r="AB70" s="30" t="str">
        <x:f>IF(Z70,"verified_coordinate_and_open","not_map_ready")</x:f>
        <x:v>verified_coordinate_and_open</x:v>
      </x:c>
      <x:c r="AC70" s="30" t="str">
        <x:v>Open</x:v>
      </x:c>
      <x:c r="AD70" s="30" t="str">
        <x:v>Public — handicap 54 or lower</x:v>
      </x:c>
      <x:c r="AE70" s="31" t="b">
        <x:v>1</x:v>
      </x:c>
      <x:c r="AF70" s="31" t="b">
        <x:v>0</x:v>
      </x:c>
      <x:c r="AG70" s="30"/>
      <x:c r="AH70" s="30"/>
      <x:c r="AI70" s="30"/>
      <x:c r="AJ70" s="31" t="b">
        <x:v>0</x:v>
      </x:c>
      <x:c r="AK70" s="31" t="b">
        <x:v>0</x:v>
      </x:c>
      <x:c r="AL70" s="30" t="str">
        <x:v>Verified — national register and exact BAG address</x:v>
      </x:c>
      <x:c r="AM70" s="30" t="str">
        <x:v>https://www.golf.nl/de-baan-op/banenzoeker/overzicht</x:v>
      </x:c>
      <x:c r="AN70" s="30" t="str">
        <x:v>2026-08-15</x:v>
      </x:c>
      <x:c r="AO70" s="30" t="str">
        <x:v>+31 344-624370</x:v>
      </x:c>
      <x:c r="AP70" s="30" t="str">
        <x:v>Current NGF/GOLF.NL listing: 9 holes, par 36, 2978 metres. Listed as qualifying.</x:v>
      </x:c>
    </x:row>
    <x:row r="71">
      <x:c r="A71" s="30" t="str">
        <x:v>NL-C0041</x:v>
      </x:c>
      <x:c r="B71" s="30" t="str">
        <x:v>NL-0070</x:v>
      </x:c>
      <x:c r="C71" s="30" t="str">
        <x:v>Golfclub 't Lohr — Par-3 Course</x:v>
      </x:c>
      <x:c r="D71" s="30" t="str">
        <x:v>Golfclub 't Lohr</x:v>
      </x:c>
      <x:c r="E71" s="30" t="str">
        <x:v>Par-3 Course</x:v>
      </x:c>
      <x:c r="F71" s="30" t="str">
        <x:v>Netherlands</x:v>
      </x:c>
      <x:c r="G71" s="30" t="str">
        <x:v>Gelderland</x:v>
      </x:c>
      <x:c r="H71" s="30" t="str">
        <x:v>Oude IJsselstreek</x:v>
      </x:c>
      <x:c r="I71" s="30" t="str">
        <x:v>Voorst</x:v>
      </x:c>
      <x:c r="J71" s="30" t="str">
        <x:v>Lohrpad 2</x:v>
      </x:c>
      <x:c r="K71" s="30" t="str">
        <x:v>7083 AX</x:v>
      </x:c>
      <x:c r="L71" s="32" t="n">
        <x:v>51.86960994</x:v>
      </x:c>
      <x:c r="M71" s="32" t="n">
        <x:v>6.41651087</x:v>
      </x:c>
      <x:c r="N71" s="30" t="str">
        <x:v>WGS84 / EPSG:4326</x:v>
      </x:c>
      <x:c r="O71" s="30" t="str">
        <x:v>Verified BAG address point via PDOK</x:v>
      </x:c>
      <x:c r="P71" s="30" t="str">
        <x:v>2026-08-15</x:v>
      </x:c>
      <x:c r="Q71" s="33" t="n">
        <x:f>IF(R71="","",ROUND(R71/0.9144,0))</x:f>
        <x:v>784</x:v>
      </x:c>
      <x:c r="R71" s="33" t="n">
        <x:v>717</x:v>
      </x:c>
      <x:c r="S71" s="33" t="n">
        <x:v>9</x:v>
      </x:c>
      <x:c r="T71" s="33" t="n">
        <x:v>27</x:v>
      </x:c>
      <x:c r="U71" s="30" t="str">
        <x:v>Par-3 course</x:v>
      </x:c>
      <x:c r="V71" s="30"/>
      <x:c r="W71" s="30"/>
      <x:c r="X71" s="30"/>
      <x:c r="Y71" s="30" t="str">
        <x:v>https://golfinvoorst.nl/</x:v>
      </x:c>
      <x:c r="Z71" s="30" t="b">
        <x:f>IF(AND(F71="Netherlands",ISNUMBER(L71),ISNUMBER(M71),L71&gt;=50.7,L71&lt;=53.7,M71&gt;=3.2,M71&lt;=7.3,AC71&lt;&gt;"Closed"),TRUE,FALSE)</x:f>
        <x:v>1</x:v>
      </x:c>
      <x:c r="AA71" s="30" t="b">
        <x:f>Z71</x:f>
        <x:v>1</x:v>
      </x:c>
      <x:c r="AB71" s="30" t="str">
        <x:f>IF(Z71,"verified_coordinate_and_open","not_map_ready")</x:f>
        <x:v>verified_coordinate_and_open</x:v>
      </x:c>
      <x:c r="AC71" s="30" t="str">
        <x:v>Open</x:v>
      </x:c>
      <x:c r="AD71" s="30" t="str">
        <x:v>Public — no playing requirement</x:v>
      </x:c>
      <x:c r="AE71" s="31" t="b">
        <x:v>1</x:v>
      </x:c>
      <x:c r="AF71" s="31" t="b">
        <x:v>0</x:v>
      </x:c>
      <x:c r="AG71" s="30"/>
      <x:c r="AH71" s="30"/>
      <x:c r="AI71" s="30"/>
      <x:c r="AJ71" s="31" t="b">
        <x:v>0</x:v>
      </x:c>
      <x:c r="AK71" s="31" t="b">
        <x:v>0</x:v>
      </x:c>
      <x:c r="AL71" s="30" t="str">
        <x:v>Verified — national register and exact BAG address</x:v>
      </x:c>
      <x:c r="AM71" s="30" t="str">
        <x:v>https://www.golf.nl/de-baan-op/banenzoeker/overzicht</x:v>
      </x:c>
      <x:c r="AN71" s="30" t="str">
        <x:v>2026-08-15</x:v>
      </x:c>
      <x:c r="AO71" s="30" t="str">
        <x:v>+31 315-631697</x:v>
      </x:c>
      <x:c r="AP71" s="30" t="str">
        <x:v>Current NGF/GOLF.NL listing: 9 holes, par 27, 717 metres. Listed as qualifying.</x:v>
      </x:c>
    </x:row>
    <x:row r="72">
      <x:c r="A72" s="30" t="str">
        <x:v>NL-C0041</x:v>
      </x:c>
      <x:c r="B72" s="30" t="str">
        <x:v>NL-0071</x:v>
      </x:c>
      <x:c r="C72" s="30" t="str">
        <x:v>Golfclub 't Lohr — Shortgolf / Pitch &amp; Putt Course</x:v>
      </x:c>
      <x:c r="D72" s="30" t="str">
        <x:v>Golfclub 't Lohr</x:v>
      </x:c>
      <x:c r="E72" s="30" t="str">
        <x:v>Shortgolf / Pitch &amp; Putt Course</x:v>
      </x:c>
      <x:c r="F72" s="30" t="str">
        <x:v>Netherlands</x:v>
      </x:c>
      <x:c r="G72" s="30" t="str">
        <x:v>Gelderland</x:v>
      </x:c>
      <x:c r="H72" s="30" t="str">
        <x:v>Oude IJsselstreek</x:v>
      </x:c>
      <x:c r="I72" s="30" t="str">
        <x:v>Voorst</x:v>
      </x:c>
      <x:c r="J72" s="30" t="str">
        <x:v>Lohrpad 2</x:v>
      </x:c>
      <x:c r="K72" s="30" t="str">
        <x:v>7083 AX</x:v>
      </x:c>
      <x:c r="L72" s="32" t="n">
        <x:v>51.86960994</x:v>
      </x:c>
      <x:c r="M72" s="32" t="n">
        <x:v>6.41651087</x:v>
      </x:c>
      <x:c r="N72" s="30" t="str">
        <x:v>WGS84 / EPSG:4326</x:v>
      </x:c>
      <x:c r="O72" s="30" t="str">
        <x:v>Verified BAG address point via PDOK</x:v>
      </x:c>
      <x:c r="P72" s="30" t="str">
        <x:v>2026-08-15</x:v>
      </x:c>
      <x:c r="Q72" s="33" t="n">
        <x:f>IF(R72="","",ROUND(R72/0.9144,0))</x:f>
        <x:v>1035</x:v>
      </x:c>
      <x:c r="R72" s="33" t="n">
        <x:v>946</x:v>
      </x:c>
      <x:c r="S72" s="33" t="n">
        <x:v>18</x:v>
      </x:c>
      <x:c r="T72" s="33" t="n">
        <x:v>54</x:v>
      </x:c>
      <x:c r="U72" s="30" t="str">
        <x:v>Shortgolf / Pitch &amp; Putt</x:v>
      </x:c>
      <x:c r="V72" s="30"/>
      <x:c r="W72" s="30"/>
      <x:c r="X72" s="30"/>
      <x:c r="Y72" s="30" t="str">
        <x:v>https://golfinvoorst.nl/</x:v>
      </x:c>
      <x:c r="Z72" s="30" t="b">
        <x:f>IF(AND(F72="Netherlands",ISNUMBER(L72),ISNUMBER(M72),L72&gt;=50.7,L72&lt;=53.7,M72&gt;=3.2,M72&lt;=7.3,AC72&lt;&gt;"Closed"),TRUE,FALSE)</x:f>
        <x:v>1</x:v>
      </x:c>
      <x:c r="AA72" s="30" t="b">
        <x:f>Z72</x:f>
        <x:v>1</x:v>
      </x:c>
      <x:c r="AB72" s="30" t="str">
        <x:f>IF(Z72,"verified_coordinate_and_open","not_map_ready")</x:f>
        <x:v>verified_coordinate_and_open</x:v>
      </x:c>
      <x:c r="AC72" s="30" t="str">
        <x:v>Open</x:v>
      </x:c>
      <x:c r="AD72" s="30" t="str">
        <x:v>Public — no playing requirement</x:v>
      </x:c>
      <x:c r="AE72" s="31" t="b">
        <x:v>0</x:v>
      </x:c>
      <x:c r="AF72" s="31" t="b">
        <x:v>0</x:v>
      </x:c>
      <x:c r="AG72" s="30"/>
      <x:c r="AH72" s="30"/>
      <x:c r="AI72" s="30"/>
      <x:c r="AJ72" s="31" t="b">
        <x:v>0</x:v>
      </x:c>
      <x:c r="AK72" s="31" t="b">
        <x:v>0</x:v>
      </x:c>
      <x:c r="AL72" s="30" t="str">
        <x:v>Verified — national register and exact BAG address</x:v>
      </x:c>
      <x:c r="AM72" s="30" t="str">
        <x:v>https://www.golf.nl/de-baan-op/banenzoeker/overzicht</x:v>
      </x:c>
      <x:c r="AN72" s="30" t="str">
        <x:v>2026-08-15</x:v>
      </x:c>
      <x:c r="AO72" s="30" t="str">
        <x:v>+31 315-631697</x:v>
      </x:c>
      <x:c r="AP72" s="30" t="str">
        <x:v>Current NGF/GOLF.NL listing: 18 holes, par 54, 946 metres. Combined from exact NGF-listed constituent nine-hole loops: 1ste negen (9 holes, par 27, 411 m); 2de negen (9 holes, par 27, 535 m) Listed as non-qualifying.</x:v>
      </x:c>
    </x:row>
    <x:row r="73">
      <x:c r="A73" s="30" t="str">
        <x:v>NL-C0042</x:v>
      </x:c>
      <x:c r="B73" s="30" t="str">
        <x:v>NL-0072</x:v>
      </x:c>
      <x:c r="C73" s="30" t="str">
        <x:v>Golfclub 't Zelle — Bosrijk</x:v>
      </x:c>
      <x:c r="D73" s="30" t="str">
        <x:v>Golfclub 't Zelle</x:v>
      </x:c>
      <x:c r="E73" s="30" t="str">
        <x:v>Bosrijk</x:v>
      </x:c>
      <x:c r="F73" s="30" t="str">
        <x:v>Netherlands</x:v>
      </x:c>
      <x:c r="G73" s="30" t="str">
        <x:v>Gelderland</x:v>
      </x:c>
      <x:c r="H73" s="30" t="str">
        <x:v>Bronckhorst</x:v>
      </x:c>
      <x:c r="I73" s="30" t="str">
        <x:v>Hengelo (Gld)</x:v>
      </x:c>
      <x:c r="J73" s="30" t="str">
        <x:v>Varsselseweg 45</x:v>
      </x:c>
      <x:c r="K73" s="30" t="str">
        <x:v>7255 NR</x:v>
      </x:c>
      <x:c r="L73" s="32" t="n">
        <x:v>52.05473048</x:v>
      </x:c>
      <x:c r="M73" s="32" t="n">
        <x:v>6.38801901</x:v>
      </x:c>
      <x:c r="N73" s="30" t="str">
        <x:v>WGS84 / EPSG:4326</x:v>
      </x:c>
      <x:c r="O73" s="30" t="str">
        <x:v>Verified BAG address point via PDOK</x:v>
      </x:c>
      <x:c r="P73" s="30" t="str">
        <x:v>2026-08-15</x:v>
      </x:c>
      <x:c r="Q73" s="33" t="n">
        <x:f>IF(R73="","",ROUND(R73/0.9144,0))</x:f>
        <x:v>3283</x:v>
      </x:c>
      <x:c r="R73" s="33" t="n">
        <x:v>3002</x:v>
      </x:c>
      <x:c r="S73" s="33" t="n">
        <x:v>9</x:v>
      </x:c>
      <x:c r="T73" s="33" t="n">
        <x:v>36</x:v>
      </x:c>
      <x:c r="U73" s="30" t="str">
        <x:v>Full-length course</x:v>
      </x:c>
      <x:c r="V73" s="30"/>
      <x:c r="W73" s="30"/>
      <x:c r="X73" s="30"/>
      <x:c r="Y73" s="30" t="str">
        <x:v>https://www.gczelle.nl/</x:v>
      </x:c>
      <x:c r="Z73" s="30" t="b">
        <x:f>IF(AND(F73="Netherlands",ISNUMBER(L73),ISNUMBER(M73),L73&gt;=50.7,L73&lt;=53.7,M73&gt;=3.2,M73&lt;=7.3,AC73&lt;&gt;"Closed"),TRUE,FALSE)</x:f>
        <x:v>1</x:v>
      </x:c>
      <x:c r="AA73" s="30" t="b">
        <x:f>Z73</x:f>
        <x:v>1</x:v>
      </x:c>
      <x:c r="AB73" s="30" t="str">
        <x:f>IF(Z73,"verified_coordinate_and_open","not_map_ready")</x:f>
        <x:v>verified_coordinate_and_open</x:v>
      </x:c>
      <x:c r="AC73" s="30" t="str">
        <x:v>Open</x:v>
      </x:c>
      <x:c r="AD73" s="30" t="str">
        <x:v>Public — handicap 54 or lower</x:v>
      </x:c>
      <x:c r="AE73" s="31" t="b">
        <x:v>1</x:v>
      </x:c>
      <x:c r="AF73" s="31" t="b">
        <x:v>0</x:v>
      </x:c>
      <x:c r="AG73" s="30"/>
      <x:c r="AH73" s="30"/>
      <x:c r="AI73" s="30"/>
      <x:c r="AJ73" s="31" t="b">
        <x:v>0</x:v>
      </x:c>
      <x:c r="AK73" s="31" t="b">
        <x:v>0</x:v>
      </x:c>
      <x:c r="AL73" s="30" t="str">
        <x:v>Verified — national register and exact BAG address</x:v>
      </x:c>
      <x:c r="AM73" s="30" t="str">
        <x:v>https://www.golf.nl/de-baan-op/banenzoeker/overzicht</x:v>
      </x:c>
      <x:c r="AN73" s="30" t="str">
        <x:v>2026-08-15</x:v>
      </x:c>
      <x:c r="AO73" s="30" t="str">
        <x:v>+31 575-467533</x:v>
      </x:c>
      <x:c r="AP73" s="30" t="str">
        <x:v>Current NGF/GOLF.NL listing: 9 holes, par 36, 3002 metres. Listed as qualifying.</x:v>
      </x:c>
    </x:row>
    <x:row r="74">
      <x:c r="A74" s="30" t="str">
        <x:v>NL-C0042</x:v>
      </x:c>
      <x:c r="B74" s="30" t="str">
        <x:v>NL-0073</x:v>
      </x:c>
      <x:c r="C74" s="30" t="str">
        <x:v>Golfclub 't Zelle — Veldrijk</x:v>
      </x:c>
      <x:c r="D74" s="30" t="str">
        <x:v>Golfclub 't Zelle</x:v>
      </x:c>
      <x:c r="E74" s="30" t="str">
        <x:v>Veldrijk</x:v>
      </x:c>
      <x:c r="F74" s="30" t="str">
        <x:v>Netherlands</x:v>
      </x:c>
      <x:c r="G74" s="30" t="str">
        <x:v>Gelderland</x:v>
      </x:c>
      <x:c r="H74" s="30" t="str">
        <x:v>Bronckhorst</x:v>
      </x:c>
      <x:c r="I74" s="30" t="str">
        <x:v>Hengelo (Gld)</x:v>
      </x:c>
      <x:c r="J74" s="30" t="str">
        <x:v>Varsselseweg 45</x:v>
      </x:c>
      <x:c r="K74" s="30" t="str">
        <x:v>7255 NR</x:v>
      </x:c>
      <x:c r="L74" s="32" t="n">
        <x:v>52.05473048</x:v>
      </x:c>
      <x:c r="M74" s="32" t="n">
        <x:v>6.38801901</x:v>
      </x:c>
      <x:c r="N74" s="30" t="str">
        <x:v>WGS84 / EPSG:4326</x:v>
      </x:c>
      <x:c r="O74" s="30" t="str">
        <x:v>Verified BAG address point via PDOK</x:v>
      </x:c>
      <x:c r="P74" s="30" t="str">
        <x:v>2026-08-15</x:v>
      </x:c>
      <x:c r="Q74" s="33" t="n">
        <x:f>IF(R74="","",ROUND(R74/0.9144,0))</x:f>
        <x:v>934</x:v>
      </x:c>
      <x:c r="R74" s="33" t="n">
        <x:v>854</x:v>
      </x:c>
      <x:c r="S74" s="33" t="n">
        <x:v>9</x:v>
      </x:c>
      <x:c r="T74" s="33" t="n">
        <x:v>27</x:v>
      </x:c>
      <x:c r="U74" s="30" t="str">
        <x:v>Par-3 course</x:v>
      </x:c>
      <x:c r="V74" s="30"/>
      <x:c r="W74" s="30"/>
      <x:c r="X74" s="30"/>
      <x:c r="Y74" s="30" t="str">
        <x:v>https://www.gczelle.nl/</x:v>
      </x:c>
      <x:c r="Z74" s="30" t="b">
        <x:f>IF(AND(F74="Netherlands",ISNUMBER(L74),ISNUMBER(M74),L74&gt;=50.7,L74&lt;=53.7,M74&gt;=3.2,M74&lt;=7.3,AC74&lt;&gt;"Closed"),TRUE,FALSE)</x:f>
        <x:v>1</x:v>
      </x:c>
      <x:c r="AA74" s="30" t="b">
        <x:f>Z74</x:f>
        <x:v>1</x:v>
      </x:c>
      <x:c r="AB74" s="30" t="str">
        <x:f>IF(Z74,"verified_coordinate_and_open","not_map_ready")</x:f>
        <x:v>verified_coordinate_and_open</x:v>
      </x:c>
      <x:c r="AC74" s="30" t="str">
        <x:v>Open</x:v>
      </x:c>
      <x:c r="AD74" s="30" t="str">
        <x:v>Public — NGF course permission</x:v>
      </x:c>
      <x:c r="AE74" s="31" t="b">
        <x:v>1</x:v>
      </x:c>
      <x:c r="AF74" s="31" t="b">
        <x:v>0</x:v>
      </x:c>
      <x:c r="AG74" s="30"/>
      <x:c r="AH74" s="30"/>
      <x:c r="AI74" s="30"/>
      <x:c r="AJ74" s="31" t="b">
        <x:v>0</x:v>
      </x:c>
      <x:c r="AK74" s="31" t="b">
        <x:v>0</x:v>
      </x:c>
      <x:c r="AL74" s="30" t="str">
        <x:v>Verified — national register and exact BAG address</x:v>
      </x:c>
      <x:c r="AM74" s="30" t="str">
        <x:v>https://www.golf.nl/de-baan-op/banenzoeker/overzicht</x:v>
      </x:c>
      <x:c r="AN74" s="30" t="str">
        <x:v>2026-08-15</x:v>
      </x:c>
      <x:c r="AO74" s="30" t="str">
        <x:v>+31 575-467533</x:v>
      </x:c>
      <x:c r="AP74" s="30" t="str">
        <x:v>Current NGF/GOLF.NL listing: 9 holes, par 27, 854 metres. Listed as qualifying.</x:v>
      </x:c>
    </x:row>
    <x:row r="75">
      <x:c r="A75" s="30" t="str">
        <x:v>NL-C0042</x:v>
      </x:c>
      <x:c r="B75" s="30" t="str">
        <x:v>NL-0074</x:v>
      </x:c>
      <x:c r="C75" s="30" t="str">
        <x:v>Golfclub 't Zelle — Waterrijk</x:v>
      </x:c>
      <x:c r="D75" s="30" t="str">
        <x:v>Golfclub 't Zelle</x:v>
      </x:c>
      <x:c r="E75" s="30" t="str">
        <x:v>Waterrijk</x:v>
      </x:c>
      <x:c r="F75" s="30" t="str">
        <x:v>Netherlands</x:v>
      </x:c>
      <x:c r="G75" s="30" t="str">
        <x:v>Gelderland</x:v>
      </x:c>
      <x:c r="H75" s="30" t="str">
        <x:v>Bronckhorst</x:v>
      </x:c>
      <x:c r="I75" s="30" t="str">
        <x:v>Hengelo (Gld)</x:v>
      </x:c>
      <x:c r="J75" s="30" t="str">
        <x:v>Varsselseweg 45</x:v>
      </x:c>
      <x:c r="K75" s="30" t="str">
        <x:v>7255 NR</x:v>
      </x:c>
      <x:c r="L75" s="32" t="n">
        <x:v>52.05473048</x:v>
      </x:c>
      <x:c r="M75" s="32" t="n">
        <x:v>6.38801901</x:v>
      </x:c>
      <x:c r="N75" s="30" t="str">
        <x:v>WGS84 / EPSG:4326</x:v>
      </x:c>
      <x:c r="O75" s="30" t="str">
        <x:v>Verified BAG address point via PDOK</x:v>
      </x:c>
      <x:c r="P75" s="30" t="str">
        <x:v>2026-08-15</x:v>
      </x:c>
      <x:c r="Q75" s="33" t="n">
        <x:f>IF(R75="","",ROUND(R75/0.9144,0))</x:f>
        <x:v>3309</x:v>
      </x:c>
      <x:c r="R75" s="33" t="n">
        <x:v>3026</x:v>
      </x:c>
      <x:c r="S75" s="33" t="n">
        <x:v>9</x:v>
      </x:c>
      <x:c r="T75" s="33" t="n">
        <x:v>37</x:v>
      </x:c>
      <x:c r="U75" s="30" t="str">
        <x:v>Full-length course</x:v>
      </x:c>
      <x:c r="V75" s="30"/>
      <x:c r="W75" s="30"/>
      <x:c r="X75" s="30"/>
      <x:c r="Y75" s="30" t="str">
        <x:v>https://www.gczelle.nl/</x:v>
      </x:c>
      <x:c r="Z75" s="30" t="b">
        <x:f>IF(AND(F75="Netherlands",ISNUMBER(L75),ISNUMBER(M75),L75&gt;=50.7,L75&lt;=53.7,M75&gt;=3.2,M75&lt;=7.3,AC75&lt;&gt;"Closed"),TRUE,FALSE)</x:f>
        <x:v>1</x:v>
      </x:c>
      <x:c r="AA75" s="30" t="b">
        <x:f>Z75</x:f>
        <x:v>1</x:v>
      </x:c>
      <x:c r="AB75" s="30" t="str">
        <x:f>IF(Z75,"verified_coordinate_and_open","not_map_ready")</x:f>
        <x:v>verified_coordinate_and_open</x:v>
      </x:c>
      <x:c r="AC75" s="30" t="str">
        <x:v>Open</x:v>
      </x:c>
      <x:c r="AD75" s="30" t="str">
        <x:v>Public — handicap 54 or lower</x:v>
      </x:c>
      <x:c r="AE75" s="31" t="b">
        <x:v>1</x:v>
      </x:c>
      <x:c r="AF75" s="31" t="b">
        <x:v>0</x:v>
      </x:c>
      <x:c r="AG75" s="30"/>
      <x:c r="AH75" s="30"/>
      <x:c r="AI75" s="30"/>
      <x:c r="AJ75" s="31" t="b">
        <x:v>0</x:v>
      </x:c>
      <x:c r="AK75" s="31" t="b">
        <x:v>0</x:v>
      </x:c>
      <x:c r="AL75" s="30" t="str">
        <x:v>Verified — national register and exact BAG address</x:v>
      </x:c>
      <x:c r="AM75" s="30" t="str">
        <x:v>https://www.golf.nl/de-baan-op/banenzoeker/overzicht</x:v>
      </x:c>
      <x:c r="AN75" s="30" t="str">
        <x:v>2026-08-15</x:v>
      </x:c>
      <x:c r="AO75" s="30" t="str">
        <x:v>+31 575-467533</x:v>
      </x:c>
      <x:c r="AP75" s="30" t="str">
        <x:v>Current NGF/GOLF.NL listing: 9 holes, par 37, 3026 metres. Listed as qualifying.</x:v>
      </x:c>
    </x:row>
    <x:row r="76">
      <x:c r="A76" s="30" t="str">
        <x:v>NL-C0043</x:v>
      </x:c>
      <x:c r="B76" s="30" t="str">
        <x:v>NL-0075</x:v>
      </x:c>
      <x:c r="C76" s="30" t="str">
        <x:v>Golfclub De Dorpswaard</x:v>
      </x:c>
      <x:c r="D76" s="30" t="str">
        <x:v>Golfclub De Dorpswaard</x:v>
      </x:c>
      <x:c r="E76" s="30" t="str">
        <x:v>Course</x:v>
      </x:c>
      <x:c r="F76" s="30" t="str">
        <x:v>Netherlands</x:v>
      </x:c>
      <x:c r="G76" s="30" t="str">
        <x:v>Gelderland</x:v>
      </x:c>
      <x:c r="H76" s="30" t="str">
        <x:v>Maasdriel</x:v>
      </x:c>
      <x:c r="I76" s="30" t="str">
        <x:v>Kerkdriel</x:v>
      </x:c>
      <x:c r="J76" s="30" t="str">
        <x:v>Piekenwaardweg 3</x:v>
      </x:c>
      <x:c r="K76" s="30" t="str">
        <x:v>5331 PD</x:v>
      </x:c>
      <x:c r="L76" s="32" t="n">
        <x:v>51.78011554</x:v>
      </x:c>
      <x:c r="M76" s="32" t="n">
        <x:v>5.3301139</x:v>
      </x:c>
      <x:c r="N76" s="30" t="str">
        <x:v>WGS84 / EPSG:4326</x:v>
      </x:c>
      <x:c r="O76" s="30" t="str">
        <x:v>Verified BAG address point via PDOK</x:v>
      </x:c>
      <x:c r="P76" s="30" t="str">
        <x:v>2026-08-15</x:v>
      </x:c>
      <x:c r="Q76" s="33" t="n">
        <x:f>IF(R76="","",ROUND(R76/0.9144,0))</x:f>
        <x:v>3296</x:v>
      </x:c>
      <x:c r="R76" s="33" t="n">
        <x:v>3014</x:v>
      </x:c>
      <x:c r="S76" s="33" t="n">
        <x:v>9</x:v>
      </x:c>
      <x:c r="T76" s="33" t="n">
        <x:v>37</x:v>
      </x:c>
      <x:c r="U76" s="30" t="str">
        <x:v>Full-length course</x:v>
      </x:c>
      <x:c r="V76" s="30"/>
      <x:c r="W76" s="30"/>
      <x:c r="X76" s="30"/>
      <x:c r="Y76" s="30" t="str">
        <x:v>https://dorpswaard.com/</x:v>
      </x:c>
      <x:c r="Z76" s="30" t="b">
        <x:f>IF(AND(F76="Netherlands",ISNUMBER(L76),ISNUMBER(M76),L76&gt;=50.7,L76&lt;=53.7,M76&gt;=3.2,M76&lt;=7.3,AC76&lt;&gt;"Closed"),TRUE,FALSE)</x:f>
        <x:v>1</x:v>
      </x:c>
      <x:c r="AA76" s="30" t="b">
        <x:f>Z76</x:f>
        <x:v>1</x:v>
      </x:c>
      <x:c r="AB76" s="30" t="str">
        <x:f>IF(Z76,"verified_coordinate_and_open","not_map_ready")</x:f>
        <x:v>verified_coordinate_and_open</x:v>
      </x:c>
      <x:c r="AC76" s="30" t="str">
        <x:v>Open</x:v>
      </x:c>
      <x:c r="AD76" s="30" t="str">
        <x:v>Public — handicap 54 or lower</x:v>
      </x:c>
      <x:c r="AE76" s="31" t="b">
        <x:v>1</x:v>
      </x:c>
      <x:c r="AF76" s="31" t="b">
        <x:v>0</x:v>
      </x:c>
      <x:c r="AG76" s="30"/>
      <x:c r="AH76" s="30"/>
      <x:c r="AI76" s="30"/>
      <x:c r="AJ76" s="31" t="b">
        <x:v>0</x:v>
      </x:c>
      <x:c r="AK76" s="31" t="b">
        <x:v>0</x:v>
      </x:c>
      <x:c r="AL76" s="30" t="str">
        <x:v>Verified — national register and exact BAG address</x:v>
      </x:c>
      <x:c r="AM76" s="30" t="str">
        <x:v>https://www.golf.nl/de-baan-op/banenzoeker/overzicht</x:v>
      </x:c>
      <x:c r="AN76" s="30" t="str">
        <x:v>2026-08-15</x:v>
      </x:c>
      <x:c r="AO76" s="30" t="str">
        <x:v>+31 418-634803</x:v>
      </x:c>
      <x:c r="AP76" s="30" t="str">
        <x:v>Current NGF/GOLF.NL listing: 9 holes, par 37, 3014 metres. Listed as qualifying.</x:v>
      </x:c>
    </x:row>
    <x:row r="77">
      <x:c r="A77" s="30" t="str">
        <x:v>NL-C0044</x:v>
      </x:c>
      <x:c r="B77" s="30" t="str">
        <x:v>NL-0076</x:v>
      </x:c>
      <x:c r="C77" s="30" t="str">
        <x:v>Golfclub Putten</x:v>
      </x:c>
      <x:c r="D77" s="30" t="str">
        <x:v>Golfclub Putten</x:v>
      </x:c>
      <x:c r="E77" s="30" t="str">
        <x:v>Course</x:v>
      </x:c>
      <x:c r="F77" s="30" t="str">
        <x:v>Netherlands</x:v>
      </x:c>
      <x:c r="G77" s="30" t="str">
        <x:v>Gelderland</x:v>
      </x:c>
      <x:c r="H77" s="30" t="str">
        <x:v>Putten</x:v>
      </x:c>
      <x:c r="I77" s="30" t="str">
        <x:v>Putten</x:v>
      </x:c>
      <x:c r="J77" s="30" t="str">
        <x:v>Nijkerkerstraat 99-a</x:v>
      </x:c>
      <x:c r="K77" s="30" t="str">
        <x:v>3882 PE</x:v>
      </x:c>
      <x:c r="L77" s="32" t="n">
        <x:v>52.23716874</x:v>
      </x:c>
      <x:c r="M77" s="32" t="n">
        <x:v>5.51313959</x:v>
      </x:c>
      <x:c r="N77" s="30" t="str">
        <x:v>WGS84 / EPSG:4326</x:v>
      </x:c>
      <x:c r="O77" s="30" t="str">
        <x:v>Verified BAG address point via PDOK</x:v>
      </x:c>
      <x:c r="P77" s="30" t="str">
        <x:v>2026-08-15</x:v>
      </x:c>
      <x:c r="Q77" s="33" t="n">
        <x:f>IF(R77="","",ROUND(R77/0.9144,0))</x:f>
        <x:v>1969</x:v>
      </x:c>
      <x:c r="R77" s="33" t="n">
        <x:v>1800</x:v>
      </x:c>
      <x:c r="S77" s="33" t="n">
        <x:v>9</x:v>
      </x:c>
      <x:c r="T77" s="33" t="n">
        <x:v>32</x:v>
      </x:c>
      <x:c r="U77" s="30" t="str">
        <x:v>Par-3/4 course</x:v>
      </x:c>
      <x:c r="V77" s="30"/>
      <x:c r="W77" s="30"/>
      <x:c r="X77" s="30"/>
      <x:c r="Y77" s="30" t="str">
        <x:v>https://www.golfclubputten.com/</x:v>
      </x:c>
      <x:c r="Z77" s="30" t="b">
        <x:f>IF(AND(F77="Netherlands",ISNUMBER(L77),ISNUMBER(M77),L77&gt;=50.7,L77&lt;=53.7,M77&gt;=3.2,M77&lt;=7.3,AC77&lt;&gt;"Closed"),TRUE,FALSE)</x:f>
        <x:v>1</x:v>
      </x:c>
      <x:c r="AA77" s="30" t="b">
        <x:f>Z77</x:f>
        <x:v>1</x:v>
      </x:c>
      <x:c r="AB77" s="30" t="str">
        <x:f>IF(Z77,"verified_coordinate_and_open","not_map_ready")</x:f>
        <x:v>verified_coordinate_and_open</x:v>
      </x:c>
      <x:c r="AC77" s="30" t="str">
        <x:v>Open</x:v>
      </x:c>
      <x:c r="AD77" s="30" t="str">
        <x:v>Public — NGF course permission</x:v>
      </x:c>
      <x:c r="AE77" s="31" t="b">
        <x:v>1</x:v>
      </x:c>
      <x:c r="AF77" s="31" t="b">
        <x:v>0</x:v>
      </x:c>
      <x:c r="AG77" s="30"/>
      <x:c r="AH77" s="30"/>
      <x:c r="AI77" s="30"/>
      <x:c r="AJ77" s="31" t="b">
        <x:v>0</x:v>
      </x:c>
      <x:c r="AK77" s="31" t="b">
        <x:v>0</x:v>
      </x:c>
      <x:c r="AL77" s="30" t="str">
        <x:v>Verified — national register and exact BAG address</x:v>
      </x:c>
      <x:c r="AM77" s="30" t="str">
        <x:v>https://www.golf.nl/de-baan-op/banenzoeker/overzicht</x:v>
      </x:c>
      <x:c r="AN77" s="30" t="str">
        <x:v>2026-08-15</x:v>
      </x:c>
      <x:c r="AO77" s="30" t="str">
        <x:v>+31 33-2463758</x:v>
      </x:c>
      <x:c r="AP77" s="30" t="str">
        <x:v>Current NGF/GOLF.NL listing: 9 holes, par 32, 1800 metres. Listed as qualifying.</x:v>
      </x:c>
    </x:row>
    <x:row r="78">
      <x:c r="A78" s="30" t="str">
        <x:v>NL-C0045</x:v>
      </x:c>
      <x:c r="B78" s="30" t="str">
        <x:v>NL-0077</x:v>
      </x:c>
      <x:c r="C78" s="30" t="str">
        <x:v>Golflub Heelsum — Airborne</x:v>
      </x:c>
      <x:c r="D78" s="30" t="str">
        <x:v>Golflub Heelsum</x:v>
      </x:c>
      <x:c r="E78" s="30" t="str">
        <x:v>Airborne</x:v>
      </x:c>
      <x:c r="F78" s="30" t="str">
        <x:v>Netherlands</x:v>
      </x:c>
      <x:c r="G78" s="30" t="str">
        <x:v>Gelderland</x:v>
      </x:c>
      <x:c r="H78" s="30" t="str">
        <x:v>Renkum</x:v>
      </x:c>
      <x:c r="I78" s="30" t="str">
        <x:v>Heelsum</x:v>
      </x:c>
      <x:c r="J78" s="30" t="str">
        <x:v>Ginkelseweg 14</x:v>
      </x:c>
      <x:c r="K78" s="30" t="str">
        <x:v>6866 DZ</x:v>
      </x:c>
      <x:c r="L78" s="32" t="n">
        <x:v>51.98789377</x:v>
      </x:c>
      <x:c r="M78" s="32" t="n">
        <x:v>5.75637707</x:v>
      </x:c>
      <x:c r="N78" s="30" t="str">
        <x:v>WGS84 / EPSG:4326</x:v>
      </x:c>
      <x:c r="O78" s="30" t="str">
        <x:v>Verified BAG address point via PDOK</x:v>
      </x:c>
      <x:c r="P78" s="30" t="str">
        <x:v>2026-08-15</x:v>
      </x:c>
      <x:c r="Q78" s="33" t="n">
        <x:f>IF(R78="","",ROUND(R78/0.9144,0))</x:f>
        <x:v>3488</x:v>
      </x:c>
      <x:c r="R78" s="33" t="n">
        <x:v>3189</x:v>
      </x:c>
      <x:c r="S78" s="33" t="n">
        <x:v>9</x:v>
      </x:c>
      <x:c r="T78" s="33" t="n">
        <x:v>36</x:v>
      </x:c>
      <x:c r="U78" s="30" t="str">
        <x:v>Full-length course</x:v>
      </x:c>
      <x:c r="V78" s="30"/>
      <x:c r="W78" s="30"/>
      <x:c r="X78" s="30"/>
      <x:c r="Y78" s="30" t="str">
        <x:v>https://gcheelsum.nl/</x:v>
      </x:c>
      <x:c r="Z78" s="30" t="b">
        <x:f>IF(AND(F78="Netherlands",ISNUMBER(L78),ISNUMBER(M78),L78&gt;=50.7,L78&lt;=53.7,M78&gt;=3.2,M78&lt;=7.3,AC78&lt;&gt;"Closed"),TRUE,FALSE)</x:f>
        <x:v>1</x:v>
      </x:c>
      <x:c r="AA78" s="30" t="b">
        <x:f>Z78</x:f>
        <x:v>1</x:v>
      </x:c>
      <x:c r="AB78" s="30" t="str">
        <x:f>IF(Z78,"verified_coordinate_and_open","not_map_ready")</x:f>
        <x:v>verified_coordinate_and_open</x:v>
      </x:c>
      <x:c r="AC78" s="30" t="str">
        <x:v>Open</x:v>
      </x:c>
      <x:c r="AD78" s="30" t="str">
        <x:v>Public — handicap 54 or lower</x:v>
      </x:c>
      <x:c r="AE78" s="31" t="b">
        <x:v>1</x:v>
      </x:c>
      <x:c r="AF78" s="31" t="b">
        <x:v>0</x:v>
      </x:c>
      <x:c r="AG78" s="30"/>
      <x:c r="AH78" s="30"/>
      <x:c r="AI78" s="30"/>
      <x:c r="AJ78" s="31" t="b">
        <x:v>0</x:v>
      </x:c>
      <x:c r="AK78" s="31" t="b">
        <x:v>0</x:v>
      </x:c>
      <x:c r="AL78" s="30" t="str">
        <x:v>Verified — national register and exact BAG address</x:v>
      </x:c>
      <x:c r="AM78" s="30" t="str">
        <x:v>https://www.golf.nl/de-baan-op/banenzoeker/overzicht</x:v>
      </x:c>
      <x:c r="AN78" s="30" t="str">
        <x:v>2026-08-15</x:v>
      </x:c>
      <x:c r="AO78" s="30" t="str">
        <x:v>+31 317-313136</x:v>
      </x:c>
      <x:c r="AP78" s="30" t="str">
        <x:v>Current NGF/GOLF.NL listing: 9 holes, par 36, 3189 metres. Listed as qualifying.</x:v>
      </x:c>
    </x:row>
    <x:row r="79">
      <x:c r="A79" s="30" t="str">
        <x:v>NL-C0045</x:v>
      </x:c>
      <x:c r="B79" s="30" t="str">
        <x:v>NL-0078</x:v>
      </x:c>
      <x:c r="C79" s="30" t="str">
        <x:v>Golflub Heelsum — Helsum</x:v>
      </x:c>
      <x:c r="D79" s="30" t="str">
        <x:v>Golflub Heelsum</x:v>
      </x:c>
      <x:c r="E79" s="30" t="str">
        <x:v>Helsum</x:v>
      </x:c>
      <x:c r="F79" s="30" t="str">
        <x:v>Netherlands</x:v>
      </x:c>
      <x:c r="G79" s="30" t="str">
        <x:v>Gelderland</x:v>
      </x:c>
      <x:c r="H79" s="30" t="str">
        <x:v>Renkum</x:v>
      </x:c>
      <x:c r="I79" s="30" t="str">
        <x:v>Heelsum</x:v>
      </x:c>
      <x:c r="J79" s="30" t="str">
        <x:v>Ginkelseweg 14</x:v>
      </x:c>
      <x:c r="K79" s="30" t="str">
        <x:v>6866 DZ</x:v>
      </x:c>
      <x:c r="L79" s="32" t="n">
        <x:v>51.98789377</x:v>
      </x:c>
      <x:c r="M79" s="32" t="n">
        <x:v>5.75637707</x:v>
      </x:c>
      <x:c r="N79" s="30" t="str">
        <x:v>WGS84 / EPSG:4326</x:v>
      </x:c>
      <x:c r="O79" s="30" t="str">
        <x:v>Verified BAG address point via PDOK</x:v>
      </x:c>
      <x:c r="P79" s="30" t="str">
        <x:v>2026-08-15</x:v>
      </x:c>
      <x:c r="Q79" s="33" t="n">
        <x:f>IF(R79="","",ROUND(R79/0.9144,0))</x:f>
        <x:v>3083</x:v>
      </x:c>
      <x:c r="R79" s="33" t="n">
        <x:v>2819</x:v>
      </x:c>
      <x:c r="S79" s="33" t="n">
        <x:v>9</x:v>
      </x:c>
      <x:c r="T79" s="33" t="n">
        <x:v>35</x:v>
      </x:c>
      <x:c r="U79" s="30" t="str">
        <x:v>Full-length course</x:v>
      </x:c>
      <x:c r="V79" s="30"/>
      <x:c r="W79" s="30"/>
      <x:c r="X79" s="30"/>
      <x:c r="Y79" s="30" t="str">
        <x:v>https://gcheelsum.nl/</x:v>
      </x:c>
      <x:c r="Z79" s="30" t="b">
        <x:f>IF(AND(F79="Netherlands",ISNUMBER(L79),ISNUMBER(M79),L79&gt;=50.7,L79&lt;=53.7,M79&gt;=3.2,M79&lt;=7.3,AC79&lt;&gt;"Closed"),TRUE,FALSE)</x:f>
        <x:v>1</x:v>
      </x:c>
      <x:c r="AA79" s="30" t="b">
        <x:f>Z79</x:f>
        <x:v>1</x:v>
      </x:c>
      <x:c r="AB79" s="30" t="str">
        <x:f>IF(Z79,"verified_coordinate_and_open","not_map_ready")</x:f>
        <x:v>verified_coordinate_and_open</x:v>
      </x:c>
      <x:c r="AC79" s="30" t="str">
        <x:v>Open</x:v>
      </x:c>
      <x:c r="AD79" s="30" t="str">
        <x:v>Public — handicap 54 or lower</x:v>
      </x:c>
      <x:c r="AE79" s="31" t="b">
        <x:v>1</x:v>
      </x:c>
      <x:c r="AF79" s="31" t="b">
        <x:v>0</x:v>
      </x:c>
      <x:c r="AG79" s="30"/>
      <x:c r="AH79" s="30"/>
      <x:c r="AI79" s="30"/>
      <x:c r="AJ79" s="31" t="b">
        <x:v>0</x:v>
      </x:c>
      <x:c r="AK79" s="31" t="b">
        <x:v>0</x:v>
      </x:c>
      <x:c r="AL79" s="30" t="str">
        <x:v>Verified — national register and exact BAG address</x:v>
      </x:c>
      <x:c r="AM79" s="30" t="str">
        <x:v>https://www.golf.nl/de-baan-op/banenzoeker/overzicht</x:v>
      </x:c>
      <x:c r="AN79" s="30" t="str">
        <x:v>2026-08-15</x:v>
      </x:c>
      <x:c r="AO79" s="30" t="str">
        <x:v>+31 317-313136</x:v>
      </x:c>
      <x:c r="AP79" s="30" t="str">
        <x:v>Current NGF/GOLF.NL listing: 9 holes, par 35, 2819 metres. Listed as qualifying.</x:v>
      </x:c>
    </x:row>
    <x:row r="80">
      <x:c r="A80" s="30" t="str">
        <x:v>NL-C0045</x:v>
      </x:c>
      <x:c r="B80" s="30" t="str">
        <x:v>NL-0079</x:v>
      </x:c>
      <x:c r="C80" s="30" t="str">
        <x:v>Golflub Heelsum — Sandr</x:v>
      </x:c>
      <x:c r="D80" s="30" t="str">
        <x:v>Golflub Heelsum</x:v>
      </x:c>
      <x:c r="E80" s="30" t="str">
        <x:v>Sandr</x:v>
      </x:c>
      <x:c r="F80" s="30" t="str">
        <x:v>Netherlands</x:v>
      </x:c>
      <x:c r="G80" s="30" t="str">
        <x:v>Gelderland</x:v>
      </x:c>
      <x:c r="H80" s="30" t="str">
        <x:v>Renkum</x:v>
      </x:c>
      <x:c r="I80" s="30" t="str">
        <x:v>Heelsum</x:v>
      </x:c>
      <x:c r="J80" s="30" t="str">
        <x:v>Ginkelseweg 14</x:v>
      </x:c>
      <x:c r="K80" s="30" t="str">
        <x:v>6866 DZ</x:v>
      </x:c>
      <x:c r="L80" s="32" t="n">
        <x:v>51.98789377</x:v>
      </x:c>
      <x:c r="M80" s="32" t="n">
        <x:v>5.75637707</x:v>
      </x:c>
      <x:c r="N80" s="30" t="str">
        <x:v>WGS84 / EPSG:4326</x:v>
      </x:c>
      <x:c r="O80" s="30" t="str">
        <x:v>Verified BAG address point via PDOK</x:v>
      </x:c>
      <x:c r="P80" s="30" t="str">
        <x:v>2026-08-15</x:v>
      </x:c>
      <x:c r="Q80" s="33" t="n">
        <x:f>IF(R80="","",ROUND(R80/0.9144,0))</x:f>
        <x:v>3384</x:v>
      </x:c>
      <x:c r="R80" s="33" t="n">
        <x:v>3094</x:v>
      </x:c>
      <x:c r="S80" s="33" t="n">
        <x:v>9</x:v>
      </x:c>
      <x:c r="T80" s="33" t="n">
        <x:v>36</x:v>
      </x:c>
      <x:c r="U80" s="30" t="str">
        <x:v>Full-length course</x:v>
      </x:c>
      <x:c r="V80" s="30"/>
      <x:c r="W80" s="30"/>
      <x:c r="X80" s="30"/>
      <x:c r="Y80" s="30" t="str">
        <x:v>https://gcheelsum.nl/</x:v>
      </x:c>
      <x:c r="Z80" s="30" t="b">
        <x:f>IF(AND(F80="Netherlands",ISNUMBER(L80),ISNUMBER(M80),L80&gt;=50.7,L80&lt;=53.7,M80&gt;=3.2,M80&lt;=7.3,AC80&lt;&gt;"Closed"),TRUE,FALSE)</x:f>
        <x:v>1</x:v>
      </x:c>
      <x:c r="AA80" s="30" t="b">
        <x:f>Z80</x:f>
        <x:v>1</x:v>
      </x:c>
      <x:c r="AB80" s="30" t="str">
        <x:f>IF(Z80,"verified_coordinate_and_open","not_map_ready")</x:f>
        <x:v>verified_coordinate_and_open</x:v>
      </x:c>
      <x:c r="AC80" s="30" t="str">
        <x:v>Open</x:v>
      </x:c>
      <x:c r="AD80" s="30" t="str">
        <x:v>Public — handicap 54 or lower</x:v>
      </x:c>
      <x:c r="AE80" s="31" t="b">
        <x:v>1</x:v>
      </x:c>
      <x:c r="AF80" s="31" t="b">
        <x:v>0</x:v>
      </x:c>
      <x:c r="AG80" s="30"/>
      <x:c r="AH80" s="30"/>
      <x:c r="AI80" s="30"/>
      <x:c r="AJ80" s="31" t="b">
        <x:v>0</x:v>
      </x:c>
      <x:c r="AK80" s="31" t="b">
        <x:v>0</x:v>
      </x:c>
      <x:c r="AL80" s="30" t="str">
        <x:v>Verified — national register and exact BAG address</x:v>
      </x:c>
      <x:c r="AM80" s="30" t="str">
        <x:v>https://www.golf.nl/de-baan-op/banenzoeker/overzicht</x:v>
      </x:c>
      <x:c r="AN80" s="30" t="str">
        <x:v>2026-08-15</x:v>
      </x:c>
      <x:c r="AO80" s="30" t="str">
        <x:v>+31 317-313136</x:v>
      </x:c>
      <x:c r="AP80" s="30" t="str">
        <x:v>Current NGF/GOLF.NL listing: 9 holes, par 36, 3094 metres. Listed as qualifying.</x:v>
      </x:c>
    </x:row>
    <x:row r="81">
      <x:c r="A81" s="30" t="str">
        <x:v>NL-C0046</x:v>
      </x:c>
      <x:c r="B81" s="30" t="str">
        <x:v>NL-0080</x:v>
      </x:c>
      <x:c r="C81" s="30" t="str">
        <x:v>Golfpark De Berendonck — Par-3 Course</x:v>
      </x:c>
      <x:c r="D81" s="30" t="str">
        <x:v>Golfpark De Berendonck</x:v>
      </x:c>
      <x:c r="E81" s="30" t="str">
        <x:v>Par-3 Course</x:v>
      </x:c>
      <x:c r="F81" s="30" t="str">
        <x:v>Netherlands</x:v>
      </x:c>
      <x:c r="G81" s="30" t="str">
        <x:v>Gelderland</x:v>
      </x:c>
      <x:c r="H81" s="30" t="str">
        <x:v>Wijchen</x:v>
      </x:c>
      <x:c r="I81" s="30" t="str">
        <x:v>Wijchen</x:v>
      </x:c>
      <x:c r="J81" s="30" t="str">
        <x:v>Weg door de Berendonck 40</x:v>
      </x:c>
      <x:c r="K81" s="30" t="str">
        <x:v>6603 LP</x:v>
      </x:c>
      <x:c r="L81" s="32" t="n">
        <x:v>51.81024859</x:v>
      </x:c>
      <x:c r="M81" s="32" t="n">
        <x:v>5.76941132</x:v>
      </x:c>
      <x:c r="N81" s="30" t="str">
        <x:v>WGS84 / EPSG:4326</x:v>
      </x:c>
      <x:c r="O81" s="30" t="str">
        <x:v>Verified BAG address point via PDOK</x:v>
      </x:c>
      <x:c r="P81" s="30" t="str">
        <x:v>2026-08-15</x:v>
      </x:c>
      <x:c r="Q81" s="33" t="n">
        <x:f>IF(R81="","",ROUND(R81/0.9144,0))</x:f>
        <x:v>650</x:v>
      </x:c>
      <x:c r="R81" s="33" t="n">
        <x:v>594</x:v>
      </x:c>
      <x:c r="S81" s="33" t="n">
        <x:v>9</x:v>
      </x:c>
      <x:c r="T81" s="33" t="n">
        <x:v>27</x:v>
      </x:c>
      <x:c r="U81" s="30" t="str">
        <x:v>Par-3 course</x:v>
      </x:c>
      <x:c r="V81" s="30"/>
      <x:c r="W81" s="30"/>
      <x:c r="X81" s="30"/>
      <x:c r="Y81" s="30" t="str">
        <x:v>https://www.hollandschegolfclub.nl/golfpark/de-berendonck/</x:v>
      </x:c>
      <x:c r="Z81" s="30" t="b">
        <x:f>IF(AND(F81="Netherlands",ISNUMBER(L81),ISNUMBER(M81),L81&gt;=50.7,L81&lt;=53.7,M81&gt;=3.2,M81&lt;=7.3,AC81&lt;&gt;"Closed"),TRUE,FALSE)</x:f>
        <x:v>1</x:v>
      </x:c>
      <x:c r="AA81" s="30" t="b">
        <x:f>Z81</x:f>
        <x:v>1</x:v>
      </x:c>
      <x:c r="AB81" s="30" t="str">
        <x:f>IF(Z81,"verified_coordinate_and_open","not_map_ready")</x:f>
        <x:v>verified_coordinate_and_open</x:v>
      </x:c>
      <x:c r="AC81" s="30" t="str">
        <x:v>Open</x:v>
      </x:c>
      <x:c r="AD81" s="30" t="str">
        <x:v>Public — no playing requirement</x:v>
      </x:c>
      <x:c r="AE81" s="31" t="b">
        <x:v>0</x:v>
      </x:c>
      <x:c r="AF81" s="31" t="b">
        <x:v>0</x:v>
      </x:c>
      <x:c r="AG81" s="30"/>
      <x:c r="AH81" s="30"/>
      <x:c r="AI81" s="30"/>
      <x:c r="AJ81" s="31" t="b">
        <x:v>0</x:v>
      </x:c>
      <x:c r="AK81" s="31" t="b">
        <x:v>0</x:v>
      </x:c>
      <x:c r="AL81" s="30" t="str">
        <x:v>Verified — national register and exact BAG address</x:v>
      </x:c>
      <x:c r="AM81" s="30" t="str">
        <x:v>https://www.golf.nl/de-baan-op/banenzoeker/overzicht</x:v>
      </x:c>
      <x:c r="AN81" s="30" t="str">
        <x:v>2026-08-15</x:v>
      </x:c>
      <x:c r="AO81" s="30" t="str">
        <x:v>+31 24-6420039</x:v>
      </x:c>
      <x:c r="AP81" s="30" t="str">
        <x:v>Current NGF/GOLF.NL listing: 9 holes, par 27, 594 metres. Listed as non-qualifying.</x:v>
      </x:c>
    </x:row>
    <x:row r="82">
      <x:c r="A82" s="30" t="str">
        <x:v>NL-C0046</x:v>
      </x:c>
      <x:c r="B82" s="30" t="str">
        <x:v>NL-0081</x:v>
      </x:c>
      <x:c r="C82" s="30" t="str">
        <x:v>Golfpark De Berendonck — Red</x:v>
      </x:c>
      <x:c r="D82" s="30" t="str">
        <x:v>Golfpark De Berendonck</x:v>
      </x:c>
      <x:c r="E82" s="30" t="str">
        <x:v>Red</x:v>
      </x:c>
      <x:c r="F82" s="30" t="str">
        <x:v>Netherlands</x:v>
      </x:c>
      <x:c r="G82" s="30" t="str">
        <x:v>Gelderland</x:v>
      </x:c>
      <x:c r="H82" s="30" t="str">
        <x:v>Wijchen</x:v>
      </x:c>
      <x:c r="I82" s="30" t="str">
        <x:v>Wijchen</x:v>
      </x:c>
      <x:c r="J82" s="30" t="str">
        <x:v>Weg door de Berendonck 40</x:v>
      </x:c>
      <x:c r="K82" s="30" t="str">
        <x:v>6603 LP</x:v>
      </x:c>
      <x:c r="L82" s="32" t="n">
        <x:v>51.81024859</x:v>
      </x:c>
      <x:c r="M82" s="32" t="n">
        <x:v>5.76941132</x:v>
      </x:c>
      <x:c r="N82" s="30" t="str">
        <x:v>WGS84 / EPSG:4326</x:v>
      </x:c>
      <x:c r="O82" s="30" t="str">
        <x:v>Verified BAG address point via PDOK</x:v>
      </x:c>
      <x:c r="P82" s="30" t="str">
        <x:v>2026-08-15</x:v>
      </x:c>
      <x:c r="Q82" s="33" t="n">
        <x:f>IF(R82="","",ROUND(R82/0.9144,0))</x:f>
        <x:v>3407</x:v>
      </x:c>
      <x:c r="R82" s="33" t="n">
        <x:v>3115</x:v>
      </x:c>
      <x:c r="S82" s="33" t="n">
        <x:v>9</x:v>
      </x:c>
      <x:c r="T82" s="33" t="n">
        <x:v>36</x:v>
      </x:c>
      <x:c r="U82" s="30" t="str">
        <x:v>Full-length course</x:v>
      </x:c>
      <x:c r="V82" s="30"/>
      <x:c r="W82" s="30"/>
      <x:c r="X82" s="30"/>
      <x:c r="Y82" s="30" t="str">
        <x:v>https://www.hollandschegolfclub.nl/golfpark/de-berendonck/</x:v>
      </x:c>
      <x:c r="Z82" s="30" t="b">
        <x:f>IF(AND(F82="Netherlands",ISNUMBER(L82),ISNUMBER(M82),L82&gt;=50.7,L82&lt;=53.7,M82&gt;=3.2,M82&lt;=7.3,AC82&lt;&gt;"Closed"),TRUE,FALSE)</x:f>
        <x:v>1</x:v>
      </x:c>
      <x:c r="AA82" s="30" t="b">
        <x:f>Z82</x:f>
        <x:v>1</x:v>
      </x:c>
      <x:c r="AB82" s="30" t="str">
        <x:f>IF(Z82,"verified_coordinate_and_open","not_map_ready")</x:f>
        <x:v>verified_coordinate_and_open</x:v>
      </x:c>
      <x:c r="AC82" s="30" t="str">
        <x:v>Open</x:v>
      </x:c>
      <x:c r="AD82" s="30" t="str">
        <x:v>Public — handicap 54 or lower</x:v>
      </x:c>
      <x:c r="AE82" s="31" t="b">
        <x:v>1</x:v>
      </x:c>
      <x:c r="AF82" s="31" t="b">
        <x:v>0</x:v>
      </x:c>
      <x:c r="AG82" s="30"/>
      <x:c r="AH82" s="30"/>
      <x:c r="AI82" s="30"/>
      <x:c r="AJ82" s="31" t="b">
        <x:v>0</x:v>
      </x:c>
      <x:c r="AK82" s="31" t="b">
        <x:v>0</x:v>
      </x:c>
      <x:c r="AL82" s="30" t="str">
        <x:v>Verified — national register and exact BAG address</x:v>
      </x:c>
      <x:c r="AM82" s="30" t="str">
        <x:v>https://www.golf.nl/de-baan-op/banenzoeker/overzicht</x:v>
      </x:c>
      <x:c r="AN82" s="30" t="str">
        <x:v>2026-08-15</x:v>
      </x:c>
      <x:c r="AO82" s="30" t="str">
        <x:v>+31 24-6420039</x:v>
      </x:c>
      <x:c r="AP82" s="30" t="str">
        <x:v>Current NGF/GOLF.NL listing: 9 holes, par 36, 3115 metres. Listed as qualifying.</x:v>
      </x:c>
    </x:row>
    <x:row r="83">
      <x:c r="A83" s="30" t="str">
        <x:v>NL-C0046</x:v>
      </x:c>
      <x:c r="B83" s="30" t="str">
        <x:v>NL-0082</x:v>
      </x:c>
      <x:c r="C83" s="30" t="str">
        <x:v>Golfpark De Berendonck — Yellow</x:v>
      </x:c>
      <x:c r="D83" s="30" t="str">
        <x:v>Golfpark De Berendonck</x:v>
      </x:c>
      <x:c r="E83" s="30" t="str">
        <x:v>Yellow</x:v>
      </x:c>
      <x:c r="F83" s="30" t="str">
        <x:v>Netherlands</x:v>
      </x:c>
      <x:c r="G83" s="30" t="str">
        <x:v>Gelderland</x:v>
      </x:c>
      <x:c r="H83" s="30" t="str">
        <x:v>Wijchen</x:v>
      </x:c>
      <x:c r="I83" s="30" t="str">
        <x:v>Wijchen</x:v>
      </x:c>
      <x:c r="J83" s="30" t="str">
        <x:v>Weg door de Berendonck 40</x:v>
      </x:c>
      <x:c r="K83" s="30" t="str">
        <x:v>6603 LP</x:v>
      </x:c>
      <x:c r="L83" s="32" t="n">
        <x:v>51.81024859</x:v>
      </x:c>
      <x:c r="M83" s="32" t="n">
        <x:v>5.76941132</x:v>
      </x:c>
      <x:c r="N83" s="30" t="str">
        <x:v>WGS84 / EPSG:4326</x:v>
      </x:c>
      <x:c r="O83" s="30" t="str">
        <x:v>Verified BAG address point via PDOK</x:v>
      </x:c>
      <x:c r="P83" s="30" t="str">
        <x:v>2026-08-15</x:v>
      </x:c>
      <x:c r="Q83" s="33" t="n">
        <x:f>IF(R83="","",ROUND(R83/0.9144,0))</x:f>
        <x:v>3023</x:v>
      </x:c>
      <x:c r="R83" s="33" t="n">
        <x:v>2764</x:v>
      </x:c>
      <x:c r="S83" s="33" t="n">
        <x:v>9</x:v>
      </x:c>
      <x:c r="T83" s="33" t="n">
        <x:v>35</x:v>
      </x:c>
      <x:c r="U83" s="30" t="str">
        <x:v>Full-length course</x:v>
      </x:c>
      <x:c r="V83" s="30"/>
      <x:c r="W83" s="30"/>
      <x:c r="X83" s="30"/>
      <x:c r="Y83" s="30" t="str">
        <x:v>https://www.hollandschegolfclub.nl/golfpark/de-berendonck/</x:v>
      </x:c>
      <x:c r="Z83" s="30" t="b">
        <x:f>IF(AND(F83="Netherlands",ISNUMBER(L83),ISNUMBER(M83),L83&gt;=50.7,L83&lt;=53.7,M83&gt;=3.2,M83&lt;=7.3,AC83&lt;&gt;"Closed"),TRUE,FALSE)</x:f>
        <x:v>1</x:v>
      </x:c>
      <x:c r="AA83" s="30" t="b">
        <x:f>Z83</x:f>
        <x:v>1</x:v>
      </x:c>
      <x:c r="AB83" s="30" t="str">
        <x:f>IF(Z83,"verified_coordinate_and_open","not_map_ready")</x:f>
        <x:v>verified_coordinate_and_open</x:v>
      </x:c>
      <x:c r="AC83" s="30" t="str">
        <x:v>Open</x:v>
      </x:c>
      <x:c r="AD83" s="30" t="str">
        <x:v>Public — handicap 54 or lower</x:v>
      </x:c>
      <x:c r="AE83" s="31" t="b">
        <x:v>1</x:v>
      </x:c>
      <x:c r="AF83" s="31" t="b">
        <x:v>0</x:v>
      </x:c>
      <x:c r="AG83" s="30"/>
      <x:c r="AH83" s="30"/>
      <x:c r="AI83" s="30"/>
      <x:c r="AJ83" s="31" t="b">
        <x:v>0</x:v>
      </x:c>
      <x:c r="AK83" s="31" t="b">
        <x:v>0</x:v>
      </x:c>
      <x:c r="AL83" s="30" t="str">
        <x:v>Verified — national register and exact BAG address</x:v>
      </x:c>
      <x:c r="AM83" s="30" t="str">
        <x:v>https://www.golf.nl/de-baan-op/banenzoeker/overzicht</x:v>
      </x:c>
      <x:c r="AN83" s="30" t="str">
        <x:v>2026-08-15</x:v>
      </x:c>
      <x:c r="AO83" s="30" t="str">
        <x:v>+31 24-6420039</x:v>
      </x:c>
      <x:c r="AP83" s="30" t="str">
        <x:v>Current NGF/GOLF.NL listing: 9 holes, par 35, 2764 metres. Listed as qualifying.</x:v>
      </x:c>
    </x:row>
    <x:row r="84">
      <x:c r="A84" s="30" t="str">
        <x:v>NL-C0047</x:v>
      </x:c>
      <x:c r="B84" s="30" t="str">
        <x:v>NL-0083</x:v>
      </x:c>
      <x:c r="C84" s="30" t="str">
        <x:v>Golfpark De Breuninkhof — Main Course</x:v>
      </x:c>
      <x:c r="D84" s="30" t="str">
        <x:v>Golfpark De Breuninkhof</x:v>
      </x:c>
      <x:c r="E84" s="30" t="str">
        <x:v>Main Course</x:v>
      </x:c>
      <x:c r="F84" s="30" t="str">
        <x:v>Netherlands</x:v>
      </x:c>
      <x:c r="G84" s="30" t="str">
        <x:v>Gelderland</x:v>
      </x:c>
      <x:c r="H84" s="30" t="str">
        <x:v>Voorst</x:v>
      </x:c>
      <x:c r="I84" s="30" t="str">
        <x:v>Voorst</x:v>
      </x:c>
      <x:c r="J84" s="30" t="str">
        <x:v>Bussloselaan 6</x:v>
      </x:c>
      <x:c r="K84" s="30" t="str">
        <x:v>7383 RP</x:v>
      </x:c>
      <x:c r="L84" s="32" t="n">
        <x:v>52.1990305</x:v>
      </x:c>
      <x:c r="M84" s="32" t="n">
        <x:v>6.12452028</x:v>
      </x:c>
      <x:c r="N84" s="30" t="str">
        <x:v>WGS84 / EPSG:4326</x:v>
      </x:c>
      <x:c r="O84" s="30" t="str">
        <x:v>Verified BAG address point via PDOK</x:v>
      </x:c>
      <x:c r="P84" s="30" t="str">
        <x:v>2026-08-15</x:v>
      </x:c>
      <x:c r="Q84" s="33" t="n">
        <x:f>IF(R84="","",ROUND(R84/0.9144,0))</x:f>
        <x:v>3217</x:v>
      </x:c>
      <x:c r="R84" s="33" t="n">
        <x:v>2942</x:v>
      </x:c>
      <x:c r="S84" s="33" t="n">
        <x:v>9</x:v>
      </x:c>
      <x:c r="T84" s="33" t="n">
        <x:v>36</x:v>
      </x:c>
      <x:c r="U84" s="30" t="str">
        <x:v>Full-length course</x:v>
      </x:c>
      <x:c r="V84" s="30"/>
      <x:c r="W84" s="30"/>
      <x:c r="X84" s="30"/>
      <x:c r="Y84" s="30" t="str">
        <x:v>https://www.hollandschegolfclub.nl/golfpark/de-breuninkhof/</x:v>
      </x:c>
      <x:c r="Z84" s="30" t="b">
        <x:f>IF(AND(F84="Netherlands",ISNUMBER(L84),ISNUMBER(M84),L84&gt;=50.7,L84&lt;=53.7,M84&gt;=3.2,M84&lt;=7.3,AC84&lt;&gt;"Closed"),TRUE,FALSE)</x:f>
        <x:v>1</x:v>
      </x:c>
      <x:c r="AA84" s="30" t="b">
        <x:f>Z84</x:f>
        <x:v>1</x:v>
      </x:c>
      <x:c r="AB84" s="30" t="str">
        <x:f>IF(Z84,"verified_coordinate_and_open","not_map_ready")</x:f>
        <x:v>verified_coordinate_and_open</x:v>
      </x:c>
      <x:c r="AC84" s="30" t="str">
        <x:v>Open</x:v>
      </x:c>
      <x:c r="AD84" s="30" t="str">
        <x:v>Public — NGF course permission</x:v>
      </x:c>
      <x:c r="AE84" s="31" t="b">
        <x:v>1</x:v>
      </x:c>
      <x:c r="AF84" s="31" t="b">
        <x:v>0</x:v>
      </x:c>
      <x:c r="AG84" s="30"/>
      <x:c r="AH84" s="30"/>
      <x:c r="AI84" s="30"/>
      <x:c r="AJ84" s="31" t="b">
        <x:v>0</x:v>
      </x:c>
      <x:c r="AK84" s="31" t="b">
        <x:v>0</x:v>
      </x:c>
      <x:c r="AL84" s="30" t="str">
        <x:v>Verified — national register and exact BAG address</x:v>
      </x:c>
      <x:c r="AM84" s="30" t="str">
        <x:v>https://www.golf.nl/de-baan-op/banenzoeker/overzicht</x:v>
      </x:c>
      <x:c r="AN84" s="30" t="str">
        <x:v>2026-08-15</x:v>
      </x:c>
      <x:c r="AO84" s="30" t="str">
        <x:v>+31 571-261955</x:v>
      </x:c>
      <x:c r="AP84" s="30" t="str">
        <x:v>Current NGF/GOLF.NL listing: 9 holes, par 36, 2942 metres. Listed as qualifying.</x:v>
      </x:c>
    </x:row>
    <x:row r="85">
      <x:c r="A85" s="30" t="str">
        <x:v>NL-C0047</x:v>
      </x:c>
      <x:c r="B85" s="30" t="str">
        <x:v>NL-0084</x:v>
      </x:c>
      <x:c r="C85" s="30" t="str">
        <x:v>Golfpark De Breuninkhof — Par-3 Course</x:v>
      </x:c>
      <x:c r="D85" s="30" t="str">
        <x:v>Golfpark De Breuninkhof</x:v>
      </x:c>
      <x:c r="E85" s="30" t="str">
        <x:v>Par-3 Course</x:v>
      </x:c>
      <x:c r="F85" s="30" t="str">
        <x:v>Netherlands</x:v>
      </x:c>
      <x:c r="G85" s="30" t="str">
        <x:v>Gelderland</x:v>
      </x:c>
      <x:c r="H85" s="30" t="str">
        <x:v>Voorst</x:v>
      </x:c>
      <x:c r="I85" s="30" t="str">
        <x:v>Voorst</x:v>
      </x:c>
      <x:c r="J85" s="30" t="str">
        <x:v>Bussloselaan 6</x:v>
      </x:c>
      <x:c r="K85" s="30" t="str">
        <x:v>7383 RP</x:v>
      </x:c>
      <x:c r="L85" s="32" t="n">
        <x:v>52.1990305</x:v>
      </x:c>
      <x:c r="M85" s="32" t="n">
        <x:v>6.12452028</x:v>
      </x:c>
      <x:c r="N85" s="30" t="str">
        <x:v>WGS84 / EPSG:4326</x:v>
      </x:c>
      <x:c r="O85" s="30" t="str">
        <x:v>Verified BAG address point via PDOK</x:v>
      </x:c>
      <x:c r="P85" s="30" t="str">
        <x:v>2026-08-15</x:v>
      </x:c>
      <x:c r="Q85" s="33" t="n">
        <x:f>IF(R85="","",ROUND(R85/0.9144,0))</x:f>
        <x:v>1052</x:v>
      </x:c>
      <x:c r="R85" s="33" t="n">
        <x:v>962</x:v>
      </x:c>
      <x:c r="S85" s="33" t="n">
        <x:v>9</x:v>
      </x:c>
      <x:c r="T85" s="33" t="n">
        <x:v>27</x:v>
      </x:c>
      <x:c r="U85" s="30" t="str">
        <x:v>Par-3 course</x:v>
      </x:c>
      <x:c r="V85" s="30"/>
      <x:c r="W85" s="30"/>
      <x:c r="X85" s="30"/>
      <x:c r="Y85" s="30" t="str">
        <x:v>https://www.hollandschegolfclub.nl/golfpark/de-breuninkhof/</x:v>
      </x:c>
      <x:c r="Z85" s="30" t="b">
        <x:f>IF(AND(F85="Netherlands",ISNUMBER(L85),ISNUMBER(M85),L85&gt;=50.7,L85&lt;=53.7,M85&gt;=3.2,M85&lt;=7.3,AC85&lt;&gt;"Closed"),TRUE,FALSE)</x:f>
        <x:v>1</x:v>
      </x:c>
      <x:c r="AA85" s="30" t="b">
        <x:f>Z85</x:f>
        <x:v>1</x:v>
      </x:c>
      <x:c r="AB85" s="30" t="str">
        <x:f>IF(Z85,"verified_coordinate_and_open","not_map_ready")</x:f>
        <x:v>verified_coordinate_and_open</x:v>
      </x:c>
      <x:c r="AC85" s="30" t="str">
        <x:v>Open</x:v>
      </x:c>
      <x:c r="AD85" s="30" t="str">
        <x:v>Public — no playing requirement</x:v>
      </x:c>
      <x:c r="AE85" s="31" t="b">
        <x:v>1</x:v>
      </x:c>
      <x:c r="AF85" s="31" t="b">
        <x:v>0</x:v>
      </x:c>
      <x:c r="AG85" s="30"/>
      <x:c r="AH85" s="30"/>
      <x:c r="AI85" s="30"/>
      <x:c r="AJ85" s="31" t="b">
        <x:v>0</x:v>
      </x:c>
      <x:c r="AK85" s="31" t="b">
        <x:v>0</x:v>
      </x:c>
      <x:c r="AL85" s="30" t="str">
        <x:v>Verified — national register and exact BAG address</x:v>
      </x:c>
      <x:c r="AM85" s="30" t="str">
        <x:v>https://www.golf.nl/de-baan-op/banenzoeker/overzicht</x:v>
      </x:c>
      <x:c r="AN85" s="30" t="str">
        <x:v>2026-08-15</x:v>
      </x:c>
      <x:c r="AO85" s="30" t="str">
        <x:v>+31 571-261955</x:v>
      </x:c>
      <x:c r="AP85" s="30" t="str">
        <x:v>Current NGF/GOLF.NL listing: 9 holes, par 27, 962 metres. Listed as qualifying.</x:v>
      </x:c>
    </x:row>
    <x:row r="86">
      <x:c r="A86" s="30" t="str">
        <x:v>NL-C0048</x:v>
      </x:c>
      <x:c r="B86" s="30" t="str">
        <x:v>NL-0085</x:v>
      </x:c>
      <x:c r="C86" s="30" t="str">
        <x:v>Keppelse Golfclub — Keppelbaan</x:v>
      </x:c>
      <x:c r="D86" s="30" t="str">
        <x:v>Keppelse Golfclub</x:v>
      </x:c>
      <x:c r="E86" s="30" t="str">
        <x:v>Keppelbaan</x:v>
      </x:c>
      <x:c r="F86" s="30" t="str">
        <x:v>Netherlands</x:v>
      </x:c>
      <x:c r="G86" s="30" t="str">
        <x:v>Gelderland</x:v>
      </x:c>
      <x:c r="H86" s="30" t="str">
        <x:v>Bronckhorst</x:v>
      </x:c>
      <x:c r="I86" s="30" t="str">
        <x:v>Hoog-Keppel</x:v>
      </x:c>
      <x:c r="J86" s="30" t="str">
        <x:v>Burgemeester Vrijlandweg 35</x:v>
      </x:c>
      <x:c r="K86" s="30" t="str">
        <x:v>6997 AB</x:v>
      </x:c>
      <x:c r="L86" s="32" t="n">
        <x:v>52.00662794</x:v>
      </x:c>
      <x:c r="M86" s="32" t="n">
        <x:v>6.2007565</x:v>
      </x:c>
      <x:c r="N86" s="30" t="str">
        <x:v>WGS84 / EPSG:4326</x:v>
      </x:c>
      <x:c r="O86" s="30" t="str">
        <x:v>Verified BAG address point via PDOK</x:v>
      </x:c>
      <x:c r="P86" s="30" t="str">
        <x:v>2026-08-15</x:v>
      </x:c>
      <x:c r="Q86" s="33" t="n">
        <x:f>IF(R86="","",ROUND(R86/0.9144,0))</x:f>
        <x:v>2939</x:v>
      </x:c>
      <x:c r="R86" s="33" t="n">
        <x:v>2687</x:v>
      </x:c>
      <x:c r="S86" s="33" t="n">
        <x:v>9</x:v>
      </x:c>
      <x:c r="T86" s="33" t="n">
        <x:v>35</x:v>
      </x:c>
      <x:c r="U86" s="30" t="str">
        <x:v>Full-length course</x:v>
      </x:c>
      <x:c r="V86" s="30"/>
      <x:c r="W86" s="30"/>
      <x:c r="X86" s="30"/>
      <x:c r="Y86" s="30" t="str">
        <x:v>https://keppelse.nl/</x:v>
      </x:c>
      <x:c r="Z86" s="30" t="b">
        <x:f>IF(AND(F86="Netherlands",ISNUMBER(L86),ISNUMBER(M86),L86&gt;=50.7,L86&lt;=53.7,M86&gt;=3.2,M86&lt;=7.3,AC86&lt;&gt;"Closed"),TRUE,FALSE)</x:f>
        <x:v>1</x:v>
      </x:c>
      <x:c r="AA86" s="30" t="b">
        <x:f>Z86</x:f>
        <x:v>1</x:v>
      </x:c>
      <x:c r="AB86" s="30" t="str">
        <x:f>IF(Z86,"verified_coordinate_and_open","not_map_ready")</x:f>
        <x:v>verified_coordinate_and_open</x:v>
      </x:c>
      <x:c r="AC86" s="30" t="str">
        <x:v>Open</x:v>
      </x:c>
      <x:c r="AD86" s="30" t="str">
        <x:v>Public — handicap 54 or lower</x:v>
      </x:c>
      <x:c r="AE86" s="31" t="b">
        <x:v>1</x:v>
      </x:c>
      <x:c r="AF86" s="31" t="b">
        <x:v>0</x:v>
      </x:c>
      <x:c r="AG86" s="30"/>
      <x:c r="AH86" s="30"/>
      <x:c r="AI86" s="30"/>
      <x:c r="AJ86" s="31" t="b">
        <x:v>0</x:v>
      </x:c>
      <x:c r="AK86" s="31" t="b">
        <x:v>0</x:v>
      </x:c>
      <x:c r="AL86" s="30" t="str">
        <x:v>Verified — national register and exact BAG address</x:v>
      </x:c>
      <x:c r="AM86" s="30" t="str">
        <x:v>https://www.golf.nl/de-baan-op/banenzoeker/overzicht</x:v>
      </x:c>
      <x:c r="AN86" s="30" t="str">
        <x:v>2026-08-15</x:v>
      </x:c>
      <x:c r="AO86" s="30" t="str">
        <x:v>+31 313-413925</x:v>
      </x:c>
      <x:c r="AP86" s="30" t="str">
        <x:v>Current NGF/GOLF.NL listing: 9 holes, par 35, 2687 metres. Listed as qualifying.</x:v>
      </x:c>
    </x:row>
    <x:row r="87">
      <x:c r="A87" s="30" t="str">
        <x:v>NL-C0048</x:v>
      </x:c>
      <x:c r="B87" s="30" t="str">
        <x:v>NL-0086</x:v>
      </x:c>
      <x:c r="C87" s="30" t="str">
        <x:v>Keppelse Golfclub — Ulenpasbaan</x:v>
      </x:c>
      <x:c r="D87" s="30" t="str">
        <x:v>Keppelse Golfclub</x:v>
      </x:c>
      <x:c r="E87" s="30" t="str">
        <x:v>Ulenpasbaan</x:v>
      </x:c>
      <x:c r="F87" s="30" t="str">
        <x:v>Netherlands</x:v>
      </x:c>
      <x:c r="G87" s="30" t="str">
        <x:v>Gelderland</x:v>
      </x:c>
      <x:c r="H87" s="30" t="str">
        <x:v>Bronckhorst</x:v>
      </x:c>
      <x:c r="I87" s="30" t="str">
        <x:v>Hoog-Keppel</x:v>
      </x:c>
      <x:c r="J87" s="30" t="str">
        <x:v>Burgemeester Vrijlandweg 35</x:v>
      </x:c>
      <x:c r="K87" s="30" t="str">
        <x:v>6997 AB</x:v>
      </x:c>
      <x:c r="L87" s="32" t="n">
        <x:v>52.00662794</x:v>
      </x:c>
      <x:c r="M87" s="32" t="n">
        <x:v>6.2007565</x:v>
      </x:c>
      <x:c r="N87" s="30" t="str">
        <x:v>WGS84 / EPSG:4326</x:v>
      </x:c>
      <x:c r="O87" s="30" t="str">
        <x:v>Verified BAG address point via PDOK</x:v>
      </x:c>
      <x:c r="P87" s="30" t="str">
        <x:v>2026-08-15</x:v>
      </x:c>
      <x:c r="Q87" s="33" t="n">
        <x:f>IF(R87="","",ROUND(R87/0.9144,0))</x:f>
        <x:v>3328</x:v>
      </x:c>
      <x:c r="R87" s="33" t="n">
        <x:v>3043</x:v>
      </x:c>
      <x:c r="S87" s="33" t="n">
        <x:v>9</x:v>
      </x:c>
      <x:c r="T87" s="33" t="n">
        <x:v>36</x:v>
      </x:c>
      <x:c r="U87" s="30" t="str">
        <x:v>Full-length course</x:v>
      </x:c>
      <x:c r="V87" s="30"/>
      <x:c r="W87" s="30"/>
      <x:c r="X87" s="30"/>
      <x:c r="Y87" s="30" t="str">
        <x:v>https://keppelse.nl/</x:v>
      </x:c>
      <x:c r="Z87" s="30" t="b">
        <x:f>IF(AND(F87="Netherlands",ISNUMBER(L87),ISNUMBER(M87),L87&gt;=50.7,L87&lt;=53.7,M87&gt;=3.2,M87&lt;=7.3,AC87&lt;&gt;"Closed"),TRUE,FALSE)</x:f>
        <x:v>1</x:v>
      </x:c>
      <x:c r="AA87" s="30" t="b">
        <x:f>Z87</x:f>
        <x:v>1</x:v>
      </x:c>
      <x:c r="AB87" s="30" t="str">
        <x:f>IF(Z87,"verified_coordinate_and_open","not_map_ready")</x:f>
        <x:v>verified_coordinate_and_open</x:v>
      </x:c>
      <x:c r="AC87" s="30" t="str">
        <x:v>Open</x:v>
      </x:c>
      <x:c r="AD87" s="30" t="str">
        <x:v>Public — handicap 54 or lower</x:v>
      </x:c>
      <x:c r="AE87" s="31" t="b">
        <x:v>1</x:v>
      </x:c>
      <x:c r="AF87" s="31" t="b">
        <x:v>0</x:v>
      </x:c>
      <x:c r="AG87" s="30"/>
      <x:c r="AH87" s="30"/>
      <x:c r="AI87" s="30"/>
      <x:c r="AJ87" s="31" t="b">
        <x:v>0</x:v>
      </x:c>
      <x:c r="AK87" s="31" t="b">
        <x:v>0</x:v>
      </x:c>
      <x:c r="AL87" s="30" t="str">
        <x:v>Verified — national register and exact BAG address</x:v>
      </x:c>
      <x:c r="AM87" s="30" t="str">
        <x:v>https://www.golf.nl/de-baan-op/banenzoeker/overzicht</x:v>
      </x:c>
      <x:c r="AN87" s="30" t="str">
        <x:v>2026-08-15</x:v>
      </x:c>
      <x:c r="AO87" s="30" t="str">
        <x:v>+31 313-413925</x:v>
      </x:c>
      <x:c r="AP87" s="30" t="str">
        <x:v>Current NGF/GOLF.NL listing: 9 holes, par 36, 3043 metres. Listed as qualifying.</x:v>
      </x:c>
    </x:row>
    <x:row r="88">
      <x:c r="A88" s="30" t="str">
        <x:v>NL-C0049</x:v>
      </x:c>
      <x:c r="B88" s="30" t="str">
        <x:v>NL-0087</x:v>
      </x:c>
      <x:c r="C88" s="30" t="str">
        <x:v>Landgoed Ullerberg</x:v>
      </x:c>
      <x:c r="D88" s="30" t="str">
        <x:v>Landgoed Ullerberg</x:v>
      </x:c>
      <x:c r="E88" s="30" t="str">
        <x:v>Course</x:v>
      </x:c>
      <x:c r="F88" s="30" t="str">
        <x:v>Netherlands</x:v>
      </x:c>
      <x:c r="G88" s="30" t="str">
        <x:v>Gelderland</x:v>
      </x:c>
      <x:c r="H88" s="30" t="str">
        <x:v>Ermelo</x:v>
      </x:c>
      <x:c r="I88" s="30" t="str">
        <x:v>Ermelo</x:v>
      </x:c>
      <x:c r="J88" s="30" t="str">
        <x:v>Jhr. Dr. C.J. Sandbergweg 103</x:v>
      </x:c>
      <x:c r="K88" s="30" t="str">
        <x:v>3852 PT</x:v>
      </x:c>
      <x:c r="L88" s="32" t="n">
        <x:v>52.30018685</x:v>
      </x:c>
      <x:c r="M88" s="32" t="n">
        <x:v>5.70542467</x:v>
      </x:c>
      <x:c r="N88" s="30" t="str">
        <x:v>WGS84 / EPSG:4326</x:v>
      </x:c>
      <x:c r="O88" s="30" t="str">
        <x:v>Verified BAG address point via PDOK</x:v>
      </x:c>
      <x:c r="P88" s="30" t="str">
        <x:v>2026-08-15</x:v>
      </x:c>
      <x:c r="Q88" s="33" t="n">
        <x:f>IF(R88="","",ROUND(R88/0.9144,0))</x:f>
        <x:v>2542</x:v>
      </x:c>
      <x:c r="R88" s="33" t="n">
        <x:v>2324</x:v>
      </x:c>
      <x:c r="S88" s="33" t="n">
        <x:v>9</x:v>
      </x:c>
      <x:c r="T88" s="33" t="n">
        <x:v>36</x:v>
      </x:c>
      <x:c r="U88" s="30" t="str">
        <x:v>Full-length course</x:v>
      </x:c>
      <x:c r="V88" s="30"/>
      <x:c r="W88" s="30"/>
      <x:c r="X88" s="30"/>
      <x:c r="Y88" s="30" t="str">
        <x:v>https://www.ullerberg.nl/index.html</x:v>
      </x:c>
      <x:c r="Z88" s="30" t="b">
        <x:f>IF(AND(F88="Netherlands",ISNUMBER(L88),ISNUMBER(M88),L88&gt;=50.7,L88&lt;=53.7,M88&gt;=3.2,M88&lt;=7.3,AC88&lt;&gt;"Closed"),TRUE,FALSE)</x:f>
        <x:v>1</x:v>
      </x:c>
      <x:c r="AA88" s="30" t="b">
        <x:f>Z88</x:f>
        <x:v>1</x:v>
      </x:c>
      <x:c r="AB88" s="30" t="str">
        <x:f>IF(Z88,"verified_coordinate_and_open","not_map_ready")</x:f>
        <x:v>verified_coordinate_and_open</x:v>
      </x:c>
      <x:c r="AC88" s="30" t="str">
        <x:v>Open</x:v>
      </x:c>
      <x:c r="AD88" s="30" t="str">
        <x:v>Public — no playing requirement</x:v>
      </x:c>
      <x:c r="AE88" s="31" t="b">
        <x:v>0</x:v>
      </x:c>
      <x:c r="AF88" s="31" t="b">
        <x:v>0</x:v>
      </x:c>
      <x:c r="AG88" s="30"/>
      <x:c r="AH88" s="30"/>
      <x:c r="AI88" s="30"/>
      <x:c r="AJ88" s="31" t="b">
        <x:v>0</x:v>
      </x:c>
      <x:c r="AK88" s="31" t="b">
        <x:v>0</x:v>
      </x:c>
      <x:c r="AL88" s="30" t="str">
        <x:v>Verified — national register and exact BAG address</x:v>
      </x:c>
      <x:c r="AM88" s="30" t="str">
        <x:v>https://www.golf.nl/de-baan-op/banenzoeker/overzicht</x:v>
      </x:c>
      <x:c r="AN88" s="30" t="str">
        <x:v>2026-08-15</x:v>
      </x:c>
      <x:c r="AO88" s="30" t="str">
        <x:v>+31 577-407603</x:v>
      </x:c>
      <x:c r="AP88" s="30" t="str">
        <x:v>Current NGF/GOLF.NL listing: 9 holes, par 36, 2324 metres. Listed as non-qualifying.</x:v>
      </x:c>
    </x:row>
    <x:row r="89">
      <x:c r="A89" s="30" t="str">
        <x:v>NL-C0050</x:v>
      </x:c>
      <x:c r="B89" s="30" t="str">
        <x:v>NL-0088</x:v>
      </x:c>
      <x:c r="C89" s="30" t="str">
        <x:v>Lochemse Golfclub — Main Course</x:v>
      </x:c>
      <x:c r="D89" s="30" t="str">
        <x:v>Lochemse Golfclub</x:v>
      </x:c>
      <x:c r="E89" s="30" t="str">
        <x:v>Main Course</x:v>
      </x:c>
      <x:c r="F89" s="30" t="str">
        <x:v>Netherlands</x:v>
      </x:c>
      <x:c r="G89" s="30" t="str">
        <x:v>Gelderland</x:v>
      </x:c>
      <x:c r="H89" s="30" t="str">
        <x:v>Lochem</x:v>
      </x:c>
      <x:c r="I89" s="30" t="str">
        <x:v>Lochem</x:v>
      </x:c>
      <x:c r="J89" s="30" t="str">
        <x:v>Sluitdijk 4</x:v>
      </x:c>
      <x:c r="K89" s="30" t="str">
        <x:v>7241 RR</x:v>
      </x:c>
      <x:c r="L89" s="32" t="n">
        <x:v>52.138589</x:v>
      </x:c>
      <x:c r="M89" s="32" t="n">
        <x:v>6.35975835</x:v>
      </x:c>
      <x:c r="N89" s="30" t="str">
        <x:v>WGS84 / EPSG:4326</x:v>
      </x:c>
      <x:c r="O89" s="30" t="str">
        <x:v>Verified BAG address point via PDOK</x:v>
      </x:c>
      <x:c r="P89" s="30" t="str">
        <x:v>2026-08-15</x:v>
      </x:c>
      <x:c r="Q89" s="33" t="n">
        <x:f>IF(R89="","",ROUND(R89/0.9144,0))</x:f>
        <x:v>6877</x:v>
      </x:c>
      <x:c r="R89" s="33" t="n">
        <x:v>6288</x:v>
      </x:c>
      <x:c r="S89" s="33" t="n">
        <x:v>18</x:v>
      </x:c>
      <x:c r="T89" s="33" t="n">
        <x:v>72</x:v>
      </x:c>
      <x:c r="U89" s="30" t="str">
        <x:v>Full-length course</x:v>
      </x:c>
      <x:c r="V89" s="30"/>
      <x:c r="W89" s="30"/>
      <x:c r="X89" s="30"/>
      <x:c r="Y89" s="30" t="str">
        <x:v>https://www.lochemsegolfclub.nl/</x:v>
      </x:c>
      <x:c r="Z89" s="30" t="b">
        <x:f>IF(AND(F89="Netherlands",ISNUMBER(L89),ISNUMBER(M89),L89&gt;=50.7,L89&lt;=53.7,M89&gt;=3.2,M89&lt;=7.3,AC89&lt;&gt;"Closed"),TRUE,FALSE)</x:f>
        <x:v>1</x:v>
      </x:c>
      <x:c r="AA89" s="30" t="b">
        <x:f>Z89</x:f>
        <x:v>1</x:v>
      </x:c>
      <x:c r="AB89" s="30" t="str">
        <x:f>IF(Z89,"verified_coordinate_and_open","not_map_ready")</x:f>
        <x:v>verified_coordinate_and_open</x:v>
      </x:c>
      <x:c r="AC89" s="30" t="str">
        <x:v>Open</x:v>
      </x:c>
      <x:c r="AD89" s="30" t="str">
        <x:v>Public — handicap 54 or lower</x:v>
      </x:c>
      <x:c r="AE89" s="31" t="b">
        <x:v>1</x:v>
      </x:c>
      <x:c r="AF89" s="31" t="b">
        <x:v>0</x:v>
      </x:c>
      <x:c r="AG89" s="30"/>
      <x:c r="AH89" s="30"/>
      <x:c r="AI89" s="30"/>
      <x:c r="AJ89" s="31" t="b">
        <x:v>0</x:v>
      </x:c>
      <x:c r="AK89" s="31" t="b">
        <x:v>0</x:v>
      </x:c>
      <x:c r="AL89" s="30" t="str">
        <x:v>Verified — national register and exact BAG address</x:v>
      </x:c>
      <x:c r="AM89" s="30" t="str">
        <x:v>https://www.golf.nl/de-baan-op/banenzoeker/overzicht</x:v>
      </x:c>
      <x:c r="AN89" s="30" t="str">
        <x:v>2026-08-15</x:v>
      </x:c>
      <x:c r="AO89" s="30" t="str">
        <x:v>+31 573-254323</x:v>
      </x:c>
      <x:c r="AP89" s="30" t="str">
        <x:v>Current NGF/GOLF.NL listing: 18 holes, par 72, 6288 metres. Combined from exact NGF-listed constituent nine-hole loops: 1ste negen (9 holes, par 36, 3074 m); 2de negen (9 holes, par 36, 3214 m) Listed as qualifying.</x:v>
      </x:c>
    </x:row>
    <x:row r="90">
      <x:c r="A90" s="30" t="str">
        <x:v>NL-C0051</x:v>
      </x:c>
      <x:c r="B90" s="30" t="str">
        <x:v>NL-0089</x:v>
      </x:c>
      <x:c r="C90" s="30" t="str">
        <x:v>Multi Fun Pitch &amp; Putt Golf Bussloo — Shortgolf / Pitch &amp; Putt Course</x:v>
      </x:c>
      <x:c r="D90" s="30" t="str">
        <x:v>Multi Fun Pitch &amp; Putt Golf Bussloo</x:v>
      </x:c>
      <x:c r="E90" s="30" t="str">
        <x:v>Shortgolf / Pitch &amp; Putt Course</x:v>
      </x:c>
      <x:c r="F90" s="30" t="str">
        <x:v>Netherlands</x:v>
      </x:c>
      <x:c r="G90" s="30" t="str">
        <x:v>Gelderland</x:v>
      </x:c>
      <x:c r="H90" s="30" t="str">
        <x:v>Voorst</x:v>
      </x:c>
      <x:c r="I90" s="30" t="str">
        <x:v>Wilp</x:v>
      </x:c>
      <x:c r="J90" s="30" t="str">
        <x:v>Withagenweg 17</x:v>
      </x:c>
      <x:c r="K90" s="30" t="str">
        <x:v>7384 SB</x:v>
      </x:c>
      <x:c r="L90" s="32" t="n">
        <x:v>52.20137709</x:v>
      </x:c>
      <x:c r="M90" s="32" t="n">
        <x:v>6.09191931</x:v>
      </x:c>
      <x:c r="N90" s="30" t="str">
        <x:v>WGS84 / EPSG:4326</x:v>
      </x:c>
      <x:c r="O90" s="30" t="str">
        <x:v>Verified BAG address point via PDOK</x:v>
      </x:c>
      <x:c r="P90" s="30" t="str">
        <x:v>2026-08-15</x:v>
      </x:c>
      <x:c r="Q90" s="33" t="n">
        <x:f>IF(R90="","",ROUND(R90/0.9144,0))</x:f>
        <x:v>1574</x:v>
      </x:c>
      <x:c r="R90" s="33" t="n">
        <x:v>1439</x:v>
      </x:c>
      <x:c r="S90" s="33" t="n">
        <x:v>27</x:v>
      </x:c>
      <x:c r="T90" s="33" t="n">
        <x:v>81</x:v>
      </x:c>
      <x:c r="U90" s="30" t="str">
        <x:v>Shortgolf / Pitch &amp; Putt</x:v>
      </x:c>
      <x:c r="V90" s="30"/>
      <x:c r="W90" s="30"/>
      <x:c r="X90" s="30"/>
      <x:c r="Y90" s="30" t="str">
        <x:v>https://multifunbussloo.nl/outdoor/pitch-en-putt/</x:v>
      </x:c>
      <x:c r="Z90" s="30" t="b">
        <x:f>IF(AND(F90="Netherlands",ISNUMBER(L90),ISNUMBER(M90),L90&gt;=50.7,L90&lt;=53.7,M90&gt;=3.2,M90&lt;=7.3,AC90&lt;&gt;"Closed"),TRUE,FALSE)</x:f>
        <x:v>1</x:v>
      </x:c>
      <x:c r="AA90" s="30" t="b">
        <x:f>Z90</x:f>
        <x:v>1</x:v>
      </x:c>
      <x:c r="AB90" s="30" t="str">
        <x:f>IF(Z90,"verified_coordinate_and_open","not_map_ready")</x:f>
        <x:v>verified_coordinate_and_open</x:v>
      </x:c>
      <x:c r="AC90" s="30" t="str">
        <x:v>Open</x:v>
      </x:c>
      <x:c r="AD90" s="30" t="str">
        <x:v>Public — no playing requirement</x:v>
      </x:c>
      <x:c r="AE90" s="31" t="b">
        <x:v>0</x:v>
      </x:c>
      <x:c r="AF90" s="31" t="b">
        <x:v>0</x:v>
      </x:c>
      <x:c r="AG90" s="30"/>
      <x:c r="AH90" s="30"/>
      <x:c r="AI90" s="30"/>
      <x:c r="AJ90" s="31" t="b">
        <x:v>0</x:v>
      </x:c>
      <x:c r="AK90" s="31" t="b">
        <x:v>0</x:v>
      </x:c>
      <x:c r="AL90" s="30" t="str">
        <x:v>Verified — national register and exact BAG address</x:v>
      </x:c>
      <x:c r="AM90" s="30" t="str">
        <x:v>https://www.golf.nl/de-baan-op/banenzoeker/overzicht</x:v>
      </x:c>
      <x:c r="AN90" s="30" t="str">
        <x:v>2026-08-15</x:v>
      </x:c>
      <x:c r="AO90" s="30" t="str">
        <x:v>+31 571-261212</x:v>
      </x:c>
      <x:c r="AP90" s="30" t="str">
        <x:v>Current NGF/GOLF.NL listing: 27 holes, par 81, 1439 metres. Combined from exact NGF-listed constituent nine-hole loops: 1ste negen (9 holes, par 27, 470 m); 2de negen (9 holes, par 27, 452 m); 3de negen (9 holes, par 27, 517 m) Listed as non-qualifying.</x:v>
      </x:c>
    </x:row>
    <x:row r="91">
      <x:c r="A91" s="30" t="str">
        <x:v>NL-C0052</x:v>
      </x:c>
      <x:c r="B91" s="30" t="str">
        <x:v>NL-0090</x:v>
      </x:c>
      <x:c r="C91" s="30" t="str">
        <x:v>Pitch &amp; Putt Golf Doetinchem — Fungolfbaan</x:v>
      </x:c>
      <x:c r="D91" s="30" t="str">
        <x:v>Pitch &amp; Putt Golf Doetinchem</x:v>
      </x:c>
      <x:c r="E91" s="30" t="str">
        <x:v>Fungolfbaan</x:v>
      </x:c>
      <x:c r="F91" s="30" t="str">
        <x:v>Netherlands</x:v>
      </x:c>
      <x:c r="G91" s="30" t="str">
        <x:v>Gelderland</x:v>
      </x:c>
      <x:c r="H91" s="30" t="str">
        <x:v>Doetinchem</x:v>
      </x:c>
      <x:c r="I91" s="30" t="str">
        <x:v>Doetinchem</x:v>
      </x:c>
      <x:c r="J91" s="30" t="str">
        <x:v>Liemersweg 99</x:v>
      </x:c>
      <x:c r="K91" s="30" t="str">
        <x:v>7006 GG</x:v>
      </x:c>
      <x:c r="L91" s="32" t="n">
        <x:v>51.96812118</x:v>
      </x:c>
      <x:c r="M91" s="32" t="n">
        <x:v>6.23682451</x:v>
      </x:c>
      <x:c r="N91" s="30" t="str">
        <x:v>WGS84 / EPSG:4326</x:v>
      </x:c>
      <x:c r="O91" s="30" t="str">
        <x:v>Verified BAG address point via PDOK</x:v>
      </x:c>
      <x:c r="P91" s="30" t="str">
        <x:v>2026-08-15</x:v>
      </x:c>
      <x:c r="Q91" s="33" t="n">
        <x:f>IF(R91="","",ROUND(R91/0.9144,0))</x:f>
        <x:v>984</x:v>
      </x:c>
      <x:c r="R91" s="33" t="n">
        <x:v>900</x:v>
      </x:c>
      <x:c r="S91" s="33" t="n">
        <x:v>18</x:v>
      </x:c>
      <x:c r="T91" s="33" t="n">
        <x:v>54</x:v>
      </x:c>
      <x:c r="U91" s="30" t="str">
        <x:v>Shortgolf / Pitch &amp; Putt</x:v>
      </x:c>
      <x:c r="V91" s="30"/>
      <x:c r="W91" s="30"/>
      <x:c r="X91" s="30"/>
      <x:c r="Y91" s="30" t="str">
        <x:v>https://pitch-putt-doetinchem.nl/</x:v>
      </x:c>
      <x:c r="Z91" s="30" t="b">
        <x:f>IF(AND(F91="Netherlands",ISNUMBER(L91),ISNUMBER(M91),L91&gt;=50.7,L91&lt;=53.7,M91&gt;=3.2,M91&lt;=7.3,AC91&lt;&gt;"Closed"),TRUE,FALSE)</x:f>
        <x:v>1</x:v>
      </x:c>
      <x:c r="AA91" s="30" t="b">
        <x:f>Z91</x:f>
        <x:v>1</x:v>
      </x:c>
      <x:c r="AB91" s="30" t="str">
        <x:f>IF(Z91,"verified_coordinate_and_open","not_map_ready")</x:f>
        <x:v>verified_coordinate_and_open</x:v>
      </x:c>
      <x:c r="AC91" s="30" t="str">
        <x:v>Open</x:v>
      </x:c>
      <x:c r="AD91" s="30" t="str">
        <x:v>Public — no playing requirement</x:v>
      </x:c>
      <x:c r="AE91" s="31" t="b">
        <x:v>0</x:v>
      </x:c>
      <x:c r="AF91" s="31" t="b">
        <x:v>0</x:v>
      </x:c>
      <x:c r="AG91" s="30"/>
      <x:c r="AH91" s="30"/>
      <x:c r="AI91" s="30"/>
      <x:c r="AJ91" s="31" t="b">
        <x:v>0</x:v>
      </x:c>
      <x:c r="AK91" s="31" t="b">
        <x:v>0</x:v>
      </x:c>
      <x:c r="AL91" s="30" t="str">
        <x:v>Verified — national register and exact BAG address</x:v>
      </x:c>
      <x:c r="AM91" s="30" t="str">
        <x:v>https://www.golf.nl/de-baan-op/banenzoeker/overzicht</x:v>
      </x:c>
      <x:c r="AN91" s="30" t="str">
        <x:v>2026-08-15</x:v>
      </x:c>
      <x:c r="AO91" s="30" t="str">
        <x:v>+31 314-364698</x:v>
      </x:c>
      <x:c r="AP91" s="30" t="str">
        <x:v>Current NGF/GOLF.NL listing: 18 holes, par 54, 900 metres. Combined from exact NGF-listed constituent nine-hole loops: Fungolfbaan 1ste negen (9 holes, par 27, 450 m); Fungolfbaan 2de negen (9 holes, par 27, 450 m) Listed as non-qualifying.</x:v>
      </x:c>
    </x:row>
    <x:row r="92">
      <x:c r="A92" s="30" t="str">
        <x:v>NL-C0052</x:v>
      </x:c>
      <x:c r="B92" s="30" t="str">
        <x:v>NL-0091</x:v>
      </x:c>
      <x:c r="C92" s="30" t="str">
        <x:v>Pitch &amp; Putt Golf Doetinchem — Par-3 Course</x:v>
      </x:c>
      <x:c r="D92" s="30" t="str">
        <x:v>Pitch &amp; Putt Golf Doetinchem</x:v>
      </x:c>
      <x:c r="E92" s="30" t="str">
        <x:v>Par-3 Course</x:v>
      </x:c>
      <x:c r="F92" s="30" t="str">
        <x:v>Netherlands</x:v>
      </x:c>
      <x:c r="G92" s="30" t="str">
        <x:v>Gelderland</x:v>
      </x:c>
      <x:c r="H92" s="30" t="str">
        <x:v>Doetinchem</x:v>
      </x:c>
      <x:c r="I92" s="30" t="str">
        <x:v>Doetinchem</x:v>
      </x:c>
      <x:c r="J92" s="30" t="str">
        <x:v>Liemersweg 99</x:v>
      </x:c>
      <x:c r="K92" s="30" t="str">
        <x:v>7006 GG</x:v>
      </x:c>
      <x:c r="L92" s="32" t="n">
        <x:v>51.96812118</x:v>
      </x:c>
      <x:c r="M92" s="32" t="n">
        <x:v>6.23682451</x:v>
      </x:c>
      <x:c r="N92" s="30" t="str">
        <x:v>WGS84 / EPSG:4326</x:v>
      </x:c>
      <x:c r="O92" s="30" t="str">
        <x:v>Verified BAG address point via PDOK</x:v>
      </x:c>
      <x:c r="P92" s="30" t="str">
        <x:v>2026-08-15</x:v>
      </x:c>
      <x:c r="Q92" s="33" t="n">
        <x:f>IF(R92="","",ROUND(R92/0.9144,0))</x:f>
        <x:v>772</x:v>
      </x:c>
      <x:c r="R92" s="33" t="n">
        <x:v>706</x:v>
      </x:c>
      <x:c r="S92" s="33" t="n">
        <x:v>9</x:v>
      </x:c>
      <x:c r="T92" s="33" t="n">
        <x:v>27</x:v>
      </x:c>
      <x:c r="U92" s="30" t="str">
        <x:v>Par-3 course</x:v>
      </x:c>
      <x:c r="V92" s="30"/>
      <x:c r="W92" s="30"/>
      <x:c r="X92" s="30"/>
      <x:c r="Y92" s="30" t="str">
        <x:v>https://pitch-putt-doetinchem.nl/</x:v>
      </x:c>
      <x:c r="Z92" s="30" t="b">
        <x:f>IF(AND(F92="Netherlands",ISNUMBER(L92),ISNUMBER(M92),L92&gt;=50.7,L92&lt;=53.7,M92&gt;=3.2,M92&lt;=7.3,AC92&lt;&gt;"Closed"),TRUE,FALSE)</x:f>
        <x:v>1</x:v>
      </x:c>
      <x:c r="AA92" s="30" t="b">
        <x:f>Z92</x:f>
        <x:v>1</x:v>
      </x:c>
      <x:c r="AB92" s="30" t="str">
        <x:f>IF(Z92,"verified_coordinate_and_open","not_map_ready")</x:f>
        <x:v>verified_coordinate_and_open</x:v>
      </x:c>
      <x:c r="AC92" s="30" t="str">
        <x:v>Open</x:v>
      </x:c>
      <x:c r="AD92" s="30" t="str">
        <x:v>Public — no playing requirement</x:v>
      </x:c>
      <x:c r="AE92" s="31" t="b">
        <x:v>1</x:v>
      </x:c>
      <x:c r="AF92" s="31" t="b">
        <x:v>0</x:v>
      </x:c>
      <x:c r="AG92" s="30"/>
      <x:c r="AH92" s="30"/>
      <x:c r="AI92" s="30"/>
      <x:c r="AJ92" s="31" t="b">
        <x:v>0</x:v>
      </x:c>
      <x:c r="AK92" s="31" t="b">
        <x:v>0</x:v>
      </x:c>
      <x:c r="AL92" s="30" t="str">
        <x:v>Verified — national register and exact BAG address</x:v>
      </x:c>
      <x:c r="AM92" s="30" t="str">
        <x:v>https://www.golf.nl/de-baan-op/banenzoeker/overzicht</x:v>
      </x:c>
      <x:c r="AN92" s="30" t="str">
        <x:v>2026-08-15</x:v>
      </x:c>
      <x:c r="AO92" s="30" t="str">
        <x:v>+31 314-364698</x:v>
      </x:c>
      <x:c r="AP92" s="30" t="str">
        <x:v>Current NGF/GOLF.NL listing: 9 holes, par 27, 706 metres. Listed as qualifying.</x:v>
      </x:c>
    </x:row>
    <x:row r="93">
      <x:c r="A93" s="30" t="str">
        <x:v>NL-C0053</x:v>
      </x:c>
      <x:c r="B93" s="30" t="str">
        <x:v>NL-0092</x:v>
      </x:c>
      <x:c r="C93" s="30" t="str">
        <x:v>Pitch &amp; putt Heerde — Shortgolf / Pitch &amp; Putt Course</x:v>
      </x:c>
      <x:c r="D93" s="30" t="str">
        <x:v>Pitch &amp; putt Heerde</x:v>
      </x:c>
      <x:c r="E93" s="30" t="str">
        <x:v>Shortgolf / Pitch &amp; Putt Course</x:v>
      </x:c>
      <x:c r="F93" s="30" t="str">
        <x:v>Netherlands</x:v>
      </x:c>
      <x:c r="G93" s="30" t="str">
        <x:v>Gelderland</x:v>
      </x:c>
      <x:c r="H93" s="30" t="str">
        <x:v>Heerde</x:v>
      </x:c>
      <x:c r="I93" s="30" t="str">
        <x:v>Heerde</x:v>
      </x:c>
      <x:c r="J93" s="30" t="str">
        <x:v>Kromme Allee 5</x:v>
      </x:c>
      <x:c r="K93" s="30" t="str">
        <x:v>8181 NV</x:v>
      </x:c>
      <x:c r="L93" s="32" t="n">
        <x:v>52.39803356</x:v>
      </x:c>
      <x:c r="M93" s="32" t="n">
        <x:v>6.0121304</x:v>
      </x:c>
      <x:c r="N93" s="30" t="str">
        <x:v>WGS84 / EPSG:4326</x:v>
      </x:c>
      <x:c r="O93" s="30" t="str">
        <x:v>Verified BAG address point via PDOK</x:v>
      </x:c>
      <x:c r="P93" s="30" t="str">
        <x:v>2026-08-15</x:v>
      </x:c>
      <x:c r="Q93" s="33" t="n">
        <x:f>IF(R93="","",ROUND(R93/0.9144,0))</x:f>
        <x:v>1043</x:v>
      </x:c>
      <x:c r="R93" s="33" t="n">
        <x:v>954</x:v>
      </x:c>
      <x:c r="S93" s="33" t="n">
        <x:v>18</x:v>
      </x:c>
      <x:c r="T93" s="33" t="n">
        <x:v>54</x:v>
      </x:c>
      <x:c r="U93" s="30" t="str">
        <x:v>Shortgolf / Pitch &amp; Putt</x:v>
      </x:c>
      <x:c r="V93" s="30"/>
      <x:c r="W93" s="30"/>
      <x:c r="X93" s="30"/>
      <x:c r="Y93" s="30" t="str">
        <x:v>https://www.pitchenputtheerde.nl/</x:v>
      </x:c>
      <x:c r="Z93" s="30" t="b">
        <x:f>IF(AND(F93="Netherlands",ISNUMBER(L93),ISNUMBER(M93),L93&gt;=50.7,L93&lt;=53.7,M93&gt;=3.2,M93&lt;=7.3,AC93&lt;&gt;"Closed"),TRUE,FALSE)</x:f>
        <x:v>1</x:v>
      </x:c>
      <x:c r="AA93" s="30" t="b">
        <x:f>Z93</x:f>
        <x:v>1</x:v>
      </x:c>
      <x:c r="AB93" s="30" t="str">
        <x:f>IF(Z93,"verified_coordinate_and_open","not_map_ready")</x:f>
        <x:v>verified_coordinate_and_open</x:v>
      </x:c>
      <x:c r="AC93" s="30" t="str">
        <x:v>Open</x:v>
      </x:c>
      <x:c r="AD93" s="30" t="str">
        <x:v>Public — no playing requirement</x:v>
      </x:c>
      <x:c r="AE93" s="31" t="b">
        <x:v>0</x:v>
      </x:c>
      <x:c r="AF93" s="31" t="b">
        <x:v>0</x:v>
      </x:c>
      <x:c r="AG93" s="30"/>
      <x:c r="AH93" s="30"/>
      <x:c r="AI93" s="30"/>
      <x:c r="AJ93" s="31" t="b">
        <x:v>0</x:v>
      </x:c>
      <x:c r="AK93" s="31" t="b">
        <x:v>0</x:v>
      </x:c>
      <x:c r="AL93" s="30" t="str">
        <x:v>Verified — national register and exact BAG address</x:v>
      </x:c>
      <x:c r="AM93" s="30" t="str">
        <x:v>https://www.golf.nl/de-baan-op/banenzoeker/overzicht</x:v>
      </x:c>
      <x:c r="AN93" s="30" t="str">
        <x:v>2026-08-15</x:v>
      </x:c>
      <x:c r="AO93" s="30" t="str">
        <x:v>+31 578-623764</x:v>
      </x:c>
      <x:c r="AP93" s="30" t="str">
        <x:v>Current NGF/GOLF.NL listing: 18 holes, par 54, 954 metres. Combined from exact NGF-listed constituent nine-hole loops: 1ste negen (9 holes, par 27, 511 m); 2de negen (9 holes, par 27, 443 m) Listed as non-qualifying.</x:v>
      </x:c>
    </x:row>
    <x:row r="94">
      <x:c r="A94" s="30" t="str">
        <x:v>NL-C0054</x:v>
      </x:c>
      <x:c r="B94" s="30" t="str">
        <x:v>NL-0093</x:v>
      </x:c>
      <x:c r="C94" s="30" t="str">
        <x:v>Pitch &amp; Putt Maurik — Shortgolf / Pitch &amp; Putt Course</x:v>
      </x:c>
      <x:c r="D94" s="30" t="str">
        <x:v>Pitch &amp; Putt Maurik</x:v>
      </x:c>
      <x:c r="E94" s="30" t="str">
        <x:v>Shortgolf / Pitch &amp; Putt Course</x:v>
      </x:c>
      <x:c r="F94" s="30" t="str">
        <x:v>Netherlands</x:v>
      </x:c>
      <x:c r="G94" s="30" t="str">
        <x:v>Gelderland</x:v>
      </x:c>
      <x:c r="H94" s="30" t="str">
        <x:v>Buren</x:v>
      </x:c>
      <x:c r="I94" s="30" t="str">
        <x:v>Maurik</x:v>
      </x:c>
      <x:c r="J94" s="30" t="str">
        <x:v>Eiland van Maurik 15</x:v>
      </x:c>
      <x:c r="K94" s="30" t="str">
        <x:v>4021 GG</x:v>
      </x:c>
      <x:c r="L94" s="32" t="n">
        <x:v>51.97524247</x:v>
      </x:c>
      <x:c r="M94" s="32" t="n">
        <x:v>5.41982054</x:v>
      </x:c>
      <x:c r="N94" s="30" t="str">
        <x:v>WGS84 / EPSG:4326</x:v>
      </x:c>
      <x:c r="O94" s="30" t="str">
        <x:v>Verified BAG address point via PDOK</x:v>
      </x:c>
      <x:c r="P94" s="30" t="str">
        <x:v>2026-08-15</x:v>
      </x:c>
      <x:c r="Q94" s="33" t="n">
        <x:f>IF(R94="","",ROUND(R94/0.9144,0))</x:f>
        <x:v>1182</x:v>
      </x:c>
      <x:c r="R94" s="33" t="n">
        <x:v>1081</x:v>
      </x:c>
      <x:c r="S94" s="33" t="n">
        <x:v>18</x:v>
      </x:c>
      <x:c r="T94" s="33" t="n">
        <x:v>54</x:v>
      </x:c>
      <x:c r="U94" s="30" t="str">
        <x:v>Shortgolf / Pitch &amp; Putt</x:v>
      </x:c>
      <x:c r="V94" s="30"/>
      <x:c r="W94" s="30"/>
      <x:c r="X94" s="30"/>
      <x:c r="Y94" s="30" t="str">
        <x:v>https://www.multigolf.nl/</x:v>
      </x:c>
      <x:c r="Z94" s="30" t="b">
        <x:f>IF(AND(F94="Netherlands",ISNUMBER(L94),ISNUMBER(M94),L94&gt;=50.7,L94&lt;=53.7,M94&gt;=3.2,M94&lt;=7.3,AC94&lt;&gt;"Closed"),TRUE,FALSE)</x:f>
        <x:v>1</x:v>
      </x:c>
      <x:c r="AA94" s="30" t="b">
        <x:f>Z94</x:f>
        <x:v>1</x:v>
      </x:c>
      <x:c r="AB94" s="30" t="str">
        <x:f>IF(Z94,"verified_coordinate_and_open","not_map_ready")</x:f>
        <x:v>verified_coordinate_and_open</x:v>
      </x:c>
      <x:c r="AC94" s="30" t="str">
        <x:v>Open</x:v>
      </x:c>
      <x:c r="AD94" s="30" t="str">
        <x:v>Public — no playing requirement</x:v>
      </x:c>
      <x:c r="AE94" s="31" t="b">
        <x:v>0</x:v>
      </x:c>
      <x:c r="AF94" s="31" t="b">
        <x:v>0</x:v>
      </x:c>
      <x:c r="AG94" s="30"/>
      <x:c r="AH94" s="30"/>
      <x:c r="AI94" s="30"/>
      <x:c r="AJ94" s="31" t="b">
        <x:v>0</x:v>
      </x:c>
      <x:c r="AK94" s="31" t="b">
        <x:v>0</x:v>
      </x:c>
      <x:c r="AL94" s="30" t="str">
        <x:v>Verified — national register and exact BAG address</x:v>
      </x:c>
      <x:c r="AM94" s="30" t="str">
        <x:v>https://www.golf.nl/de-baan-op/banenzoeker/overzicht</x:v>
      </x:c>
      <x:c r="AN94" s="30" t="str">
        <x:v>2026-08-15</x:v>
      </x:c>
      <x:c r="AO94" s="30" t="str">
        <x:v>+31 344-691252</x:v>
      </x:c>
      <x:c r="AP94" s="30" t="str">
        <x:v>Current NGF/GOLF.NL listing: 18 holes, par 54, 1081 metres. Combined from exact NGF-listed constituent nine-hole loops: 1ste negen (9 holes, par 27, 532 m); 2de negen (9 holes, par 27, 549 m) Listed as non-qualifying.</x:v>
      </x:c>
    </x:row>
    <x:row r="95">
      <x:c r="A95" s="30" t="str">
        <x:v>NL-C0055</x:v>
      </x:c>
      <x:c r="B95" s="30" t="str">
        <x:v>NL-0094</x:v>
      </x:c>
      <x:c r="C95" s="30" t="str">
        <x:v>Pitch &amp; Putt Molenhoek — Shortgolf / Pitch &amp; Putt Course</x:v>
      </x:c>
      <x:c r="D95" s="30" t="str">
        <x:v>Pitch &amp; Putt Molenhoek</x:v>
      </x:c>
      <x:c r="E95" s="30" t="str">
        <x:v>Shortgolf / Pitch &amp; Putt Course</x:v>
      </x:c>
      <x:c r="F95" s="30" t="str">
        <x:v>Netherlands</x:v>
      </x:c>
      <x:c r="G95" s="30" t="str">
        <x:v>Gelderland</x:v>
      </x:c>
      <x:c r="H95" s="30" t="str">
        <x:v>Mook en Middelaar</x:v>
      </x:c>
      <x:c r="I95" s="30" t="str">
        <x:v>Molenhoek</x:v>
      </x:c>
      <x:c r="J95" s="30" t="str">
        <x:v>Lierweg 2C</x:v>
      </x:c>
      <x:c r="K95" s="30" t="str">
        <x:v>6584 DC</x:v>
      </x:c>
      <x:c r="L95" s="32" t="n">
        <x:v>51.77543134</x:v>
      </x:c>
      <x:c r="M95" s="32" t="n">
        <x:v>5.87561356</x:v>
      </x:c>
      <x:c r="N95" s="30" t="str">
        <x:v>WGS84 / EPSG:4326</x:v>
      </x:c>
      <x:c r="O95" s="30" t="str">
        <x:v>Verified BAG address point via PDOK</x:v>
      </x:c>
      <x:c r="P95" s="30" t="str">
        <x:v>2026-08-15</x:v>
      </x:c>
      <x:c r="Q95" s="33" t="n">
        <x:f>IF(R95="","",ROUND(R95/0.9144,0))</x:f>
        <x:v>1171</x:v>
      </x:c>
      <x:c r="R95" s="33" t="n">
        <x:v>1071</x:v>
      </x:c>
      <x:c r="S95" s="33" t="n">
        <x:v>18</x:v>
      </x:c>
      <x:c r="T95" s="33" t="n">
        <x:v>54</x:v>
      </x:c>
      <x:c r="U95" s="30" t="str">
        <x:v>Shortgolf / Pitch &amp; Putt</x:v>
      </x:c>
      <x:c r="V95" s="30"/>
      <x:c r="W95" s="30"/>
      <x:c r="X95" s="30"/>
      <x:c r="Y95" s="30" t="str">
        <x:v>https://www.gc-molenhoek.nl/pitch-putt-molenhoek/</x:v>
      </x:c>
      <x:c r="Z95" s="30" t="b">
        <x:f>IF(AND(F95="Netherlands",ISNUMBER(L95),ISNUMBER(M95),L95&gt;=50.7,L95&lt;=53.7,M95&gt;=3.2,M95&lt;=7.3,AC95&lt;&gt;"Closed"),TRUE,FALSE)</x:f>
        <x:v>1</x:v>
      </x:c>
      <x:c r="AA95" s="30" t="b">
        <x:f>Z95</x:f>
        <x:v>1</x:v>
      </x:c>
      <x:c r="AB95" s="30" t="str">
        <x:f>IF(Z95,"verified_coordinate_and_open","not_map_ready")</x:f>
        <x:v>verified_coordinate_and_open</x:v>
      </x:c>
      <x:c r="AC95" s="30" t="str">
        <x:v>Open</x:v>
      </x:c>
      <x:c r="AD95" s="30" t="str">
        <x:v>Public — no playing requirement</x:v>
      </x:c>
      <x:c r="AE95" s="31" t="b">
        <x:v>0</x:v>
      </x:c>
      <x:c r="AF95" s="31" t="b">
        <x:v>0</x:v>
      </x:c>
      <x:c r="AG95" s="30"/>
      <x:c r="AH95" s="30"/>
      <x:c r="AI95" s="30"/>
      <x:c r="AJ95" s="31" t="b">
        <x:v>0</x:v>
      </x:c>
      <x:c r="AK95" s="31" t="b">
        <x:v>0</x:v>
      </x:c>
      <x:c r="AL95" s="30" t="str">
        <x:v>Verified — national register and exact BAG address</x:v>
      </x:c>
      <x:c r="AM95" s="30" t="str">
        <x:v>https://www.golf.nl/de-baan-op/banenzoeker/overzicht</x:v>
      </x:c>
      <x:c r="AN95" s="30" t="str">
        <x:v>2026-08-15</x:v>
      </x:c>
      <x:c r="AO95" s="30" t="str">
        <x:v>+31 24-3880552</x:v>
      </x:c>
      <x:c r="AP95" s="30" t="str">
        <x:v>Current NGF/GOLF.NL listing: 18 holes, par 54, 1071 metres. Combined from exact NGF-listed constituent nine-hole loops: 1ste negen (9 holes, par 27, 537 m); 2de negen (9 holes, par 27, 534 m) Listed as non-qualifying.</x:v>
      </x:c>
    </x:row>
    <x:row r="96">
      <x:c r="A96" s="30" t="str">
        <x:v>NL-C0056</x:v>
      </x:c>
      <x:c r="B96" s="30" t="str">
        <x:v>NL-0095</x:v>
      </x:c>
      <x:c r="C96" s="30" t="str">
        <x:v>Pitch &amp; Putt Papendal — Shortgolf / Pitch &amp; Putt Course</x:v>
      </x:c>
      <x:c r="D96" s="30" t="str">
        <x:v>Pitch &amp; Putt Papendal</x:v>
      </x:c>
      <x:c r="E96" s="30" t="str">
        <x:v>Shortgolf / Pitch &amp; Putt Course</x:v>
      </x:c>
      <x:c r="F96" s="30" t="str">
        <x:v>Netherlands</x:v>
      </x:c>
      <x:c r="G96" s="30" t="str">
        <x:v>Gelderland</x:v>
      </x:c>
      <x:c r="H96" s="30" t="str">
        <x:v>Arnhem</x:v>
      </x:c>
      <x:c r="I96" s="30" t="str">
        <x:v>Arnhem</x:v>
      </x:c>
      <x:c r="J96" s="30" t="str">
        <x:v>Papendallaan 3</x:v>
      </x:c>
      <x:c r="K96" s="30" t="str">
        <x:v>6816 VD</x:v>
      </x:c>
      <x:c r="L96" s="32" t="n">
        <x:v>52.01015948</x:v>
      </x:c>
      <x:c r="M96" s="32" t="n">
        <x:v>5.82474931</x:v>
      </x:c>
      <x:c r="N96" s="30" t="str">
        <x:v>WGS84 / EPSG:4326</x:v>
      </x:c>
      <x:c r="O96" s="30" t="str">
        <x:v>Verified BAG address point via PDOK</x:v>
      </x:c>
      <x:c r="P96" s="30" t="str">
        <x:v>2026-08-15</x:v>
      </x:c>
      <x:c r="Q96" s="33" t="n">
        <x:f>IF(R96="","",ROUND(R96/0.9144,0))</x:f>
        <x:v>1102</x:v>
      </x:c>
      <x:c r="R96" s="33" t="n">
        <x:v>1008</x:v>
      </x:c>
      <x:c r="S96" s="33" t="n">
        <x:v>18</x:v>
      </x:c>
      <x:c r="T96" s="33" t="n">
        <x:v>54</x:v>
      </x:c>
      <x:c r="U96" s="30" t="str">
        <x:v>Shortgolf / Pitch &amp; Putt</x:v>
      </x:c>
      <x:c r="V96" s="30"/>
      <x:c r="W96" s="30"/>
      <x:c r="X96" s="30"/>
      <x:c r="Y96" s="30" t="str">
        <x:v>https://www.pitch-putt.nl/locaties/papendal/</x:v>
      </x:c>
      <x:c r="Z96" s="30" t="b">
        <x:f>IF(AND(F96="Netherlands",ISNUMBER(L96),ISNUMBER(M96),L96&gt;=50.7,L96&lt;=53.7,M96&gt;=3.2,M96&lt;=7.3,AC96&lt;&gt;"Closed"),TRUE,FALSE)</x:f>
        <x:v>1</x:v>
      </x:c>
      <x:c r="AA96" s="30" t="b">
        <x:f>Z96</x:f>
        <x:v>1</x:v>
      </x:c>
      <x:c r="AB96" s="30" t="str">
        <x:f>IF(Z96,"verified_coordinate_and_open","not_map_ready")</x:f>
        <x:v>verified_coordinate_and_open</x:v>
      </x:c>
      <x:c r="AC96" s="30" t="str">
        <x:v>Open</x:v>
      </x:c>
      <x:c r="AD96" s="30" t="str">
        <x:v>Public — no playing requirement</x:v>
      </x:c>
      <x:c r="AE96" s="31" t="b">
        <x:v>0</x:v>
      </x:c>
      <x:c r="AF96" s="31" t="b">
        <x:v>0</x:v>
      </x:c>
      <x:c r="AG96" s="30"/>
      <x:c r="AH96" s="30"/>
      <x:c r="AI96" s="30"/>
      <x:c r="AJ96" s="31" t="b">
        <x:v>0</x:v>
      </x:c>
      <x:c r="AK96" s="31" t="b">
        <x:v>0</x:v>
      </x:c>
      <x:c r="AL96" s="30" t="str">
        <x:v>Verified — national register and exact BAG address</x:v>
      </x:c>
      <x:c r="AM96" s="30" t="str">
        <x:v>https://www.golf.nl/de-baan-op/banenzoeker/overzicht</x:v>
      </x:c>
      <x:c r="AN96" s="30" t="str">
        <x:v>2026-08-15</x:v>
      </x:c>
      <x:c r="AO96" s="30" t="str">
        <x:v>+31 6-82300303</x:v>
      </x:c>
      <x:c r="AP96" s="30" t="str">
        <x:v>Current NGF/GOLF.NL listing: 18 holes, par 54, 1008 metres. Combined from multiple exact NGF-listed constituent loops that were not individually named: 9 holes, par 27, 478 m; 9 holes, par 27, 530 m Listed as non-qualifying.</x:v>
      </x:c>
    </x:row>
    <x:row r="97">
      <x:c r="A97" s="30" t="str">
        <x:v>NL-C0057</x:v>
      </x:c>
      <x:c r="B97" s="30" t="str">
        <x:v>NL-0096</x:v>
      </x:c>
      <x:c r="C97" s="30" t="str">
        <x:v>Rosendaelsche Golfclub — Main Course</x:v>
      </x:c>
      <x:c r="D97" s="30" t="str">
        <x:v>Rosendaelsche Golfclub</x:v>
      </x:c>
      <x:c r="E97" s="30" t="str">
        <x:v>Main Course</x:v>
      </x:c>
      <x:c r="F97" s="30" t="str">
        <x:v>Netherlands</x:v>
      </x:c>
      <x:c r="G97" s="30" t="str">
        <x:v>Gelderland</x:v>
      </x:c>
      <x:c r="H97" s="30" t="str">
        <x:v>Arnhem</x:v>
      </x:c>
      <x:c r="I97" s="30" t="str">
        <x:v>Arnhem</x:v>
      </x:c>
      <x:c r="J97" s="30" t="str">
        <x:v>Apeldoornseweg 450</x:v>
      </x:c>
      <x:c r="K97" s="30" t="str">
        <x:v>6816 SN</x:v>
      </x:c>
      <x:c r="L97" s="32" t="n">
        <x:v>52.01903426</x:v>
      </x:c>
      <x:c r="M97" s="32" t="n">
        <x:v>5.92640358</x:v>
      </x:c>
      <x:c r="N97" s="30" t="str">
        <x:v>WGS84 / EPSG:4326</x:v>
      </x:c>
      <x:c r="O97" s="30" t="str">
        <x:v>Verified BAG address point via PDOK</x:v>
      </x:c>
      <x:c r="P97" s="30" t="str">
        <x:v>2026-08-15</x:v>
      </x:c>
      <x:c r="Q97" s="33" t="n">
        <x:f>IF(R97="","",ROUND(R97/0.9144,0))</x:f>
        <x:v>7055</x:v>
      </x:c>
      <x:c r="R97" s="33" t="n">
        <x:v>6451</x:v>
      </x:c>
      <x:c r="S97" s="33" t="n">
        <x:v>18</x:v>
      </x:c>
      <x:c r="T97" s="33" t="n">
        <x:v>72</x:v>
      </x:c>
      <x:c r="U97" s="30" t="str">
        <x:v>Full-length course</x:v>
      </x:c>
      <x:c r="V97" s="30"/>
      <x:c r="W97" s="30"/>
      <x:c r="X97" s="30"/>
      <x:c r="Y97" s="30" t="str">
        <x:v>https://rosendaelsche.nl/</x:v>
      </x:c>
      <x:c r="Z97" s="30" t="b">
        <x:f>IF(AND(F97="Netherlands",ISNUMBER(L97),ISNUMBER(M97),L97&gt;=50.7,L97&lt;=53.7,M97&gt;=3.2,M97&lt;=7.3,AC97&lt;&gt;"Closed"),TRUE,FALSE)</x:f>
        <x:v>1</x:v>
      </x:c>
      <x:c r="AA97" s="30" t="b">
        <x:f>Z97</x:f>
        <x:v>1</x:v>
      </x:c>
      <x:c r="AB97" s="30" t="str">
        <x:f>IF(Z97,"verified_coordinate_and_open","not_map_ready")</x:f>
        <x:v>verified_coordinate_and_open</x:v>
      </x:c>
      <x:c r="AC97" s="30" t="str">
        <x:v>Open</x:v>
      </x:c>
      <x:c r="AD97" s="30" t="str">
        <x:v>Public — handicap 24 or lower</x:v>
      </x:c>
      <x:c r="AE97" s="31" t="b">
        <x:v>1</x:v>
      </x:c>
      <x:c r="AF97" s="31" t="b">
        <x:v>0</x:v>
      </x:c>
      <x:c r="AG97" s="30"/>
      <x:c r="AH97" s="30"/>
      <x:c r="AI97" s="30"/>
      <x:c r="AJ97" s="31" t="b">
        <x:v>0</x:v>
      </x:c>
      <x:c r="AK97" s="31" t="b">
        <x:v>0</x:v>
      </x:c>
      <x:c r="AL97" s="30" t="str">
        <x:v>Verified — national register and exact BAG address</x:v>
      </x:c>
      <x:c r="AM97" s="30" t="str">
        <x:v>https://www.golf.nl/de-baan-op/banenzoeker/overzicht</x:v>
      </x:c>
      <x:c r="AN97" s="30" t="str">
        <x:v>2026-08-15</x:v>
      </x:c>
      <x:c r="AO97" s="30" t="str">
        <x:v>+31 26-4421438</x:v>
      </x:c>
      <x:c r="AP97" s="30" t="str">
        <x:v>Current NGF/GOLF.NL listing: 18 holes, par 72, 6451 metres. Combined from exact NGF-listed constituent nine-hole loops: 1ste negen (9 holes, par 36, 3306 m); 2de negen (9 holes, par 36, 3145 m) Listed as qualifying.</x:v>
      </x:c>
    </x:row>
    <x:row r="98">
      <x:c r="A98" s="30" t="str">
        <x:v>NL-C0058</x:v>
      </x:c>
      <x:c r="B98" s="30" t="str">
        <x:v>NL-0097</x:v>
      </x:c>
      <x:c r="C98" s="30" t="str">
        <x:v>Shortgolf Berkelland</x:v>
      </x:c>
      <x:c r="D98" s="30" t="str">
        <x:v>Shortgolf Berkelland</x:v>
      </x:c>
      <x:c r="E98" s="30" t="str">
        <x:v>Course</x:v>
      </x:c>
      <x:c r="F98" s="30" t="str">
        <x:v>Netherlands</x:v>
      </x:c>
      <x:c r="G98" s="30" t="str">
        <x:v>Gelderland</x:v>
      </x:c>
      <x:c r="H98" s="30" t="str">
        <x:v>Berkelland</x:v>
      </x:c>
      <x:c r="I98" s="30" t="str">
        <x:v>Eibergen</x:v>
      </x:c>
      <x:c r="J98" s="30" t="str">
        <x:v>Vunderinkslaan 3</x:v>
      </x:c>
      <x:c r="K98" s="30" t="str">
        <x:v>7151 AT</x:v>
      </x:c>
      <x:c r="L98" s="32" t="n">
        <x:v>52.1077126</x:v>
      </x:c>
      <x:c r="M98" s="32" t="n">
        <x:v>6.64834689</x:v>
      </x:c>
      <x:c r="N98" s="30" t="str">
        <x:v>WGS84 / EPSG:4326</x:v>
      </x:c>
      <x:c r="O98" s="30" t="str">
        <x:v>Verified BAG address point via PDOK</x:v>
      </x:c>
      <x:c r="P98" s="30" t="str">
        <x:v>2026-08-15</x:v>
      </x:c>
      <x:c r="Q98" s="33" t="n">
        <x:f>IF(R98="","",ROUND(R98/0.9144,0))</x:f>
        <x:v>981</x:v>
      </x:c>
      <x:c r="R98" s="33" t="n">
        <x:v>897</x:v>
      </x:c>
      <x:c r="S98" s="33" t="n">
        <x:v>9</x:v>
      </x:c>
      <x:c r="T98" s="33" t="n">
        <x:v>27</x:v>
      </x:c>
      <x:c r="U98" s="30" t="str">
        <x:v>Par-3 course</x:v>
      </x:c>
      <x:c r="V98" s="30"/>
      <x:c r="W98" s="30"/>
      <x:c r="X98" s="30"/>
      <x:c r="Y98" s="30" t="str">
        <x:v>https://www.shortgolfberkelland.nl/</x:v>
      </x:c>
      <x:c r="Z98" s="30" t="b">
        <x:f>IF(AND(F98="Netherlands",ISNUMBER(L98),ISNUMBER(M98),L98&gt;=50.7,L98&lt;=53.7,M98&gt;=3.2,M98&lt;=7.3,AC98&lt;&gt;"Closed"),TRUE,FALSE)</x:f>
        <x:v>1</x:v>
      </x:c>
      <x:c r="AA98" s="30" t="b">
        <x:f>Z98</x:f>
        <x:v>1</x:v>
      </x:c>
      <x:c r="AB98" s="30" t="str">
        <x:f>IF(Z98,"verified_coordinate_and_open","not_map_ready")</x:f>
        <x:v>verified_coordinate_and_open</x:v>
      </x:c>
      <x:c r="AC98" s="30" t="str">
        <x:v>Open</x:v>
      </x:c>
      <x:c r="AD98" s="30" t="str">
        <x:v>Public — no playing requirement</x:v>
      </x:c>
      <x:c r="AE98" s="31" t="b">
        <x:v>1</x:v>
      </x:c>
      <x:c r="AF98" s="31" t="b">
        <x:v>0</x:v>
      </x:c>
      <x:c r="AG98" s="30"/>
      <x:c r="AH98" s="30"/>
      <x:c r="AI98" s="30"/>
      <x:c r="AJ98" s="31" t="b">
        <x:v>0</x:v>
      </x:c>
      <x:c r="AK98" s="31" t="b">
        <x:v>0</x:v>
      </x:c>
      <x:c r="AL98" s="30" t="str">
        <x:v>Verified — national register and exact BAG address</x:v>
      </x:c>
      <x:c r="AM98" s="30" t="str">
        <x:v>https://www.golf.nl/de-baan-op/banenzoeker/overzicht</x:v>
      </x:c>
      <x:c r="AN98" s="30" t="str">
        <x:v>2026-08-15</x:v>
      </x:c>
      <x:c r="AO98" s="30" t="str">
        <x:v>+31 545-471522</x:v>
      </x:c>
      <x:c r="AP98" s="30" t="str">
        <x:v>Current NGF/GOLF.NL listing: 9 holes, par 27, 897 metres. Listed as qualifying.</x:v>
      </x:c>
    </x:row>
    <x:row r="99">
      <x:c r="A99" s="30" t="str">
        <x:v>NL-C0059</x:v>
      </x:c>
      <x:c r="B99" s="30" t="str">
        <x:v>NL-0098</x:v>
      </x:c>
      <x:c r="C99" s="30" t="str">
        <x:v>Shortgolf Zeumeren — 725 meter</x:v>
      </x:c>
      <x:c r="D99" s="30" t="str">
        <x:v>Shortgolf Zeumeren</x:v>
      </x:c>
      <x:c r="E99" s="30" t="str">
        <x:v>725 meter</x:v>
      </x:c>
      <x:c r="F99" s="30" t="str">
        <x:v>Netherlands</x:v>
      </x:c>
      <x:c r="G99" s="30" t="str">
        <x:v>Gelderland</x:v>
      </x:c>
      <x:c r="H99" s="30" t="str">
        <x:v>Barneveld</x:v>
      </x:c>
      <x:c r="I99" s="30" t="str">
        <x:v>Voorthuizen</x:v>
      </x:c>
      <x:c r="J99" s="30" t="str">
        <x:v>Stroetweg 9</x:v>
      </x:c>
      <x:c r="K99" s="30" t="str">
        <x:v>3781 PR</x:v>
      </x:c>
      <x:c r="L99" s="32" t="n">
        <x:v>52.17460542</x:v>
      </x:c>
      <x:c r="M99" s="32" t="n">
        <x:v>5.61699635</x:v>
      </x:c>
      <x:c r="N99" s="30" t="str">
        <x:v>WGS84 / EPSG:4326</x:v>
      </x:c>
      <x:c r="O99" s="30" t="str">
        <x:v>Verified BAG address point via PDOK</x:v>
      </x:c>
      <x:c r="P99" s="30" t="str">
        <x:v>2026-08-15</x:v>
      </x:c>
      <x:c r="Q99" s="33" t="n">
        <x:f>IF(R99="","",ROUND(R99/0.9144,0))</x:f>
        <x:v>793</x:v>
      </x:c>
      <x:c r="R99" s="33" t="n">
        <x:v>725</x:v>
      </x:c>
      <x:c r="S99" s="33" t="n">
        <x:v>9</x:v>
      </x:c>
      <x:c r="T99" s="33" t="n">
        <x:v>27</x:v>
      </x:c>
      <x:c r="U99" s="30" t="str">
        <x:v>Par-3 course</x:v>
      </x:c>
      <x:c r="V99" s="30"/>
      <x:c r="W99" s="30"/>
      <x:c r="X99" s="30"/>
      <x:c r="Y99" s="30" t="str">
        <x:v>https://shortgolfen.nl/</x:v>
      </x:c>
      <x:c r="Z99" s="30" t="b">
        <x:f>IF(AND(F99="Netherlands",ISNUMBER(L99),ISNUMBER(M99),L99&gt;=50.7,L99&lt;=53.7,M99&gt;=3.2,M99&lt;=7.3,AC99&lt;&gt;"Closed"),TRUE,FALSE)</x:f>
        <x:v>1</x:v>
      </x:c>
      <x:c r="AA99" s="30" t="b">
        <x:f>Z99</x:f>
        <x:v>1</x:v>
      </x:c>
      <x:c r="AB99" s="30" t="str">
        <x:f>IF(Z99,"verified_coordinate_and_open","not_map_ready")</x:f>
        <x:v>verified_coordinate_and_open</x:v>
      </x:c>
      <x:c r="AC99" s="30" t="str">
        <x:v>Open</x:v>
      </x:c>
      <x:c r="AD99" s="30" t="str">
        <x:v>Public — no playing requirement</x:v>
      </x:c>
      <x:c r="AE99" s="31" t="b">
        <x:v>1</x:v>
      </x:c>
      <x:c r="AF99" s="31" t="b">
        <x:v>0</x:v>
      </x:c>
      <x:c r="AG99" s="30"/>
      <x:c r="AH99" s="30"/>
      <x:c r="AI99" s="30"/>
      <x:c r="AJ99" s="31" t="b">
        <x:v>0</x:v>
      </x:c>
      <x:c r="AK99" s="31" t="b">
        <x:v>0</x:v>
      </x:c>
      <x:c r="AL99" s="30" t="str">
        <x:v>Verified — national register and exact BAG address</x:v>
      </x:c>
      <x:c r="AM99" s="30" t="str">
        <x:v>https://www.golf.nl/de-baan-op/banenzoeker/overzicht</x:v>
      </x:c>
      <x:c r="AN99" s="30" t="str">
        <x:v>2026-08-15</x:v>
      </x:c>
      <x:c r="AO99" s="30" t="str">
        <x:v>+31 6-10923277</x:v>
      </x:c>
      <x:c r="AP99" s="30" t="str">
        <x:v>Current NGF/GOLF.NL listing: 9 holes, par 27, 725 metres. Listed as qualifying.</x:v>
      </x:c>
    </x:row>
    <x:row r="100">
      <x:c r="A100" s="30" t="str">
        <x:v>NL-C0060</x:v>
      </x:c>
      <x:c r="B100" s="30" t="str">
        <x:v>NL-0099</x:v>
      </x:c>
      <x:c r="C100" s="30" t="str">
        <x:v>Tennis en Pitch &amp; Putt Centrum De Blanckenborg — Par-3 Course</x:v>
      </x:c>
      <x:c r="D100" s="30" t="str">
        <x:v>Tennis en Pitch &amp; Putt Centrum De Blanckenborg</x:v>
      </x:c>
      <x:c r="E100" s="30" t="str">
        <x:v>Par-3 Course</x:v>
      </x:c>
      <x:c r="F100" s="30" t="str">
        <x:v>Netherlands</x:v>
      </x:c>
      <x:c r="G100" s="30" t="str">
        <x:v>Gelderland</x:v>
      </x:c>
      <x:c r="H100" s="30" t="str">
        <x:v>Oost Gelre</x:v>
      </x:c>
      <x:c r="I100" s="30" t="str">
        <x:v>Groenlo</x:v>
      </x:c>
      <x:c r="J100" s="30" t="str">
        <x:v>Oude Winterswijkseweg 45a</x:v>
      </x:c>
      <x:c r="K100" s="30" t="str">
        <x:v>7141 DE</x:v>
      </x:c>
      <x:c r="L100" s="32" t="n">
        <x:v>52.03247836</x:v>
      </x:c>
      <x:c r="M100" s="32" t="n">
        <x:v>6.63766029</x:v>
      </x:c>
      <x:c r="N100" s="30" t="str">
        <x:v>WGS84 / EPSG:4326</x:v>
      </x:c>
      <x:c r="O100" s="30" t="str">
        <x:v>Verified BAG address point via PDOK</x:v>
      </x:c>
      <x:c r="P100" s="30" t="str">
        <x:v>2026-08-15</x:v>
      </x:c>
      <x:c r="Q100" s="33" t="n">
        <x:f>IF(R100="","",ROUND(R100/0.9144,0))</x:f>
        <x:v>810</x:v>
      </x:c>
      <x:c r="R100" s="33" t="n">
        <x:v>741</x:v>
      </x:c>
      <x:c r="S100" s="33" t="n">
        <x:v>9</x:v>
      </x:c>
      <x:c r="T100" s="33" t="n">
        <x:v>27</x:v>
      </x:c>
      <x:c r="U100" s="30" t="str">
        <x:v>Par-3 course</x:v>
      </x:c>
      <x:c r="V100" s="30"/>
      <x:c r="W100" s="30"/>
      <x:c r="X100" s="30"/>
      <x:c r="Y100" s="30" t="str">
        <x:v>https://pitch-putt.nl/locaties/groenlo/</x:v>
      </x:c>
      <x:c r="Z100" s="30" t="b">
        <x:f>IF(AND(F100="Netherlands",ISNUMBER(L100),ISNUMBER(M100),L100&gt;=50.7,L100&lt;=53.7,M100&gt;=3.2,M100&lt;=7.3,AC100&lt;&gt;"Closed"),TRUE,FALSE)</x:f>
        <x:v>1</x:v>
      </x:c>
      <x:c r="AA100" s="30" t="b">
        <x:f>Z100</x:f>
        <x:v>1</x:v>
      </x:c>
      <x:c r="AB100" s="30" t="str">
        <x:f>IF(Z100,"verified_coordinate_and_open","not_map_ready")</x:f>
        <x:v>verified_coordinate_and_open</x:v>
      </x:c>
      <x:c r="AC100" s="30" t="str">
        <x:v>Open</x:v>
      </x:c>
      <x:c r="AD100" s="30" t="str">
        <x:v>Public — no playing requirement</x:v>
      </x:c>
      <x:c r="AE100" s="31" t="b">
        <x:v>1</x:v>
      </x:c>
      <x:c r="AF100" s="31" t="b">
        <x:v>0</x:v>
      </x:c>
      <x:c r="AG100" s="30"/>
      <x:c r="AH100" s="30"/>
      <x:c r="AI100" s="30"/>
      <x:c r="AJ100" s="31" t="b">
        <x:v>0</x:v>
      </x:c>
      <x:c r="AK100" s="31" t="b">
        <x:v>0</x:v>
      </x:c>
      <x:c r="AL100" s="30" t="str">
        <x:v>Verified — national register and exact BAG address</x:v>
      </x:c>
      <x:c r="AM100" s="30" t="str">
        <x:v>https://www.golf.nl/de-baan-op/banenzoeker/overzicht</x:v>
      </x:c>
      <x:c r="AN100" s="30" t="str">
        <x:v>2026-08-15</x:v>
      </x:c>
      <x:c r="AO100" s="30" t="str">
        <x:v>+31 544-464142</x:v>
      </x:c>
      <x:c r="AP100" s="30" t="str">
        <x:v>Current NGF/GOLF.NL listing: 9 holes, par 27, 741 metres. Listed as qualifying.</x:v>
      </x:c>
    </x:row>
    <x:row r="101">
      <x:c r="A101" s="30" t="str">
        <x:v>NL-C0060</x:v>
      </x:c>
      <x:c r="B101" s="30" t="str">
        <x:v>NL-0100</x:v>
      </x:c>
      <x:c r="C101" s="30" t="str">
        <x:v>Tennis en Pitch &amp; Putt Centrum De Blanckenborg — Shortgolf / Pitch &amp; Putt Course</x:v>
      </x:c>
      <x:c r="D101" s="30" t="str">
        <x:v>Tennis en Pitch &amp; Putt Centrum De Blanckenborg</x:v>
      </x:c>
      <x:c r="E101" s="30" t="str">
        <x:v>Shortgolf / Pitch &amp; Putt Course</x:v>
      </x:c>
      <x:c r="F101" s="30" t="str">
        <x:v>Netherlands</x:v>
      </x:c>
      <x:c r="G101" s="30" t="str">
        <x:v>Gelderland</x:v>
      </x:c>
      <x:c r="H101" s="30" t="str">
        <x:v>Oost Gelre</x:v>
      </x:c>
      <x:c r="I101" s="30" t="str">
        <x:v>Groenlo</x:v>
      </x:c>
      <x:c r="J101" s="30" t="str">
        <x:v>Oude Winterswijkseweg 45a</x:v>
      </x:c>
      <x:c r="K101" s="30" t="str">
        <x:v>7141 DE</x:v>
      </x:c>
      <x:c r="L101" s="32" t="n">
        <x:v>52.03247836</x:v>
      </x:c>
      <x:c r="M101" s="32" t="n">
        <x:v>6.63766029</x:v>
      </x:c>
      <x:c r="N101" s="30" t="str">
        <x:v>WGS84 / EPSG:4326</x:v>
      </x:c>
      <x:c r="O101" s="30" t="str">
        <x:v>Verified BAG address point via PDOK</x:v>
      </x:c>
      <x:c r="P101" s="30" t="str">
        <x:v>2026-08-15</x:v>
      </x:c>
      <x:c r="Q101" s="33" t="n">
        <x:f>IF(R101="","",ROUND(R101/0.9144,0))</x:f>
        <x:v>984</x:v>
      </x:c>
      <x:c r="R101" s="33" t="n">
        <x:v>900</x:v>
      </x:c>
      <x:c r="S101" s="33" t="n">
        <x:v>18</x:v>
      </x:c>
      <x:c r="T101" s="33" t="n">
        <x:v>54</x:v>
      </x:c>
      <x:c r="U101" s="30" t="str">
        <x:v>Shortgolf / Pitch &amp; Putt</x:v>
      </x:c>
      <x:c r="V101" s="30"/>
      <x:c r="W101" s="30"/>
      <x:c r="X101" s="30"/>
      <x:c r="Y101" s="30" t="str">
        <x:v>https://pitch-putt.nl/locaties/groenlo/</x:v>
      </x:c>
      <x:c r="Z101" s="30" t="b">
        <x:f>IF(AND(F101="Netherlands",ISNUMBER(L101),ISNUMBER(M101),L101&gt;=50.7,L101&lt;=53.7,M101&gt;=3.2,M101&lt;=7.3,AC101&lt;&gt;"Closed"),TRUE,FALSE)</x:f>
        <x:v>1</x:v>
      </x:c>
      <x:c r="AA101" s="30" t="b">
        <x:f>Z101</x:f>
        <x:v>1</x:v>
      </x:c>
      <x:c r="AB101" s="30" t="str">
        <x:f>IF(Z101,"verified_coordinate_and_open","not_map_ready")</x:f>
        <x:v>verified_coordinate_and_open</x:v>
      </x:c>
      <x:c r="AC101" s="30" t="str">
        <x:v>Open</x:v>
      </x:c>
      <x:c r="AD101" s="30" t="str">
        <x:v>Public — no playing requirement</x:v>
      </x:c>
      <x:c r="AE101" s="31" t="b">
        <x:v>0</x:v>
      </x:c>
      <x:c r="AF101" s="31" t="b">
        <x:v>0</x:v>
      </x:c>
      <x:c r="AG101" s="30"/>
      <x:c r="AH101" s="30"/>
      <x:c r="AI101" s="30"/>
      <x:c r="AJ101" s="31" t="b">
        <x:v>0</x:v>
      </x:c>
      <x:c r="AK101" s="31" t="b">
        <x:v>0</x:v>
      </x:c>
      <x:c r="AL101" s="30" t="str">
        <x:v>Verified — national register and exact BAG address</x:v>
      </x:c>
      <x:c r="AM101" s="30" t="str">
        <x:v>https://www.golf.nl/de-baan-op/banenzoeker/overzicht</x:v>
      </x:c>
      <x:c r="AN101" s="30" t="str">
        <x:v>2026-08-15</x:v>
      </x:c>
      <x:c r="AO101" s="30" t="str">
        <x:v>+31 544-464142</x:v>
      </x:c>
      <x:c r="AP101" s="30" t="str">
        <x:v>Current NGF/GOLF.NL listing: 18 holes, par 54, 900 metres. Combined from exact NGF-listed constituent nine-hole loops: 1ste negen (9 holes, par 27, 450 m); 2de negen (9 holes, par 27, 450 m) Listed as non-qualifying.</x:v>
      </x:c>
    </x:row>
    <x:row r="102">
      <x:c r="A102" s="30" t="str">
        <x:v>NL-C0061</x:v>
      </x:c>
      <x:c r="B102" s="30" t="str">
        <x:v>NL-0101</x:v>
      </x:c>
      <x:c r="C102" s="30" t="str">
        <x:v>The Dutch — Main Course</x:v>
      </x:c>
      <x:c r="D102" s="30" t="str">
        <x:v>The Dutch</x:v>
      </x:c>
      <x:c r="E102" s="30" t="str">
        <x:v>Main Course</x:v>
      </x:c>
      <x:c r="F102" s="30" t="str">
        <x:v>Netherlands</x:v>
      </x:c>
      <x:c r="G102" s="30" t="str">
        <x:v>Gelderland</x:v>
      </x:c>
      <x:c r="H102" s="30" t="str">
        <x:v>West Betuwe</x:v>
      </x:c>
      <x:c r="I102" s="30" t="str">
        <x:v>Spijk</x:v>
      </x:c>
      <x:c r="J102" s="30" t="str">
        <x:v>Haarweg 3</x:v>
      </x:c>
      <x:c r="K102" s="30" t="str">
        <x:v>4212 KJ</x:v>
      </x:c>
      <x:c r="L102" s="32" t="n">
        <x:v>51.85019487</x:v>
      </x:c>
      <x:c r="M102" s="32" t="n">
        <x:v>5.01996118</x:v>
      </x:c>
      <x:c r="N102" s="30" t="str">
        <x:v>WGS84 / EPSG:4326</x:v>
      </x:c>
      <x:c r="O102" s="30" t="str">
        <x:v>Verified BAG address point via PDOK</x:v>
      </x:c>
      <x:c r="P102" s="30" t="str">
        <x:v>2026-08-15</x:v>
      </x:c>
      <x:c r="Q102" s="33" t="n">
        <x:f>IF(R102="","",ROUND(R102/0.9144,0))</x:f>
        <x:v>6924</x:v>
      </x:c>
      <x:c r="R102" s="33" t="n">
        <x:v>6331</x:v>
      </x:c>
      <x:c r="S102" s="33" t="n">
        <x:v>18</x:v>
      </x:c>
      <x:c r="T102" s="33" t="n">
        <x:v>71</x:v>
      </x:c>
      <x:c r="U102" s="30" t="str">
        <x:v>Full-length course</x:v>
      </x:c>
      <x:c r="V102" s="30"/>
      <x:c r="W102" s="30"/>
      <x:c r="X102" s="30"/>
      <x:c r="Y102" s="30" t="str">
        <x:v>https://thedutch.nl/</x:v>
      </x:c>
      <x:c r="Z102" s="30" t="b">
        <x:f>IF(AND(F102="Netherlands",ISNUMBER(L102),ISNUMBER(M102),L102&gt;=50.7,L102&lt;=53.7,M102&gt;=3.2,M102&lt;=7.3,AC102&lt;&gt;"Closed"),TRUE,FALSE)</x:f>
        <x:v>1</x:v>
      </x:c>
      <x:c r="AA102" s="30" t="b">
        <x:f>Z102</x:f>
        <x:v>1</x:v>
      </x:c>
      <x:c r="AB102" s="30" t="str">
        <x:f>IF(Z102,"verified_coordinate_and_open","not_map_ready")</x:f>
        <x:v>verified_coordinate_and_open</x:v>
      </x:c>
      <x:c r="AC102" s="30" t="str">
        <x:v>Open</x:v>
      </x:c>
      <x:c r="AD102" s="30" t="str">
        <x:v>Public — handicap 54 or lower</x:v>
      </x:c>
      <x:c r="AE102" s="31" t="b">
        <x:v>1</x:v>
      </x:c>
      <x:c r="AF102" s="31" t="b">
        <x:v>0</x:v>
      </x:c>
      <x:c r="AG102" s="30"/>
      <x:c r="AH102" s="30"/>
      <x:c r="AI102" s="30"/>
      <x:c r="AJ102" s="31" t="b">
        <x:v>0</x:v>
      </x:c>
      <x:c r="AK102" s="31" t="b">
        <x:v>0</x:v>
      </x:c>
      <x:c r="AL102" s="30" t="str">
        <x:v>Verified — national register and exact BAG address</x:v>
      </x:c>
      <x:c r="AM102" s="30" t="str">
        <x:v>https://www.golf.nl/de-baan-op/banenzoeker/overzicht</x:v>
      </x:c>
      <x:c r="AN102" s="30" t="str">
        <x:v>2026-08-15</x:v>
      </x:c>
      <x:c r="AO102" s="30" t="str">
        <x:v>+31 88-3399120</x:v>
      </x:c>
      <x:c r="AP102" s="30" t="str">
        <x:v>Current NGF/GOLF.NL listing: 18 holes, par 71, 6331 metres. Combined from exact NGF-listed constituent nine-hole loops: 1ste negen (9 holes, par 35, 3048 m); 2de negen (9 holes, par 36, 3283 m) Listed as qualifying.</x:v>
      </x:c>
    </x:row>
    <x:row r="103">
      <x:c r="A103" s="30" t="str">
        <x:v>NL-C0062</x:v>
      </x:c>
      <x:c r="B103" s="30" t="str">
        <x:v>NL-0102</x:v>
      </x:c>
      <x:c r="C103" s="30" t="str">
        <x:v>The Links Valley — North</x:v>
      </x:c>
      <x:c r="D103" s="30" t="str">
        <x:v>The Links Valley</x:v>
      </x:c>
      <x:c r="E103" s="30" t="str">
        <x:v>North</x:v>
      </x:c>
      <x:c r="F103" s="30" t="str">
        <x:v>Netherlands</x:v>
      </x:c>
      <x:c r="G103" s="30" t="str">
        <x:v>Gelderland</x:v>
      </x:c>
      <x:c r="H103" s="30" t="str">
        <x:v>Ermelo</x:v>
      </x:c>
      <x:c r="I103" s="30" t="str">
        <x:v>Ermelo</x:v>
      </x:c>
      <x:c r="J103" s="30" t="str">
        <x:v>Jhr. dr. C.J. Sandbergweg 117</x:v>
      </x:c>
      <x:c r="K103" s="30" t="str">
        <x:v>3852 PT</x:v>
      </x:c>
      <x:c r="L103" s="32" t="n">
        <x:v>52.30176488</x:v>
      </x:c>
      <x:c r="M103" s="32" t="n">
        <x:v>5.68989305</x:v>
      </x:c>
      <x:c r="N103" s="30" t="str">
        <x:v>WGS84 / EPSG:4326</x:v>
      </x:c>
      <x:c r="O103" s="30" t="str">
        <x:v>Verified BAG address point via PDOK</x:v>
      </x:c>
      <x:c r="P103" s="30" t="str">
        <x:v>2026-08-15</x:v>
      </x:c>
      <x:c r="Q103" s="33" t="n">
        <x:f>IF(R103="","",ROUND(R103/0.9144,0))</x:f>
        <x:v>3234</x:v>
      </x:c>
      <x:c r="R103" s="33" t="n">
        <x:v>2957</x:v>
      </x:c>
      <x:c r="S103" s="33" t="n">
        <x:v>9</x:v>
      </x:c>
      <x:c r="T103" s="33" t="n">
        <x:v>35</x:v>
      </x:c>
      <x:c r="U103" s="30" t="str">
        <x:v>Full-length course</x:v>
      </x:c>
      <x:c r="V103" s="30"/>
      <x:c r="W103" s="30"/>
      <x:c r="X103" s="30"/>
      <x:c r="Y103" s="30" t="str">
        <x:v>https://www.thelinksvalley.nl/</x:v>
      </x:c>
      <x:c r="Z103" s="30" t="b">
        <x:f>IF(AND(F103="Netherlands",ISNUMBER(L103),ISNUMBER(M103),L103&gt;=50.7,L103&lt;=53.7,M103&gt;=3.2,M103&lt;=7.3,AC103&lt;&gt;"Closed"),TRUE,FALSE)</x:f>
        <x:v>1</x:v>
      </x:c>
      <x:c r="AA103" s="30" t="b">
        <x:f>Z103</x:f>
        <x:v>1</x:v>
      </x:c>
      <x:c r="AB103" s="30" t="str">
        <x:f>IF(Z103,"verified_coordinate_and_open","not_map_ready")</x:f>
        <x:v>verified_coordinate_and_open</x:v>
      </x:c>
      <x:c r="AC103" s="30" t="str">
        <x:v>Open</x:v>
      </x:c>
      <x:c r="AD103" s="30" t="str">
        <x:v>Public — handicap 45 or lower</x:v>
      </x:c>
      <x:c r="AE103" s="31" t="b">
        <x:v>1</x:v>
      </x:c>
      <x:c r="AF103" s="31" t="b">
        <x:v>0</x:v>
      </x:c>
      <x:c r="AG103" s="30"/>
      <x:c r="AH103" s="30"/>
      <x:c r="AI103" s="30"/>
      <x:c r="AJ103" s="31" t="b">
        <x:v>0</x:v>
      </x:c>
      <x:c r="AK103" s="31" t="b">
        <x:v>0</x:v>
      </x:c>
      <x:c r="AL103" s="30" t="str">
        <x:v>Verified — national register and exact BAG address</x:v>
      </x:c>
      <x:c r="AM103" s="30" t="str">
        <x:v>https://www.golf.nl/de-baan-op/banenzoeker/overzicht</x:v>
      </x:c>
      <x:c r="AN103" s="30" t="str">
        <x:v>2026-08-15</x:v>
      </x:c>
      <x:c r="AO103" s="30" t="str">
        <x:v>+31 88-3523000</x:v>
      </x:c>
      <x:c r="AP103" s="30" t="str">
        <x:v>Current NGF/GOLF.NL listing: 9 holes, par 35, 2957 metres. Listed as qualifying.</x:v>
      </x:c>
    </x:row>
    <x:row r="104">
      <x:c r="A104" s="30" t="str">
        <x:v>NL-C0062</x:v>
      </x:c>
      <x:c r="B104" s="30" t="str">
        <x:v>NL-0103</x:v>
      </x:c>
      <x:c r="C104" s="30" t="str">
        <x:v>The Links Valley — South</x:v>
      </x:c>
      <x:c r="D104" s="30" t="str">
        <x:v>The Links Valley</x:v>
      </x:c>
      <x:c r="E104" s="30" t="str">
        <x:v>South</x:v>
      </x:c>
      <x:c r="F104" s="30" t="str">
        <x:v>Netherlands</x:v>
      </x:c>
      <x:c r="G104" s="30" t="str">
        <x:v>Gelderland</x:v>
      </x:c>
      <x:c r="H104" s="30" t="str">
        <x:v>Ermelo</x:v>
      </x:c>
      <x:c r="I104" s="30" t="str">
        <x:v>Ermelo</x:v>
      </x:c>
      <x:c r="J104" s="30" t="str">
        <x:v>Jhr. dr. C.J. Sandbergweg 117</x:v>
      </x:c>
      <x:c r="K104" s="30" t="str">
        <x:v>3852 PT</x:v>
      </x:c>
      <x:c r="L104" s="32" t="n">
        <x:v>52.30176488</x:v>
      </x:c>
      <x:c r="M104" s="32" t="n">
        <x:v>5.68989305</x:v>
      </x:c>
      <x:c r="N104" s="30" t="str">
        <x:v>WGS84 / EPSG:4326</x:v>
      </x:c>
      <x:c r="O104" s="30" t="str">
        <x:v>Verified BAG address point via PDOK</x:v>
      </x:c>
      <x:c r="P104" s="30" t="str">
        <x:v>2026-08-15</x:v>
      </x:c>
      <x:c r="Q104" s="33" t="n">
        <x:f>IF(R104="","",ROUND(R104/0.9144,0))</x:f>
        <x:v>3272</x:v>
      </x:c>
      <x:c r="R104" s="33" t="n">
        <x:v>2992</x:v>
      </x:c>
      <x:c r="S104" s="33" t="n">
        <x:v>9</x:v>
      </x:c>
      <x:c r="T104" s="33" t="n">
        <x:v>35</x:v>
      </x:c>
      <x:c r="U104" s="30" t="str">
        <x:v>Full-length course</x:v>
      </x:c>
      <x:c r="V104" s="30"/>
      <x:c r="W104" s="30"/>
      <x:c r="X104" s="30"/>
      <x:c r="Y104" s="30" t="str">
        <x:v>https://www.thelinksvalley.nl/</x:v>
      </x:c>
      <x:c r="Z104" s="30" t="b">
        <x:f>IF(AND(F104="Netherlands",ISNUMBER(L104),ISNUMBER(M104),L104&gt;=50.7,L104&lt;=53.7,M104&gt;=3.2,M104&lt;=7.3,AC104&lt;&gt;"Closed"),TRUE,FALSE)</x:f>
        <x:v>1</x:v>
      </x:c>
      <x:c r="AA104" s="30" t="b">
        <x:f>Z104</x:f>
        <x:v>1</x:v>
      </x:c>
      <x:c r="AB104" s="30" t="str">
        <x:f>IF(Z104,"verified_coordinate_and_open","not_map_ready")</x:f>
        <x:v>verified_coordinate_and_open</x:v>
      </x:c>
      <x:c r="AC104" s="30" t="str">
        <x:v>Open</x:v>
      </x:c>
      <x:c r="AD104" s="30" t="str">
        <x:v>Public — handicap 45 or lower</x:v>
      </x:c>
      <x:c r="AE104" s="31" t="b">
        <x:v>1</x:v>
      </x:c>
      <x:c r="AF104" s="31" t="b">
        <x:v>0</x:v>
      </x:c>
      <x:c r="AG104" s="30"/>
      <x:c r="AH104" s="30"/>
      <x:c r="AI104" s="30"/>
      <x:c r="AJ104" s="31" t="b">
        <x:v>0</x:v>
      </x:c>
      <x:c r="AK104" s="31" t="b">
        <x:v>0</x:v>
      </x:c>
      <x:c r="AL104" s="30" t="str">
        <x:v>Verified — national register and exact BAG address</x:v>
      </x:c>
      <x:c r="AM104" s="30" t="str">
        <x:v>https://www.golf.nl/de-baan-op/banenzoeker/overzicht</x:v>
      </x:c>
      <x:c r="AN104" s="30" t="str">
        <x:v>2026-08-15</x:v>
      </x:c>
      <x:c r="AO104" s="30" t="str">
        <x:v>+31 88-3523000</x:v>
      </x:c>
      <x:c r="AP104" s="30" t="str">
        <x:v>Current NGF/GOLF.NL listing: 9 holes, par 35, 2992 metres. Listed as qualifying.</x:v>
      </x:c>
    </x:row>
    <x:row r="105">
      <x:c r="A105" s="30" t="str">
        <x:v>NL-C0063</x:v>
      </x:c>
      <x:c r="B105" s="30" t="str">
        <x:v>NL-0104</x:v>
      </x:c>
      <x:c r="C105" s="30" t="str">
        <x:v>Veluwse Golfclub</x:v>
      </x:c>
      <x:c r="D105" s="30" t="str">
        <x:v>Veluwse Golfclub</x:v>
      </x:c>
      <x:c r="E105" s="30" t="str">
        <x:v>Course</x:v>
      </x:c>
      <x:c r="F105" s="30" t="str">
        <x:v>Netherlands</x:v>
      </x:c>
      <x:c r="G105" s="30" t="str">
        <x:v>Gelderland</x:v>
      </x:c>
      <x:c r="H105" s="30" t="str">
        <x:v>Apeldoorn</x:v>
      </x:c>
      <x:c r="I105" s="30" t="str">
        <x:v>Hoog Soeren</x:v>
      </x:c>
      <x:c r="J105" s="30" t="str">
        <x:v>Hoog Soeren 57</x:v>
      </x:c>
      <x:c r="K105" s="30" t="str">
        <x:v>7346 AC</x:v>
      </x:c>
      <x:c r="L105" s="32" t="n">
        <x:v>52.21730355</x:v>
      </x:c>
      <x:c r="M105" s="32" t="n">
        <x:v>5.87109901</x:v>
      </x:c>
      <x:c r="N105" s="30" t="str">
        <x:v>WGS84 / EPSG:4326</x:v>
      </x:c>
      <x:c r="O105" s="30" t="str">
        <x:v>Verified BAG address point via PDOK</x:v>
      </x:c>
      <x:c r="P105" s="30" t="str">
        <x:v>2026-08-15</x:v>
      </x:c>
      <x:c r="Q105" s="33" t="n">
        <x:f>IF(R105="","",ROUND(R105/0.9144,0))</x:f>
        <x:v>3105</x:v>
      </x:c>
      <x:c r="R105" s="33" t="n">
        <x:v>2839</x:v>
      </x:c>
      <x:c r="S105" s="33" t="n">
        <x:v>9</x:v>
      </x:c>
      <x:c r="T105" s="33" t="n">
        <x:v>36</x:v>
      </x:c>
      <x:c r="U105" s="30" t="str">
        <x:v>Full-length course</x:v>
      </x:c>
      <x:c r="V105" s="30"/>
      <x:c r="W105" s="30"/>
      <x:c r="X105" s="30"/>
      <x:c r="Y105" s="30" t="str">
        <x:v>https://veluwsegolfclub.nl/</x:v>
      </x:c>
      <x:c r="Z105" s="30" t="b">
        <x:f>IF(AND(F105="Netherlands",ISNUMBER(L105),ISNUMBER(M105),L105&gt;=50.7,L105&lt;=53.7,M105&gt;=3.2,M105&lt;=7.3,AC105&lt;&gt;"Closed"),TRUE,FALSE)</x:f>
        <x:v>1</x:v>
      </x:c>
      <x:c r="AA105" s="30" t="b">
        <x:f>Z105</x:f>
        <x:v>1</x:v>
      </x:c>
      <x:c r="AB105" s="30" t="str">
        <x:f>IF(Z105,"verified_coordinate_and_open","not_map_ready")</x:f>
        <x:v>verified_coordinate_and_open</x:v>
      </x:c>
      <x:c r="AC105" s="30" t="str">
        <x:v>Open</x:v>
      </x:c>
      <x:c r="AD105" s="30" t="str">
        <x:v>Public — handicap 28 or lower</x:v>
      </x:c>
      <x:c r="AE105" s="31" t="b">
        <x:v>1</x:v>
      </x:c>
      <x:c r="AF105" s="31" t="b">
        <x:v>0</x:v>
      </x:c>
      <x:c r="AG105" s="30"/>
      <x:c r="AH105" s="30"/>
      <x:c r="AI105" s="30"/>
      <x:c r="AJ105" s="31" t="b">
        <x:v>0</x:v>
      </x:c>
      <x:c r="AK105" s="31" t="b">
        <x:v>0</x:v>
      </x:c>
      <x:c r="AL105" s="30" t="str">
        <x:v>Verified — national register and exact BAG address</x:v>
      </x:c>
      <x:c r="AM105" s="30" t="str">
        <x:v>https://www.golf.nl/de-baan-op/banenzoeker/overzicht</x:v>
      </x:c>
      <x:c r="AN105" s="30" t="str">
        <x:v>2026-08-15</x:v>
      </x:c>
      <x:c r="AO105" s="30" t="str">
        <x:v>+31 55-5191275</x:v>
      </x:c>
      <x:c r="AP105" s="30" t="str">
        <x:v>Current NGF/GOLF.NL listing: 9 holes, par 36, 2839 metres. Listed as qualifying.</x:v>
      </x:c>
    </x:row>
    <x:row r="106">
      <x:c r="A106" s="30" t="str">
        <x:v>NL-C0064</x:v>
      </x:c>
      <x:c r="B106" s="30" t="str">
        <x:v>NL-0105</x:v>
      </x:c>
      <x:c r="C106" s="30" t="str">
        <x:v>Wageningse Golfclub</x:v>
      </x:c>
      <x:c r="D106" s="30" t="str">
        <x:v>Wageningse Golfclub</x:v>
      </x:c>
      <x:c r="E106" s="30" t="str">
        <x:v>Course</x:v>
      </x:c>
      <x:c r="F106" s="30" t="str">
        <x:v>Netherlands</x:v>
      </x:c>
      <x:c r="G106" s="30" t="str">
        <x:v>Gelderland</x:v>
      </x:c>
      <x:c r="H106" s="30" t="str">
        <x:v>Wageningen</x:v>
      </x:c>
      <x:c r="I106" s="30" t="str">
        <x:v>Wageningen</x:v>
      </x:c>
      <x:c r="J106" s="30" t="str">
        <x:v>Sportpark De Zoom Zoomweg 10</x:v>
      </x:c>
      <x:c r="K106" s="30" t="str">
        <x:v>6704 PE</x:v>
      </x:c>
      <x:c r="L106" s="32" t="n">
        <x:v>51.97893433</x:v>
      </x:c>
      <x:c r="M106" s="32" t="n">
        <x:v>5.69244014</x:v>
      </x:c>
      <x:c r="N106" s="30" t="str">
        <x:v>WGS84 / EPSG:4326</x:v>
      </x:c>
      <x:c r="O106" s="30" t="str">
        <x:v>Verified BAG address point via PDOK</x:v>
      </x:c>
      <x:c r="P106" s="30" t="str">
        <x:v>2026-08-15</x:v>
      </x:c>
      <x:c r="Q106" s="33" t="n">
        <x:f>IF(R106="","",ROUND(R106/0.9144,0))</x:f>
        <x:v>1521</x:v>
      </x:c>
      <x:c r="R106" s="33" t="n">
        <x:v>1391</x:v>
      </x:c>
      <x:c r="S106" s="33" t="n">
        <x:v>9</x:v>
      </x:c>
      <x:c r="T106" s="33" t="n">
        <x:v>30</x:v>
      </x:c>
      <x:c r="U106" s="30" t="str">
        <x:v>Par-3/4 course</x:v>
      </x:c>
      <x:c r="V106" s="30"/>
      <x:c r="W106" s="30"/>
      <x:c r="X106" s="30"/>
      <x:c r="Y106" s="30" t="str">
        <x:v>https://wageningsegolfclub.nl/</x:v>
      </x:c>
      <x:c r="Z106" s="30" t="b">
        <x:f>IF(AND(F106="Netherlands",ISNUMBER(L106),ISNUMBER(M106),L106&gt;=50.7,L106&lt;=53.7,M106&gt;=3.2,M106&lt;=7.3,AC106&lt;&gt;"Closed"),TRUE,FALSE)</x:f>
        <x:v>1</x:v>
      </x:c>
      <x:c r="AA106" s="30" t="b">
        <x:f>Z106</x:f>
        <x:v>1</x:v>
      </x:c>
      <x:c r="AB106" s="30" t="str">
        <x:f>IF(Z106,"verified_coordinate_and_open","not_map_ready")</x:f>
        <x:v>verified_coordinate_and_open</x:v>
      </x:c>
      <x:c r="AC106" s="30" t="str">
        <x:v>Open</x:v>
      </x:c>
      <x:c r="AD106" s="30" t="str">
        <x:v>Public — handicap 54 or lower</x:v>
      </x:c>
      <x:c r="AE106" s="31" t="b">
        <x:v>1</x:v>
      </x:c>
      <x:c r="AF106" s="31" t="b">
        <x:v>0</x:v>
      </x:c>
      <x:c r="AG106" s="30"/>
      <x:c r="AH106" s="30"/>
      <x:c r="AI106" s="30"/>
      <x:c r="AJ106" s="31" t="b">
        <x:v>0</x:v>
      </x:c>
      <x:c r="AK106" s="31" t="b">
        <x:v>0</x:v>
      </x:c>
      <x:c r="AL106" s="30" t="str">
        <x:v>Verified — national register and exact BAG address</x:v>
      </x:c>
      <x:c r="AM106" s="30" t="str">
        <x:v>https://www.golf.nl/de-baan-op/banenzoeker/overzicht</x:v>
      </x:c>
      <x:c r="AN106" s="30" t="str">
        <x:v>2026-08-15</x:v>
      </x:c>
      <x:c r="AO106" s="30" t="str">
        <x:v>+31 317-350315</x:v>
      </x:c>
      <x:c r="AP106" s="30" t="str">
        <x:v>Current NGF/GOLF.NL listing: 9 holes, par 30, 1391 metres. Listed as qualifying.</x:v>
      </x:c>
    </x:row>
    <x:row r="107">
      <x:c r="A107" s="30" t="str">
        <x:v>NL-C0065</x:v>
      </x:c>
      <x:c r="B107" s="30" t="str">
        <x:v>NL-0106</x:v>
      </x:c>
      <x:c r="C107" s="30" t="str">
        <x:v>Golf &amp; Country Makkeveld</x:v>
      </x:c>
      <x:c r="D107" s="30" t="str">
        <x:v>Golf &amp; Country Makkeveld</x:v>
      </x:c>
      <x:c r="E107" s="30" t="str">
        <x:v>Course</x:v>
      </x:c>
      <x:c r="F107" s="30" t="str">
        <x:v>Netherlands</x:v>
      </x:c>
      <x:c r="G107" s="30" t="str">
        <x:v>Groningen</x:v>
      </x:c>
      <x:c r="H107" s="30" t="str">
        <x:v>Eemsdelta</x:v>
      </x:c>
      <x:c r="I107" s="30" t="str">
        <x:v>Losdorp</x:v>
      </x:c>
      <x:c r="J107" s="30" t="str">
        <x:v>Schafferweg 29</x:v>
      </x:c>
      <x:c r="K107" s="30" t="str">
        <x:v>9907 TA</x:v>
      </x:c>
      <x:c r="L107" s="32" t="n">
        <x:v>53.37243071</x:v>
      </x:c>
      <x:c r="M107" s="32" t="n">
        <x:v>6.84446911</x:v>
      </x:c>
      <x:c r="N107" s="30" t="str">
        <x:v>WGS84 / EPSG:4326</x:v>
      </x:c>
      <x:c r="O107" s="30" t="str">
        <x:v>Verified BAG address point via PDOK</x:v>
      </x:c>
      <x:c r="P107" s="30" t="str">
        <x:v>2026-08-15</x:v>
      </x:c>
      <x:c r="Q107" s="33" t="n">
        <x:f>IF(R107="","",ROUND(R107/0.9144,0))</x:f>
        <x:v>941</x:v>
      </x:c>
      <x:c r="R107" s="33" t="n">
        <x:v>860</x:v>
      </x:c>
      <x:c r="S107" s="33" t="n">
        <x:v>9</x:v>
      </x:c>
      <x:c r="T107" s="33" t="n">
        <x:v>27</x:v>
      </x:c>
      <x:c r="U107" s="30" t="str">
        <x:v>Par-3 course</x:v>
      </x:c>
      <x:c r="V107" s="30"/>
      <x:c r="W107" s="30"/>
      <x:c r="X107" s="30"/>
      <x:c r="Y107" s="30" t="str">
        <x:v>https://www.golf.nl/banen-en-clubs/waar-kan-ik-golfen/731/makkeveld</x:v>
      </x:c>
      <x:c r="Z107" s="30" t="b">
        <x:f>IF(AND(F107="Netherlands",ISNUMBER(L107),ISNUMBER(M107),L107&gt;=50.7,L107&lt;=53.7,M107&gt;=3.2,M107&lt;=7.3,AC107&lt;&gt;"Closed"),TRUE,FALSE)</x:f>
        <x:v>1</x:v>
      </x:c>
      <x:c r="AA107" s="30" t="b">
        <x:f>Z107</x:f>
        <x:v>1</x:v>
      </x:c>
      <x:c r="AB107" s="30" t="str">
        <x:f>IF(Z107,"verified_coordinate_and_open","not_map_ready")</x:f>
        <x:v>verified_coordinate_and_open</x:v>
      </x:c>
      <x:c r="AC107" s="30" t="str">
        <x:v>Open</x:v>
      </x:c>
      <x:c r="AD107" s="30" t="str">
        <x:v>Public — no playing requirement</x:v>
      </x:c>
      <x:c r="AE107" s="31" t="b">
        <x:v>0</x:v>
      </x:c>
      <x:c r="AF107" s="31" t="b">
        <x:v>0</x:v>
      </x:c>
      <x:c r="AG107" s="30"/>
      <x:c r="AH107" s="30"/>
      <x:c r="AI107" s="30"/>
      <x:c r="AJ107" s="31" t="b">
        <x:v>0</x:v>
      </x:c>
      <x:c r="AK107" s="31" t="b">
        <x:v>0</x:v>
      </x:c>
      <x:c r="AL107" s="30" t="str">
        <x:v>Verified — national register and exact BAG address</x:v>
      </x:c>
      <x:c r="AM107" s="30" t="str">
        <x:v>https://www.golf.nl/de-baan-op/banenzoeker/overzicht</x:v>
      </x:c>
      <x:c r="AN107" s="30" t="str">
        <x:v>2026-08-15</x:v>
      </x:c>
      <x:c r="AO107" s="30"/>
      <x:c r="AP107" s="30" t="str">
        <x:v>Current NGF/GOLF.NL listing: 9 holes, par 27, 860 metres. Listed as non-qualifying.</x:v>
      </x:c>
    </x:row>
    <x:row r="108">
      <x:c r="A108" s="30" t="str">
        <x:v>NL-C0066</x:v>
      </x:c>
      <x:c r="B108" s="30" t="str">
        <x:v>NL-0107</x:v>
      </x:c>
      <x:c r="C108" s="30" t="str">
        <x:v>Golfclub De Compagnie — Main Course</x:v>
      </x:c>
      <x:c r="D108" s="30" t="str">
        <x:v>Golfclub De Compagnie</x:v>
      </x:c>
      <x:c r="E108" s="30" t="str">
        <x:v>Main Course</x:v>
      </x:c>
      <x:c r="F108" s="30" t="str">
        <x:v>Netherlands</x:v>
      </x:c>
      <x:c r="G108" s="30" t="str">
        <x:v>Groningen</x:v>
      </x:c>
      <x:c r="H108" s="30" t="str">
        <x:v>Veendam</x:v>
      </x:c>
      <x:c r="I108" s="30" t="str">
        <x:v>Veendam</x:v>
      </x:c>
      <x:c r="J108" s="30" t="str">
        <x:v>Golflaan 1</x:v>
      </x:c>
      <x:c r="K108" s="30" t="str">
        <x:v>9646 DS</x:v>
      </x:c>
      <x:c r="L108" s="32" t="n">
        <x:v>53.11569331</x:v>
      </x:c>
      <x:c r="M108" s="32" t="n">
        <x:v>6.84392971</x:v>
      </x:c>
      <x:c r="N108" s="30" t="str">
        <x:v>WGS84 / EPSG:4326</x:v>
      </x:c>
      <x:c r="O108" s="30" t="str">
        <x:v>Verified BAG address point via PDOK</x:v>
      </x:c>
      <x:c r="P108" s="30" t="str">
        <x:v>2026-08-15</x:v>
      </x:c>
      <x:c r="Q108" s="33" t="n">
        <x:f>IF(R108="","",ROUND(R108/0.9144,0))</x:f>
        <x:v>6884</x:v>
      </x:c>
      <x:c r="R108" s="33" t="n">
        <x:v>6295</x:v>
      </x:c>
      <x:c r="S108" s="33" t="n">
        <x:v>18</x:v>
      </x:c>
      <x:c r="T108" s="33" t="n">
        <x:v>72</x:v>
      </x:c>
      <x:c r="U108" s="30" t="str">
        <x:v>Full-length course</x:v>
      </x:c>
      <x:c r="V108" s="30"/>
      <x:c r="W108" s="30"/>
      <x:c r="X108" s="30"/>
      <x:c r="Y108" s="30" t="str">
        <x:v>https://www.gcdecompagnie.nl/</x:v>
      </x:c>
      <x:c r="Z108" s="30" t="b">
        <x:f>IF(AND(F108="Netherlands",ISNUMBER(L108),ISNUMBER(M108),L108&gt;=50.7,L108&lt;=53.7,M108&gt;=3.2,M108&lt;=7.3,AC108&lt;&gt;"Closed"),TRUE,FALSE)</x:f>
        <x:v>1</x:v>
      </x:c>
      <x:c r="AA108" s="30" t="b">
        <x:f>Z108</x:f>
        <x:v>1</x:v>
      </x:c>
      <x:c r="AB108" s="30" t="str">
        <x:f>IF(Z108,"verified_coordinate_and_open","not_map_ready")</x:f>
        <x:v>verified_coordinate_and_open</x:v>
      </x:c>
      <x:c r="AC108" s="30" t="str">
        <x:v>Open</x:v>
      </x:c>
      <x:c r="AD108" s="30" t="str">
        <x:v>Public — handicap 54 or lower</x:v>
      </x:c>
      <x:c r="AE108" s="31" t="b">
        <x:v>1</x:v>
      </x:c>
      <x:c r="AF108" s="31" t="b">
        <x:v>0</x:v>
      </x:c>
      <x:c r="AG108" s="30"/>
      <x:c r="AH108" s="30"/>
      <x:c r="AI108" s="30"/>
      <x:c r="AJ108" s="31" t="b">
        <x:v>0</x:v>
      </x:c>
      <x:c r="AK108" s="31" t="b">
        <x:v>0</x:v>
      </x:c>
      <x:c r="AL108" s="30" t="str">
        <x:v>Verified — national register and exact BAG address</x:v>
      </x:c>
      <x:c r="AM108" s="30" t="str">
        <x:v>https://www.golf.nl/de-baan-op/banenzoeker/overzicht</x:v>
      </x:c>
      <x:c r="AN108" s="30" t="str">
        <x:v>2026-08-15</x:v>
      </x:c>
      <x:c r="AO108" s="30" t="str">
        <x:v>+31 598-625272</x:v>
      </x:c>
      <x:c r="AP108" s="30" t="str">
        <x:v>Current NGF/GOLF.NL listing: 18 holes, par 72, 6295 metres. Combined from exact NGF-listed constituent nine-hole loops: 1ste negen (9 holes, par 36, 3082 m); 2de negen (9 holes, par 36, 3213 m) Listed as qualifying.</x:v>
      </x:c>
    </x:row>
    <x:row r="109">
      <x:c r="A109" s="30" t="str">
        <x:v>NL-C0066</x:v>
      </x:c>
      <x:c r="B109" s="30" t="str">
        <x:v>NL-0108</x:v>
      </x:c>
      <x:c r="C109" s="30" t="str">
        <x:v>Golfclub De Compagnie — Par-3 Course</x:v>
      </x:c>
      <x:c r="D109" s="30" t="str">
        <x:v>Golfclub De Compagnie</x:v>
      </x:c>
      <x:c r="E109" s="30" t="str">
        <x:v>Par-3 Course</x:v>
      </x:c>
      <x:c r="F109" s="30" t="str">
        <x:v>Netherlands</x:v>
      </x:c>
      <x:c r="G109" s="30" t="str">
        <x:v>Groningen</x:v>
      </x:c>
      <x:c r="H109" s="30" t="str">
        <x:v>Veendam</x:v>
      </x:c>
      <x:c r="I109" s="30" t="str">
        <x:v>Veendam</x:v>
      </x:c>
      <x:c r="J109" s="30" t="str">
        <x:v>Golflaan 1</x:v>
      </x:c>
      <x:c r="K109" s="30" t="str">
        <x:v>9646 DS</x:v>
      </x:c>
      <x:c r="L109" s="32" t="n">
        <x:v>53.11569331</x:v>
      </x:c>
      <x:c r="M109" s="32" t="n">
        <x:v>6.84392971</x:v>
      </x:c>
      <x:c r="N109" s="30" t="str">
        <x:v>WGS84 / EPSG:4326</x:v>
      </x:c>
      <x:c r="O109" s="30" t="str">
        <x:v>Verified BAG address point via PDOK</x:v>
      </x:c>
      <x:c r="P109" s="30" t="str">
        <x:v>2026-08-15</x:v>
      </x:c>
      <x:c r="Q109" s="33" t="n">
        <x:f>IF(R109="","",ROUND(R109/0.9144,0))</x:f>
        <x:v>852</x:v>
      </x:c>
      <x:c r="R109" s="33" t="n">
        <x:v>779</x:v>
      </x:c>
      <x:c r="S109" s="33" t="n">
        <x:v>9</x:v>
      </x:c>
      <x:c r="T109" s="33" t="n">
        <x:v>27</x:v>
      </x:c>
      <x:c r="U109" s="30" t="str">
        <x:v>Par-3 course</x:v>
      </x:c>
      <x:c r="V109" s="30"/>
      <x:c r="W109" s="30"/>
      <x:c r="X109" s="30"/>
      <x:c r="Y109" s="30" t="str">
        <x:v>https://www.gcdecompagnie.nl/</x:v>
      </x:c>
      <x:c r="Z109" s="30" t="b">
        <x:f>IF(AND(F109="Netherlands",ISNUMBER(L109),ISNUMBER(M109),L109&gt;=50.7,L109&lt;=53.7,M109&gt;=3.2,M109&lt;=7.3,AC109&lt;&gt;"Closed"),TRUE,FALSE)</x:f>
        <x:v>1</x:v>
      </x:c>
      <x:c r="AA109" s="30" t="b">
        <x:f>Z109</x:f>
        <x:v>1</x:v>
      </x:c>
      <x:c r="AB109" s="30" t="str">
        <x:f>IF(Z109,"verified_coordinate_and_open","not_map_ready")</x:f>
        <x:v>verified_coordinate_and_open</x:v>
      </x:c>
      <x:c r="AC109" s="30" t="str">
        <x:v>Open</x:v>
      </x:c>
      <x:c r="AD109" s="30" t="str">
        <x:v>Public — NGF course permission</x:v>
      </x:c>
      <x:c r="AE109" s="31" t="b">
        <x:v>1</x:v>
      </x:c>
      <x:c r="AF109" s="31" t="b">
        <x:v>0</x:v>
      </x:c>
      <x:c r="AG109" s="30"/>
      <x:c r="AH109" s="30"/>
      <x:c r="AI109" s="30"/>
      <x:c r="AJ109" s="31" t="b">
        <x:v>0</x:v>
      </x:c>
      <x:c r="AK109" s="31" t="b">
        <x:v>0</x:v>
      </x:c>
      <x:c r="AL109" s="30" t="str">
        <x:v>Verified — national register and exact BAG address</x:v>
      </x:c>
      <x:c r="AM109" s="30" t="str">
        <x:v>https://www.golf.nl/de-baan-op/banenzoeker/overzicht</x:v>
      </x:c>
      <x:c r="AN109" s="30" t="str">
        <x:v>2026-08-15</x:v>
      </x:c>
      <x:c r="AO109" s="30" t="str">
        <x:v>+31 598-625272</x:v>
      </x:c>
      <x:c r="AP109" s="30" t="str">
        <x:v>Current NGF/GOLF.NL listing: 9 holes, par 27, 779 metres. Listed as qualifying.</x:v>
      </x:c>
    </x:row>
    <x:row r="110">
      <x:c r="A110" s="30" t="str">
        <x:v>NL-C0067</x:v>
      </x:c>
      <x:c r="B110" s="30" t="str">
        <x:v>NL-0109</x:v>
      </x:c>
      <x:c r="C110" s="30" t="str">
        <x:v>Golfclub Westerwolde</x:v>
      </x:c>
      <x:c r="D110" s="30" t="str">
        <x:v>Golfclub Westerwolde</x:v>
      </x:c>
      <x:c r="E110" s="30" t="str">
        <x:v>Course</x:v>
      </x:c>
      <x:c r="F110" s="30" t="str">
        <x:v>Netherlands</x:v>
      </x:c>
      <x:c r="G110" s="30" t="str">
        <x:v>Groningen</x:v>
      </x:c>
      <x:c r="H110" s="30" t="str">
        <x:v>Westerwolde</x:v>
      </x:c>
      <x:c r="I110" s="30" t="str">
        <x:v>Vlagtwedde</x:v>
      </x:c>
      <x:c r="J110" s="30" t="str">
        <x:v>Laan van Westerwolde 8</x:v>
      </x:c>
      <x:c r="K110" s="30" t="str">
        <x:v>9541 ZA</x:v>
      </x:c>
      <x:c r="L110" s="32" t="n">
        <x:v>53.03702157</x:v>
      </x:c>
      <x:c r="M110" s="32" t="n">
        <x:v>7.10763022</x:v>
      </x:c>
      <x:c r="N110" s="30" t="str">
        <x:v>WGS84 / EPSG:4326</x:v>
      </x:c>
      <x:c r="O110" s="30" t="str">
        <x:v>Verified BAG address point via PDOK</x:v>
      </x:c>
      <x:c r="P110" s="30" t="str">
        <x:v>2026-08-15</x:v>
      </x:c>
      <x:c r="Q110" s="33" t="n">
        <x:f>IF(R110="","",ROUND(R110/0.9144,0))</x:f>
        <x:v>2699</x:v>
      </x:c>
      <x:c r="R110" s="33" t="n">
        <x:v>2468</x:v>
      </x:c>
      <x:c r="S110" s="33" t="n">
        <x:v>9</x:v>
      </x:c>
      <x:c r="T110" s="33" t="n">
        <x:v>35</x:v>
      </x:c>
      <x:c r="U110" s="30" t="str">
        <x:v>Full-length course</x:v>
      </x:c>
      <x:c r="V110" s="30"/>
      <x:c r="W110" s="30"/>
      <x:c r="X110" s="30"/>
      <x:c r="Y110" s="30" t="str">
        <x:v>https://www.gcwesterwolde.nl/</x:v>
      </x:c>
      <x:c r="Z110" s="30" t="b">
        <x:f>IF(AND(F110="Netherlands",ISNUMBER(L110),ISNUMBER(M110),L110&gt;=50.7,L110&lt;=53.7,M110&gt;=3.2,M110&lt;=7.3,AC110&lt;&gt;"Closed"),TRUE,FALSE)</x:f>
        <x:v>1</x:v>
      </x:c>
      <x:c r="AA110" s="30" t="b">
        <x:f>Z110</x:f>
        <x:v>1</x:v>
      </x:c>
      <x:c r="AB110" s="30" t="str">
        <x:f>IF(Z110,"verified_coordinate_and_open","not_map_ready")</x:f>
        <x:v>verified_coordinate_and_open</x:v>
      </x:c>
      <x:c r="AC110" s="30" t="str">
        <x:v>Open</x:v>
      </x:c>
      <x:c r="AD110" s="30" t="str">
        <x:v>Public — handicap 54 or lower</x:v>
      </x:c>
      <x:c r="AE110" s="31" t="b">
        <x:v>1</x:v>
      </x:c>
      <x:c r="AF110" s="31" t="b">
        <x:v>0</x:v>
      </x:c>
      <x:c r="AG110" s="30"/>
      <x:c r="AH110" s="30"/>
      <x:c r="AI110" s="30"/>
      <x:c r="AJ110" s="31" t="b">
        <x:v>0</x:v>
      </x:c>
      <x:c r="AK110" s="31" t="b">
        <x:v>0</x:v>
      </x:c>
      <x:c r="AL110" s="30" t="str">
        <x:v>Verified — national register and exact BAG address</x:v>
      </x:c>
      <x:c r="AM110" s="30" t="str">
        <x:v>https://www.golf.nl/de-baan-op/banenzoeker/overzicht</x:v>
      </x:c>
      <x:c r="AN110" s="30" t="str">
        <x:v>2026-08-15</x:v>
      </x:c>
      <x:c r="AO110" s="30"/>
      <x:c r="AP110" s="30" t="str">
        <x:v>Current NGF/GOLF.NL listing: 9 holes, par 35, 2468 metres. Listed as qualifying.</x:v>
      </x:c>
    </x:row>
    <x:row r="111">
      <x:c r="A111" s="30" t="str">
        <x:v>NL-C0068</x:v>
      </x:c>
      <x:c r="B111" s="30" t="str">
        <x:v>NL-0110</x:v>
      </x:c>
      <x:c r="C111" s="30" t="str">
        <x:v>Golferij Eelde Groningen</x:v>
      </x:c>
      <x:c r="D111" s="30" t="str">
        <x:v>Golferij Eelde Groningen</x:v>
      </x:c>
      <x:c r="E111" s="30" t="str">
        <x:v>Course</x:v>
      </x:c>
      <x:c r="F111" s="30" t="str">
        <x:v>Netherlands</x:v>
      </x:c>
      <x:c r="G111" s="30" t="str">
        <x:v>Groningen</x:v>
      </x:c>
      <x:c r="H111" s="30" t="str">
        <x:v>Tynaarlo</x:v>
      </x:c>
      <x:c r="I111" s="30" t="str">
        <x:v>Eelde</x:v>
      </x:c>
      <x:c r="J111" s="30" t="str">
        <x:v>Hoppenkampsweg 1</x:v>
      </x:c>
      <x:c r="K111" s="30" t="str">
        <x:v>9761 GB</x:v>
      </x:c>
      <x:c r="L111" s="32" t="n">
        <x:v>53.13383417</x:v>
      </x:c>
      <x:c r="M111" s="32" t="n">
        <x:v>6.55840736</x:v>
      </x:c>
      <x:c r="N111" s="30" t="str">
        <x:v>WGS84 / EPSG:4326</x:v>
      </x:c>
      <x:c r="O111" s="30" t="str">
        <x:v>Verified BAG address point via PDOK</x:v>
      </x:c>
      <x:c r="P111" s="30" t="str">
        <x:v>2026-08-15</x:v>
      </x:c>
      <x:c r="Q111" s="33" t="n">
        <x:f>IF(R111="","",ROUND(R111/0.9144,0))</x:f>
        <x:v>437</x:v>
      </x:c>
      <x:c r="R111" s="33" t="n">
        <x:v>400</x:v>
      </x:c>
      <x:c r="S111" s="33" t="n">
        <x:v>5</x:v>
      </x:c>
      <x:c r="T111" s="33" t="n">
        <x:v>15</x:v>
      </x:c>
      <x:c r="U111" s="30" t="str">
        <x:v>Shortgolf / Pitch &amp; Putt</x:v>
      </x:c>
      <x:c r="V111" s="30"/>
      <x:c r="W111" s="30"/>
      <x:c r="X111" s="30"/>
      <x:c r="Y111" s="30" t="str">
        <x:v>https://www.golferij.nl/</x:v>
      </x:c>
      <x:c r="Z111" s="30" t="b">
        <x:f>IF(AND(F111="Netherlands",ISNUMBER(L111),ISNUMBER(M111),L111&gt;=50.7,L111&lt;=53.7,M111&gt;=3.2,M111&lt;=7.3,AC111&lt;&gt;"Closed"),TRUE,FALSE)</x:f>
        <x:v>1</x:v>
      </x:c>
      <x:c r="AA111" s="30" t="b">
        <x:f>Z111</x:f>
        <x:v>1</x:v>
      </x:c>
      <x:c r="AB111" s="30" t="str">
        <x:f>IF(Z111,"verified_coordinate_and_open","not_map_ready")</x:f>
        <x:v>verified_coordinate_and_open</x:v>
      </x:c>
      <x:c r="AC111" s="30" t="str">
        <x:v>Open</x:v>
      </x:c>
      <x:c r="AD111" s="30" t="str">
        <x:v>Public — no playing requirement</x:v>
      </x:c>
      <x:c r="AE111" s="31" t="b">
        <x:v>0</x:v>
      </x:c>
      <x:c r="AF111" s="31" t="b">
        <x:v>0</x:v>
      </x:c>
      <x:c r="AG111" s="30"/>
      <x:c r="AH111" s="30"/>
      <x:c r="AI111" s="30"/>
      <x:c r="AJ111" s="31" t="b">
        <x:v>0</x:v>
      </x:c>
      <x:c r="AK111" s="31" t="b">
        <x:v>0</x:v>
      </x:c>
      <x:c r="AL111" s="30" t="str">
        <x:v>Verified — national register and exact BAG address</x:v>
      </x:c>
      <x:c r="AM111" s="30" t="str">
        <x:v>https://www.golf.nl/de-baan-op/banenzoeker/overzicht</x:v>
      </x:c>
      <x:c r="AN111" s="30" t="str">
        <x:v>2026-08-15</x:v>
      </x:c>
      <x:c r="AO111" s="30" t="str">
        <x:v>+31 50-3096129</x:v>
      </x:c>
      <x:c r="AP111" s="30" t="str">
        <x:v>Current NGF/GOLF.NL listing: 5 holes, par 15, 400 metres. Listed as non-qualifying.</x:v>
      </x:c>
    </x:row>
    <x:row r="112">
      <x:c r="A112" s="30" t="str">
        <x:v>NL-C0069</x:v>
      </x:c>
      <x:c r="B112" s="30" t="str">
        <x:v>NL-0111</x:v>
      </x:c>
      <x:c r="C112" s="30" t="str">
        <x:v>Golfpark Exloo — Noord</x:v>
      </x:c>
      <x:c r="D112" s="30" t="str">
        <x:v>Golfpark Exloo</x:v>
      </x:c>
      <x:c r="E112" s="30" t="str">
        <x:v>Noord</x:v>
      </x:c>
      <x:c r="F112" s="30" t="str">
        <x:v>Netherlands</x:v>
      </x:c>
      <x:c r="G112" s="30" t="str">
        <x:v>Groningen</x:v>
      </x:c>
      <x:c r="H112" s="30" t="str">
        <x:v>Borger-Odoorn</x:v>
      </x:c>
      <x:c r="I112" s="30" t="str">
        <x:v>Exloo</x:v>
      </x:c>
      <x:c r="J112" s="30" t="str">
        <x:v>Valtherweg 27b</x:v>
      </x:c>
      <x:c r="K112" s="30" t="str">
        <x:v>7875 TA</x:v>
      </x:c>
      <x:c r="L112" s="32" t="n">
        <x:v>52.87396957</x:v>
      </x:c>
      <x:c r="M112" s="32" t="n">
        <x:v>6.88480326</x:v>
      </x:c>
      <x:c r="N112" s="30" t="str">
        <x:v>WGS84 / EPSG:4326</x:v>
      </x:c>
      <x:c r="O112" s="30" t="str">
        <x:v>Verified BAG address point via PDOK</x:v>
      </x:c>
      <x:c r="P112" s="30" t="str">
        <x:v>2026-08-15</x:v>
      </x:c>
      <x:c r="Q112" s="33" t="n">
        <x:f>IF(R112="","",ROUND(R112/0.9144,0))</x:f>
        <x:v>1593</x:v>
      </x:c>
      <x:c r="R112" s="33" t="n">
        <x:v>1457</x:v>
      </x:c>
      <x:c r="S112" s="33" t="n">
        <x:v>9</x:v>
      </x:c>
      <x:c r="T112" s="33" t="n">
        <x:v>29</x:v>
      </x:c>
      <x:c r="U112" s="30" t="str">
        <x:v>Par-3/4 course</x:v>
      </x:c>
      <x:c r="V112" s="30"/>
      <x:c r="W112" s="30"/>
      <x:c r="X112" s="30"/>
      <x:c r="Y112" s="30" t="str">
        <x:v>https://www.golfparkexloo.nl/</x:v>
      </x:c>
      <x:c r="Z112" s="30" t="b">
        <x:f>IF(AND(F112="Netherlands",ISNUMBER(L112),ISNUMBER(M112),L112&gt;=50.7,L112&lt;=53.7,M112&gt;=3.2,M112&lt;=7.3,AC112&lt;&gt;"Closed"),TRUE,FALSE)</x:f>
        <x:v>1</x:v>
      </x:c>
      <x:c r="AA112" s="30" t="b">
        <x:f>Z112</x:f>
        <x:v>1</x:v>
      </x:c>
      <x:c r="AB112" s="30" t="str">
        <x:f>IF(Z112,"verified_coordinate_and_open","not_map_ready")</x:f>
        <x:v>verified_coordinate_and_open</x:v>
      </x:c>
      <x:c r="AC112" s="30" t="str">
        <x:v>Open</x:v>
      </x:c>
      <x:c r="AD112" s="30" t="str">
        <x:v>Public — no playing requirement</x:v>
      </x:c>
      <x:c r="AE112" s="31" t="b">
        <x:v>1</x:v>
      </x:c>
      <x:c r="AF112" s="31" t="b">
        <x:v>0</x:v>
      </x:c>
      <x:c r="AG112" s="30"/>
      <x:c r="AH112" s="30"/>
      <x:c r="AI112" s="30"/>
      <x:c r="AJ112" s="31" t="b">
        <x:v>0</x:v>
      </x:c>
      <x:c r="AK112" s="31" t="b">
        <x:v>0</x:v>
      </x:c>
      <x:c r="AL112" s="30" t="str">
        <x:v>Verified — national register and exact BAG address</x:v>
      </x:c>
      <x:c r="AM112" s="30" t="str">
        <x:v>https://www.golf.nl/de-baan-op/banenzoeker/overzicht</x:v>
      </x:c>
      <x:c r="AN112" s="30" t="str">
        <x:v>2026-08-15</x:v>
      </x:c>
      <x:c r="AO112" s="30" t="str">
        <x:v>+31 591-769133</x:v>
      </x:c>
      <x:c r="AP112" s="30" t="str">
        <x:v>Current NGF/GOLF.NL listing: 9 holes, par 29, 1457 metres. Listed as qualifying.</x:v>
      </x:c>
    </x:row>
    <x:row r="113">
      <x:c r="A113" s="30" t="str">
        <x:v>NL-C0069</x:v>
      </x:c>
      <x:c r="B113" s="30" t="str">
        <x:v>NL-0112</x:v>
      </x:c>
      <x:c r="C113" s="30" t="str">
        <x:v>Golfpark Exloo — Zuid</x:v>
      </x:c>
      <x:c r="D113" s="30" t="str">
        <x:v>Golfpark Exloo</x:v>
      </x:c>
      <x:c r="E113" s="30" t="str">
        <x:v>Zuid</x:v>
      </x:c>
      <x:c r="F113" s="30" t="str">
        <x:v>Netherlands</x:v>
      </x:c>
      <x:c r="G113" s="30" t="str">
        <x:v>Groningen</x:v>
      </x:c>
      <x:c r="H113" s="30" t="str">
        <x:v>Borger-Odoorn</x:v>
      </x:c>
      <x:c r="I113" s="30" t="str">
        <x:v>Exloo</x:v>
      </x:c>
      <x:c r="J113" s="30" t="str">
        <x:v>Valtherweg 27b</x:v>
      </x:c>
      <x:c r="K113" s="30" t="str">
        <x:v>7875 TA</x:v>
      </x:c>
      <x:c r="L113" s="32" t="n">
        <x:v>52.87396957</x:v>
      </x:c>
      <x:c r="M113" s="32" t="n">
        <x:v>6.88480326</x:v>
      </x:c>
      <x:c r="N113" s="30" t="str">
        <x:v>WGS84 / EPSG:4326</x:v>
      </x:c>
      <x:c r="O113" s="30" t="str">
        <x:v>Verified BAG address point via PDOK</x:v>
      </x:c>
      <x:c r="P113" s="30" t="str">
        <x:v>2026-08-15</x:v>
      </x:c>
      <x:c r="Q113" s="33" t="n">
        <x:f>IF(R113="","",ROUND(R113/0.9144,0))</x:f>
        <x:v>2918</x:v>
      </x:c>
      <x:c r="R113" s="33" t="n">
        <x:v>2668</x:v>
      </x:c>
      <x:c r="S113" s="33" t="n">
        <x:v>9</x:v>
      </x:c>
      <x:c r="T113" s="33" t="n">
        <x:v>35</x:v>
      </x:c>
      <x:c r="U113" s="30" t="str">
        <x:v>Full-length course</x:v>
      </x:c>
      <x:c r="V113" s="30"/>
      <x:c r="W113" s="30"/>
      <x:c r="X113" s="30"/>
      <x:c r="Y113" s="30" t="str">
        <x:v>https://www.golfparkexloo.nl/</x:v>
      </x:c>
      <x:c r="Z113" s="30" t="b">
        <x:f>IF(AND(F113="Netherlands",ISNUMBER(L113),ISNUMBER(M113),L113&gt;=50.7,L113&lt;=53.7,M113&gt;=3.2,M113&lt;=7.3,AC113&lt;&gt;"Closed"),TRUE,FALSE)</x:f>
        <x:v>1</x:v>
      </x:c>
      <x:c r="AA113" s="30" t="b">
        <x:f>Z113</x:f>
        <x:v>1</x:v>
      </x:c>
      <x:c r="AB113" s="30" t="str">
        <x:f>IF(Z113,"verified_coordinate_and_open","not_map_ready")</x:f>
        <x:v>verified_coordinate_and_open</x:v>
      </x:c>
      <x:c r="AC113" s="30" t="str">
        <x:v>Open</x:v>
      </x:c>
      <x:c r="AD113" s="30" t="str">
        <x:v>Public — handicap 54 or lower</x:v>
      </x:c>
      <x:c r="AE113" s="31" t="b">
        <x:v>1</x:v>
      </x:c>
      <x:c r="AF113" s="31" t="b">
        <x:v>0</x:v>
      </x:c>
      <x:c r="AG113" s="30"/>
      <x:c r="AH113" s="30"/>
      <x:c r="AI113" s="30"/>
      <x:c r="AJ113" s="31" t="b">
        <x:v>0</x:v>
      </x:c>
      <x:c r="AK113" s="31" t="b">
        <x:v>0</x:v>
      </x:c>
      <x:c r="AL113" s="30" t="str">
        <x:v>Verified — national register and exact BAG address</x:v>
      </x:c>
      <x:c r="AM113" s="30" t="str">
        <x:v>https://www.golf.nl/de-baan-op/banenzoeker/overzicht</x:v>
      </x:c>
      <x:c r="AN113" s="30" t="str">
        <x:v>2026-08-15</x:v>
      </x:c>
      <x:c r="AO113" s="30" t="str">
        <x:v>+31 591-769133</x:v>
      </x:c>
      <x:c r="AP113" s="30" t="str">
        <x:v>Current NGF/GOLF.NL listing: 9 holes, par 35, 2668 metres. Listed as qualifying.</x:v>
      </x:c>
    </x:row>
    <x:row r="114">
      <x:c r="A114" s="30" t="str">
        <x:v>NL-C0070</x:v>
      </x:c>
      <x:c r="B114" s="30" t="str">
        <x:v>NL-0113</x:v>
      </x:c>
      <x:c r="C114" s="30" t="str">
        <x:v>Groningse Golfclub Duurswold</x:v>
      </x:c>
      <x:c r="D114" s="30" t="str">
        <x:v>Groningse Golfclub Duurswold</x:v>
      </x:c>
      <x:c r="E114" s="30" t="str">
        <x:v>Course</x:v>
      </x:c>
      <x:c r="F114" s="30" t="str">
        <x:v>Netherlands</x:v>
      </x:c>
      <x:c r="G114" s="30" t="str">
        <x:v>Groningen</x:v>
      </x:c>
      <x:c r="H114" s="30" t="str">
        <x:v>Midden-Groningen</x:v>
      </x:c>
      <x:c r="I114" s="30" t="str">
        <x:v>Steendam</x:v>
      </x:c>
      <x:c r="J114" s="30" t="str">
        <x:v>Roegeweg 2</x:v>
      </x:c>
      <x:c r="K114" s="30" t="str">
        <x:v>9629 PA</x:v>
      </x:c>
      <x:c r="L114" s="32" t="n">
        <x:v>53.26521166</x:v>
      </x:c>
      <x:c r="M114" s="32" t="n">
        <x:v>6.83855978</x:v>
      </x:c>
      <x:c r="N114" s="30" t="str">
        <x:v>WGS84 / EPSG:4326</x:v>
      </x:c>
      <x:c r="O114" s="30" t="str">
        <x:v>Verified BAG address point via PDOK</x:v>
      </x:c>
      <x:c r="P114" s="30" t="str">
        <x:v>2026-08-15</x:v>
      </x:c>
      <x:c r="Q114" s="33" t="n">
        <x:f>IF(R114="","",ROUND(R114/0.9144,0))</x:f>
        <x:v>3602</x:v>
      </x:c>
      <x:c r="R114" s="33" t="n">
        <x:v>3294</x:v>
      </x:c>
      <x:c r="S114" s="33" t="n">
        <x:v>9</x:v>
      </x:c>
      <x:c r="T114" s="33" t="n">
        <x:v>37</x:v>
      </x:c>
      <x:c r="U114" s="30" t="str">
        <x:v>Full-length course</x:v>
      </x:c>
      <x:c r="V114" s="30"/>
      <x:c r="W114" s="30"/>
      <x:c r="X114" s="30"/>
      <x:c r="Y114" s="30" t="str">
        <x:v>https://golfclubduurswold.nl/</x:v>
      </x:c>
      <x:c r="Z114" s="30" t="b">
        <x:f>IF(AND(F114="Netherlands",ISNUMBER(L114),ISNUMBER(M114),L114&gt;=50.7,L114&lt;=53.7,M114&gt;=3.2,M114&lt;=7.3,AC114&lt;&gt;"Closed"),TRUE,FALSE)</x:f>
        <x:v>1</x:v>
      </x:c>
      <x:c r="AA114" s="30" t="b">
        <x:f>Z114</x:f>
        <x:v>1</x:v>
      </x:c>
      <x:c r="AB114" s="30" t="str">
        <x:f>IF(Z114,"verified_coordinate_and_open","not_map_ready")</x:f>
        <x:v>verified_coordinate_and_open</x:v>
      </x:c>
      <x:c r="AC114" s="30" t="str">
        <x:v>Open</x:v>
      </x:c>
      <x:c r="AD114" s="30" t="str">
        <x:v>Public — handicap 54 or lower</x:v>
      </x:c>
      <x:c r="AE114" s="31" t="b">
        <x:v>1</x:v>
      </x:c>
      <x:c r="AF114" s="31" t="b">
        <x:v>0</x:v>
      </x:c>
      <x:c r="AG114" s="30"/>
      <x:c r="AH114" s="30"/>
      <x:c r="AI114" s="30"/>
      <x:c r="AJ114" s="31" t="b">
        <x:v>0</x:v>
      </x:c>
      <x:c r="AK114" s="31" t="b">
        <x:v>0</x:v>
      </x:c>
      <x:c r="AL114" s="30" t="str">
        <x:v>Verified — national register and exact BAG address</x:v>
      </x:c>
      <x:c r="AM114" s="30" t="str">
        <x:v>https://www.golf.nl/de-baan-op/banenzoeker/overzicht</x:v>
      </x:c>
      <x:c r="AN114" s="30" t="str">
        <x:v>2026-08-15</x:v>
      </x:c>
      <x:c r="AO114" s="30" t="str">
        <x:v>+31 598-423690</x:v>
      </x:c>
      <x:c r="AP114" s="30" t="str">
        <x:v>Current NGF/GOLF.NL listing: 9 holes, par 37, 3294 metres. Listed as qualifying.</x:v>
      </x:c>
    </x:row>
    <x:row r="115">
      <x:c r="A115" s="30" t="str">
        <x:v>NL-C0071</x:v>
      </x:c>
      <x:c r="B115" s="30" t="str">
        <x:v>NL-0114</x:v>
      </x:c>
      <x:c r="C115" s="30" t="str">
        <x:v>Noord-Nederlandse Golf &amp; Country Club — Main Course</x:v>
      </x:c>
      <x:c r="D115" s="30" t="str">
        <x:v>Noord-Nederlandse Golf &amp; Country Club</x:v>
      </x:c>
      <x:c r="E115" s="30" t="str">
        <x:v>Main Course</x:v>
      </x:c>
      <x:c r="F115" s="30" t="str">
        <x:v>Netherlands</x:v>
      </x:c>
      <x:c r="G115" s="30" t="str">
        <x:v>Groningen</x:v>
      </x:c>
      <x:c r="H115" s="30" t="str">
        <x:v>Groningen</x:v>
      </x:c>
      <x:c r="I115" s="30" t="str">
        <x:v>Glimmen</x:v>
      </x:c>
      <x:c r="J115" s="30" t="str">
        <x:v>Pollselaan 5</x:v>
      </x:c>
      <x:c r="K115" s="30" t="str">
        <x:v>9756 CJ</x:v>
      </x:c>
      <x:c r="L115" s="32" t="n">
        <x:v>53.12072104</x:v>
      </x:c>
      <x:c r="M115" s="32" t="n">
        <x:v>6.63174292</x:v>
      </x:c>
      <x:c r="N115" s="30" t="str">
        <x:v>WGS84 / EPSG:4326</x:v>
      </x:c>
      <x:c r="O115" s="30" t="str">
        <x:v>Verified BAG address point via PDOK</x:v>
      </x:c>
      <x:c r="P115" s="30" t="str">
        <x:v>2026-08-15</x:v>
      </x:c>
      <x:c r="Q115" s="33" t="n">
        <x:f>IF(R115="","",ROUND(R115/0.9144,0))</x:f>
        <x:v>6530</x:v>
      </x:c>
      <x:c r="R115" s="33" t="n">
        <x:v>5971</x:v>
      </x:c>
      <x:c r="S115" s="33" t="n">
        <x:v>18</x:v>
      </x:c>
      <x:c r="T115" s="33" t="n">
        <x:v>72</x:v>
      </x:c>
      <x:c r="U115" s="30" t="str">
        <x:v>Full-length course</x:v>
      </x:c>
      <x:c r="V115" s="30"/>
      <x:c r="W115" s="30"/>
      <x:c r="X115" s="30"/>
      <x:c r="Y115" s="30" t="str">
        <x:v>https://www.nngcc.nl/</x:v>
      </x:c>
      <x:c r="Z115" s="30" t="b">
        <x:f>IF(AND(F115="Netherlands",ISNUMBER(L115),ISNUMBER(M115),L115&gt;=50.7,L115&lt;=53.7,M115&gt;=3.2,M115&lt;=7.3,AC115&lt;&gt;"Closed"),TRUE,FALSE)</x:f>
        <x:v>1</x:v>
      </x:c>
      <x:c r="AA115" s="30" t="b">
        <x:f>Z115</x:f>
        <x:v>1</x:v>
      </x:c>
      <x:c r="AB115" s="30" t="str">
        <x:f>IF(Z115,"verified_coordinate_and_open","not_map_ready")</x:f>
        <x:v>verified_coordinate_and_open</x:v>
      </x:c>
      <x:c r="AC115" s="30" t="str">
        <x:v>Open</x:v>
      </x:c>
      <x:c r="AD115" s="30" t="str">
        <x:v>Public — handicap 54 or lower</x:v>
      </x:c>
      <x:c r="AE115" s="31" t="b">
        <x:v>1</x:v>
      </x:c>
      <x:c r="AF115" s="31" t="b">
        <x:v>0</x:v>
      </x:c>
      <x:c r="AG115" s="30"/>
      <x:c r="AH115" s="30"/>
      <x:c r="AI115" s="30"/>
      <x:c r="AJ115" s="31" t="b">
        <x:v>0</x:v>
      </x:c>
      <x:c r="AK115" s="31" t="b">
        <x:v>0</x:v>
      </x:c>
      <x:c r="AL115" s="30" t="str">
        <x:v>Verified — national register and exact BAG address</x:v>
      </x:c>
      <x:c r="AM115" s="30" t="str">
        <x:v>https://www.golf.nl/de-baan-op/banenzoeker/overzicht</x:v>
      </x:c>
      <x:c r="AN115" s="30" t="str">
        <x:v>2026-08-15</x:v>
      </x:c>
      <x:c r="AO115" s="30" t="str">
        <x:v>+31 50-4062004</x:v>
      </x:c>
      <x:c r="AP115" s="30" t="str">
        <x:v>Current NGF/GOLF.NL listing: 18 holes, par 72, 5971 metres. Combined from exact NGF-listed constituent nine-hole loops: 1ste negen (9 holes, par 36, 2823 m); 2de negen (9 holes, par 36, 3148 m) Listed as qualifying.</x:v>
      </x:c>
    </x:row>
    <x:row r="116">
      <x:c r="A116" s="30" t="str">
        <x:v>NL-C0072</x:v>
      </x:c>
      <x:c r="B116" s="30" t="str">
        <x:v>NL-0115</x:v>
      </x:c>
      <x:c r="C116" s="30" t="str">
        <x:v>Pitch &amp; putt Buitengoed Weerwille Ruimerwold — 1ste negen</x:v>
      </x:c>
      <x:c r="D116" s="30" t="str">
        <x:v>Pitch &amp; putt Buitengoed Weerwille Ruimerwold</x:v>
      </x:c>
      <x:c r="E116" s="30" t="str">
        <x:v>1ste negen</x:v>
      </x:c>
      <x:c r="F116" s="30" t="str">
        <x:v>Netherlands</x:v>
      </x:c>
      <x:c r="G116" s="30" t="str">
        <x:v>Groningen</x:v>
      </x:c>
      <x:c r="H116" s="30" t="str">
        <x:v>De Wolden</x:v>
      </x:c>
      <x:c r="I116" s="30" t="str">
        <x:v>Ruinerwold</x:v>
      </x:c>
      <x:c r="J116" s="30" t="str">
        <x:v>Weerwille 16A</x:v>
      </x:c>
      <x:c r="K116" s="30" t="str">
        <x:v>7961 LV</x:v>
      </x:c>
      <x:c r="L116" s="32" t="n">
        <x:v>52.71548579</x:v>
      </x:c>
      <x:c r="M116" s="32" t="n">
        <x:v>6.30654385</x:v>
      </x:c>
      <x:c r="N116" s="30" t="str">
        <x:v>WGS84 / EPSG:4326</x:v>
      </x:c>
      <x:c r="O116" s="30" t="str">
        <x:v>Verified BAG address point via PDOK</x:v>
      </x:c>
      <x:c r="P116" s="30" t="str">
        <x:v>2026-08-15</x:v>
      </x:c>
      <x:c r="Q116" s="33" t="n">
        <x:f>IF(R116="","",ROUND(R116/0.9144,0))</x:f>
        <x:v>492</x:v>
      </x:c>
      <x:c r="R116" s="33" t="n">
        <x:v>450</x:v>
      </x:c>
      <x:c r="S116" s="33" t="n">
        <x:v>9</x:v>
      </x:c>
      <x:c r="T116" s="33" t="n">
        <x:v>27</x:v>
      </x:c>
      <x:c r="U116" s="30" t="str">
        <x:v>Shortgolf / Pitch &amp; Putt</x:v>
      </x:c>
      <x:c r="V116" s="30"/>
      <x:c r="W116" s="30"/>
      <x:c r="X116" s="30"/>
      <x:c r="Y116" s="30" t="str">
        <x:v>https://playstay.nl/</x:v>
      </x:c>
      <x:c r="Z116" s="30" t="b">
        <x:f>IF(AND(F116="Netherlands",ISNUMBER(L116),ISNUMBER(M116),L116&gt;=50.7,L116&lt;=53.7,M116&gt;=3.2,M116&lt;=7.3,AC116&lt;&gt;"Closed"),TRUE,FALSE)</x:f>
        <x:v>1</x:v>
      </x:c>
      <x:c r="AA116" s="30" t="b">
        <x:f>Z116</x:f>
        <x:v>1</x:v>
      </x:c>
      <x:c r="AB116" s="30" t="str">
        <x:f>IF(Z116,"verified_coordinate_and_open","not_map_ready")</x:f>
        <x:v>verified_coordinate_and_open</x:v>
      </x:c>
      <x:c r="AC116" s="30" t="str">
        <x:v>Open</x:v>
      </x:c>
      <x:c r="AD116" s="30" t="str">
        <x:v>Public — no playing requirement</x:v>
      </x:c>
      <x:c r="AE116" s="31" t="b">
        <x:v>0</x:v>
      </x:c>
      <x:c r="AF116" s="31" t="b">
        <x:v>0</x:v>
      </x:c>
      <x:c r="AG116" s="30"/>
      <x:c r="AH116" s="30"/>
      <x:c r="AI116" s="30"/>
      <x:c r="AJ116" s="31" t="b">
        <x:v>0</x:v>
      </x:c>
      <x:c r="AK116" s="31" t="b">
        <x:v>0</x:v>
      </x:c>
      <x:c r="AL116" s="30" t="str">
        <x:v>Verified — national register and exact BAG address</x:v>
      </x:c>
      <x:c r="AM116" s="30" t="str">
        <x:v>https://www.golf.nl/de-baan-op/banenzoeker/overzicht</x:v>
      </x:c>
      <x:c r="AN116" s="30" t="str">
        <x:v>2026-08-15</x:v>
      </x:c>
      <x:c r="AO116" s="30" t="str">
        <x:v>+31 6-12409894</x:v>
      </x:c>
      <x:c r="AP116" s="30" t="str">
        <x:v>Current NGF/GOLF.NL listing: 9 holes, par 27, 450 metres. Listed as non-qualifying.</x:v>
      </x:c>
    </x:row>
    <x:row r="117">
      <x:c r="A117" s="30" t="str">
        <x:v>NL-C0073</x:v>
      </x:c>
      <x:c r="B117" s="30" t="str">
        <x:v>NL-0116</x:v>
      </x:c>
      <x:c r="C117" s="30" t="str">
        <x:v>Pitch &amp; putt Buitengoed Weerwille Ruinerwold — 2de negen</x:v>
      </x:c>
      <x:c r="D117" s="30" t="str">
        <x:v>Pitch &amp; putt Buitengoed Weerwille Ruinerwold</x:v>
      </x:c>
      <x:c r="E117" s="30" t="str">
        <x:v>2de negen</x:v>
      </x:c>
      <x:c r="F117" s="30" t="str">
        <x:v>Netherlands</x:v>
      </x:c>
      <x:c r="G117" s="30" t="str">
        <x:v>Groningen</x:v>
      </x:c>
      <x:c r="H117" s="30" t="str">
        <x:v>De Wolden</x:v>
      </x:c>
      <x:c r="I117" s="30" t="str">
        <x:v>Ruinerwold</x:v>
      </x:c>
      <x:c r="J117" s="30" t="str">
        <x:v>Weerwille 16A</x:v>
      </x:c>
      <x:c r="K117" s="30" t="str">
        <x:v>7961 LV</x:v>
      </x:c>
      <x:c r="L117" s="32" t="n">
        <x:v>52.71548579</x:v>
      </x:c>
      <x:c r="M117" s="32" t="n">
        <x:v>6.30654385</x:v>
      </x:c>
      <x:c r="N117" s="30" t="str">
        <x:v>WGS84 / EPSG:4326</x:v>
      </x:c>
      <x:c r="O117" s="30" t="str">
        <x:v>Verified BAG address point via PDOK</x:v>
      </x:c>
      <x:c r="P117" s="30" t="str">
        <x:v>2026-08-15</x:v>
      </x:c>
      <x:c r="Q117" s="33" t="n">
        <x:f>IF(R117="","",ROUND(R117/0.9144,0))</x:f>
        <x:v>492</x:v>
      </x:c>
      <x:c r="R117" s="33" t="n">
        <x:v>450</x:v>
      </x:c>
      <x:c r="S117" s="33" t="n">
        <x:v>9</x:v>
      </x:c>
      <x:c r="T117" s="33" t="n">
        <x:v>27</x:v>
      </x:c>
      <x:c r="U117" s="30" t="str">
        <x:v>Shortgolf / Pitch &amp; Putt</x:v>
      </x:c>
      <x:c r="V117" s="30"/>
      <x:c r="W117" s="30"/>
      <x:c r="X117" s="30"/>
      <x:c r="Y117" s="30" t="str">
        <x:v>https://playstay.nl/</x:v>
      </x:c>
      <x:c r="Z117" s="30" t="b">
        <x:f>IF(AND(F117="Netherlands",ISNUMBER(L117),ISNUMBER(M117),L117&gt;=50.7,L117&lt;=53.7,M117&gt;=3.2,M117&lt;=7.3,AC117&lt;&gt;"Closed"),TRUE,FALSE)</x:f>
        <x:v>1</x:v>
      </x:c>
      <x:c r="AA117" s="30" t="b">
        <x:f>Z117</x:f>
        <x:v>1</x:v>
      </x:c>
      <x:c r="AB117" s="30" t="str">
        <x:f>IF(Z117,"verified_coordinate_and_open","not_map_ready")</x:f>
        <x:v>verified_coordinate_and_open</x:v>
      </x:c>
      <x:c r="AC117" s="30" t="str">
        <x:v>Open</x:v>
      </x:c>
      <x:c r="AD117" s="30" t="str">
        <x:v>Public — no playing requirement</x:v>
      </x:c>
      <x:c r="AE117" s="31" t="b">
        <x:v>0</x:v>
      </x:c>
      <x:c r="AF117" s="31" t="b">
        <x:v>0</x:v>
      </x:c>
      <x:c r="AG117" s="30"/>
      <x:c r="AH117" s="30"/>
      <x:c r="AI117" s="30"/>
      <x:c r="AJ117" s="31" t="b">
        <x:v>0</x:v>
      </x:c>
      <x:c r="AK117" s="31" t="b">
        <x:v>0</x:v>
      </x:c>
      <x:c r="AL117" s="30" t="str">
        <x:v>Verified — national register and exact BAG address</x:v>
      </x:c>
      <x:c r="AM117" s="30" t="str">
        <x:v>https://www.golf.nl/de-baan-op/banenzoeker/overzicht</x:v>
      </x:c>
      <x:c r="AN117" s="30" t="str">
        <x:v>2026-08-15</x:v>
      </x:c>
      <x:c r="AO117" s="30" t="str">
        <x:v>+31 6-12409894</x:v>
      </x:c>
      <x:c r="AP117" s="30" t="str">
        <x:v>Current NGF/GOLF.NL listing: 9 holes, par 27, 450 metres. Listed as non-qualifying.</x:v>
      </x:c>
    </x:row>
    <x:row r="118">
      <x:c r="A118" s="30" t="str">
        <x:v>NL-C0074</x:v>
      </x:c>
      <x:c r="B118" s="30" t="str">
        <x:v>NL-0117</x:v>
      </x:c>
      <x:c r="C118" s="30" t="str">
        <x:v>Pitch &amp; putt Groningen — Shortgolf / Pitch &amp; Putt Course</x:v>
      </x:c>
      <x:c r="D118" s="30" t="str">
        <x:v>Pitch &amp; putt Groningen</x:v>
      </x:c>
      <x:c r="E118" s="30" t="str">
        <x:v>Shortgolf / Pitch &amp; Putt Course</x:v>
      </x:c>
      <x:c r="F118" s="30" t="str">
        <x:v>Netherlands</x:v>
      </x:c>
      <x:c r="G118" s="30" t="str">
        <x:v>Groningen</x:v>
      </x:c>
      <x:c r="H118" s="30" t="str">
        <x:v>Groningen</x:v>
      </x:c>
      <x:c r="I118" s="30" t="str">
        <x:v>Groningen</x:v>
      </x:c>
      <x:c r="J118" s="30" t="str">
        <x:v>Bieskemaar 10</x:v>
      </x:c>
      <x:c r="K118" s="30" t="str">
        <x:v>9735 AE</x:v>
      </x:c>
      <x:c r="L118" s="32" t="n">
        <x:v>53.24094997</x:v>
      </x:c>
      <x:c r="M118" s="32" t="n">
        <x:v>6.59651638</x:v>
      </x:c>
      <x:c r="N118" s="30" t="str">
        <x:v>WGS84 / EPSG:4326</x:v>
      </x:c>
      <x:c r="O118" s="30" t="str">
        <x:v>Verified BAG address point via PDOK</x:v>
      </x:c>
      <x:c r="P118" s="30" t="str">
        <x:v>2026-08-15</x:v>
      </x:c>
      <x:c r="Q118" s="33" t="n">
        <x:f>IF(R118="","",ROUND(R118/0.9144,0))</x:f>
        <x:v>1098</x:v>
      </x:c>
      <x:c r="R118" s="33" t="n">
        <x:v>1004</x:v>
      </x:c>
      <x:c r="S118" s="33" t="n">
        <x:v>18</x:v>
      </x:c>
      <x:c r="T118" s="33" t="n">
        <x:v>54</x:v>
      </x:c>
      <x:c r="U118" s="30" t="str">
        <x:v>Shortgolf / Pitch &amp; Putt</x:v>
      </x:c>
      <x:c r="V118" s="30"/>
      <x:c r="W118" s="30"/>
      <x:c r="X118" s="30"/>
      <x:c r="Y118" s="30" t="str">
        <x:v>https://pitchenputtgroningen.nl/</x:v>
      </x:c>
      <x:c r="Z118" s="30" t="b">
        <x:f>IF(AND(F118="Netherlands",ISNUMBER(L118),ISNUMBER(M118),L118&gt;=50.7,L118&lt;=53.7,M118&gt;=3.2,M118&lt;=7.3,AC118&lt;&gt;"Closed"),TRUE,FALSE)</x:f>
        <x:v>1</x:v>
      </x:c>
      <x:c r="AA118" s="30" t="b">
        <x:f>Z118</x:f>
        <x:v>1</x:v>
      </x:c>
      <x:c r="AB118" s="30" t="str">
        <x:f>IF(Z118,"verified_coordinate_and_open","not_map_ready")</x:f>
        <x:v>verified_coordinate_and_open</x:v>
      </x:c>
      <x:c r="AC118" s="30" t="str">
        <x:v>Open</x:v>
      </x:c>
      <x:c r="AD118" s="30" t="str">
        <x:v>Public — no playing requirement</x:v>
      </x:c>
      <x:c r="AE118" s="31" t="b">
        <x:v>0</x:v>
      </x:c>
      <x:c r="AF118" s="31" t="b">
        <x:v>0</x:v>
      </x:c>
      <x:c r="AG118" s="30"/>
      <x:c r="AH118" s="30"/>
      <x:c r="AI118" s="30"/>
      <x:c r="AJ118" s="31" t="b">
        <x:v>0</x:v>
      </x:c>
      <x:c r="AK118" s="31" t="b">
        <x:v>0</x:v>
      </x:c>
      <x:c r="AL118" s="30" t="str">
        <x:v>Verified — national register and exact BAG address</x:v>
      </x:c>
      <x:c r="AM118" s="30" t="str">
        <x:v>https://www.golf.nl/de-baan-op/banenzoeker/overzicht</x:v>
      </x:c>
      <x:c r="AN118" s="30" t="str">
        <x:v>2026-08-15</x:v>
      </x:c>
      <x:c r="AO118" s="30" t="str">
        <x:v>+31 50-3080123</x:v>
      </x:c>
      <x:c r="AP118" s="30" t="str">
        <x:v>Current NGF/GOLF.NL listing: 18 holes, par 54, 1004 metres. Combined from exact NGF-listed constituent nine-hole loops: 1ste negen (9 holes, par 27, 541 m); 2de negen (9 holes, par 27, 463 m) Listed as non-qualifying.</x:v>
      </x:c>
    </x:row>
    <x:row r="119">
      <x:c r="A119" s="30" t="str">
        <x:v>NL-C0075</x:v>
      </x:c>
      <x:c r="B119" s="30" t="str">
        <x:v>NL-0118</x:v>
      </x:c>
      <x:c r="C119" s="30" t="str">
        <x:v>Pitch &amp; putt Oostwold — Shortgolf / Pitch &amp; Putt Course</x:v>
      </x:c>
      <x:c r="D119" s="30" t="str">
        <x:v>Pitch &amp; putt Oostwold</x:v>
      </x:c>
      <x:c r="E119" s="30" t="str">
        <x:v>Shortgolf / Pitch &amp; Putt Course</x:v>
      </x:c>
      <x:c r="F119" s="30" t="str">
        <x:v>Netherlands</x:v>
      </x:c>
      <x:c r="G119" s="30" t="str">
        <x:v>Groningen</x:v>
      </x:c>
      <x:c r="H119" s="30" t="str">
        <x:v>Oldambt</x:v>
      </x:c>
      <x:c r="I119" s="30" t="str">
        <x:v>Oostwold</x:v>
      </x:c>
      <x:c r="J119" s="30" t="str">
        <x:v>Huningaweg 7</x:v>
      </x:c>
      <x:c r="K119" s="30" t="str">
        <x:v>9682 PA</x:v>
      </x:c>
      <x:c r="L119" s="32" t="n">
        <x:v>53.20181972</x:v>
      </x:c>
      <x:c r="M119" s="32" t="n">
        <x:v>7.03275265</x:v>
      </x:c>
      <x:c r="N119" s="30" t="str">
        <x:v>WGS84 / EPSG:4326</x:v>
      </x:c>
      <x:c r="O119" s="30" t="str">
        <x:v>Verified BAG address point via PDOK</x:v>
      </x:c>
      <x:c r="P119" s="30" t="str">
        <x:v>2026-08-15</x:v>
      </x:c>
      <x:c r="Q119" s="33" t="n">
        <x:f>IF(R119="","",ROUND(R119/0.9144,0))</x:f>
        <x:v>984</x:v>
      </x:c>
      <x:c r="R119" s="33" t="n">
        <x:v>900</x:v>
      </x:c>
      <x:c r="S119" s="33" t="n">
        <x:v>18</x:v>
      </x:c>
      <x:c r="T119" s="33" t="n">
        <x:v>54</x:v>
      </x:c>
      <x:c r="U119" s="30" t="str">
        <x:v>Shortgolf / Pitch &amp; Putt</x:v>
      </x:c>
      <x:c r="V119" s="30"/>
      <x:c r="W119" s="30"/>
      <x:c r="X119" s="30"/>
      <x:c r="Y119" s="30" t="str">
        <x:v>https://www.facebook.com/p/Pitch-en-Putt-Oostwold-100083930583979/</x:v>
      </x:c>
      <x:c r="Z119" s="30" t="b">
        <x:f>IF(AND(F119="Netherlands",ISNUMBER(L119),ISNUMBER(M119),L119&gt;=50.7,L119&lt;=53.7,M119&gt;=3.2,M119&lt;=7.3,AC119&lt;&gt;"Closed"),TRUE,FALSE)</x:f>
        <x:v>1</x:v>
      </x:c>
      <x:c r="AA119" s="30" t="b">
        <x:f>Z119</x:f>
        <x:v>1</x:v>
      </x:c>
      <x:c r="AB119" s="30" t="str">
        <x:f>IF(Z119,"verified_coordinate_and_open","not_map_ready")</x:f>
        <x:v>verified_coordinate_and_open</x:v>
      </x:c>
      <x:c r="AC119" s="30" t="str">
        <x:v>Open</x:v>
      </x:c>
      <x:c r="AD119" s="30" t="str">
        <x:v>Public — no playing requirement</x:v>
      </x:c>
      <x:c r="AE119" s="31" t="b">
        <x:v>0</x:v>
      </x:c>
      <x:c r="AF119" s="31" t="b">
        <x:v>0</x:v>
      </x:c>
      <x:c r="AG119" s="30"/>
      <x:c r="AH119" s="30"/>
      <x:c r="AI119" s="30"/>
      <x:c r="AJ119" s="31" t="b">
        <x:v>0</x:v>
      </x:c>
      <x:c r="AK119" s="31" t="b">
        <x:v>0</x:v>
      </x:c>
      <x:c r="AL119" s="30" t="str">
        <x:v>Verified — national register and exact BAG address</x:v>
      </x:c>
      <x:c r="AM119" s="30" t="str">
        <x:v>https://www.golf.nl/de-baan-op/banenzoeker/overzicht</x:v>
      </x:c>
      <x:c r="AN119" s="30" t="str">
        <x:v>2026-08-15</x:v>
      </x:c>
      <x:c r="AO119" s="30" t="str">
        <x:v>+31 597-552221</x:v>
      </x:c>
      <x:c r="AP119" s="30" t="str">
        <x:v>Current NGF/GOLF.NL listing: 18 holes, par 54, 900 metres. Combined from exact NGF-listed constituent nine-hole loops: 1ste negen (9 holes, par 27, 450 m); 2de negen (9 holes, par 27, 450 m) Listed as non-qualifying.</x:v>
      </x:c>
    </x:row>
    <x:row r="120">
      <x:c r="A120" s="30" t="str">
        <x:v>NL-C0076</x:v>
      </x:c>
      <x:c r="B120" s="30" t="str">
        <x:v>NL-0119</x:v>
      </x:c>
      <x:c r="C120" s="30" t="str">
        <x:v>Crossmoor Golf — Main Course</x:v>
      </x:c>
      <x:c r="D120" s="30" t="str">
        <x:v>Crossmoor Golf</x:v>
      </x:c>
      <x:c r="E120" s="30" t="str">
        <x:v>Main Course</x:v>
      </x:c>
      <x:c r="F120" s="30" t="str">
        <x:v>Netherlands</x:v>
      </x:c>
      <x:c r="G120" s="30" t="str">
        <x:v>Limburg</x:v>
      </x:c>
      <x:c r="H120" s="30" t="str">
        <x:v>Weert</x:v>
      </x:c>
      <x:c r="I120" s="30" t="str">
        <x:v>Weert</x:v>
      </x:c>
      <x:c r="J120" s="30" t="str">
        <x:v>Laurabosweg 8</x:v>
      </x:c>
      <x:c r="K120" s="30" t="str">
        <x:v>6006 VR</x:v>
      </x:c>
      <x:c r="L120" s="32" t="n">
        <x:v>51.22259221</x:v>
      </x:c>
      <x:c r="M120" s="32" t="n">
        <x:v>5.64411348</x:v>
      </x:c>
      <x:c r="N120" s="30" t="str">
        <x:v>WGS84 / EPSG:4326</x:v>
      </x:c>
      <x:c r="O120" s="30" t="str">
        <x:v>Verified BAG address point via PDOK</x:v>
      </x:c>
      <x:c r="P120" s="30" t="str">
        <x:v>2026-08-15</x:v>
      </x:c>
      <x:c r="Q120" s="33" t="n">
        <x:f>IF(R120="","",ROUND(R120/0.9144,0))</x:f>
        <x:v>6778</x:v>
      </x:c>
      <x:c r="R120" s="33" t="n">
        <x:v>6198</x:v>
      </x:c>
      <x:c r="S120" s="33" t="n">
        <x:v>18</x:v>
      </x:c>
      <x:c r="T120" s="33" t="n">
        <x:v>72</x:v>
      </x:c>
      <x:c r="U120" s="30" t="str">
        <x:v>Full-length course</x:v>
      </x:c>
      <x:c r="V120" s="30"/>
      <x:c r="W120" s="30"/>
      <x:c r="X120" s="30"/>
      <x:c r="Y120" s="30" t="str">
        <x:v>https://www.domeinlaurabos.com/crossmoor-golf/</x:v>
      </x:c>
      <x:c r="Z120" s="30" t="b">
        <x:f>IF(AND(F120="Netherlands",ISNUMBER(L120),ISNUMBER(M120),L120&gt;=50.7,L120&lt;=53.7,M120&gt;=3.2,M120&lt;=7.3,AC120&lt;&gt;"Closed"),TRUE,FALSE)</x:f>
        <x:v>1</x:v>
      </x:c>
      <x:c r="AA120" s="30" t="b">
        <x:f>Z120</x:f>
        <x:v>1</x:v>
      </x:c>
      <x:c r="AB120" s="30" t="str">
        <x:f>IF(Z120,"verified_coordinate_and_open","not_map_ready")</x:f>
        <x:v>verified_coordinate_and_open</x:v>
      </x:c>
      <x:c r="AC120" s="30" t="str">
        <x:v>Open</x:v>
      </x:c>
      <x:c r="AD120" s="30" t="str">
        <x:v>Public — handicap 54 or lower</x:v>
      </x:c>
      <x:c r="AE120" s="31" t="b">
        <x:v>1</x:v>
      </x:c>
      <x:c r="AF120" s="31" t="b">
        <x:v>0</x:v>
      </x:c>
      <x:c r="AG120" s="30"/>
      <x:c r="AH120" s="30"/>
      <x:c r="AI120" s="30"/>
      <x:c r="AJ120" s="31" t="b">
        <x:v>0</x:v>
      </x:c>
      <x:c r="AK120" s="31" t="b">
        <x:v>0</x:v>
      </x:c>
      <x:c r="AL120" s="30" t="str">
        <x:v>Verified — national register and exact BAG address</x:v>
      </x:c>
      <x:c r="AM120" s="30" t="str">
        <x:v>https://www.golf.nl/de-baan-op/banenzoeker/overzicht</x:v>
      </x:c>
      <x:c r="AN120" s="30" t="str">
        <x:v>2026-08-15</x:v>
      </x:c>
      <x:c r="AO120" s="30" t="str">
        <x:v>+31 495-518438</x:v>
      </x:c>
      <x:c r="AP120" s="30" t="str">
        <x:v>Current NGF/GOLF.NL listing: 18 holes, par 72, 6198 metres. Combined from exact NGF-listed constituent nine-hole loops: 1ste negen (9 holes, par 36, 3193 m); 2de negen (9 holes, par 36, 3005 m) Listed as qualifying.</x:v>
      </x:c>
    </x:row>
    <x:row r="121">
      <x:c r="A121" s="30" t="str">
        <x:v>NL-C0076</x:v>
      </x:c>
      <x:c r="B121" s="30" t="str">
        <x:v>NL-0120</x:v>
      </x:c>
      <x:c r="C121" s="30" t="str">
        <x:v>Crossmoor Golf — Par-3 Course</x:v>
      </x:c>
      <x:c r="D121" s="30" t="str">
        <x:v>Crossmoor Golf</x:v>
      </x:c>
      <x:c r="E121" s="30" t="str">
        <x:v>Par-3 Course</x:v>
      </x:c>
      <x:c r="F121" s="30" t="str">
        <x:v>Netherlands</x:v>
      </x:c>
      <x:c r="G121" s="30" t="str">
        <x:v>Limburg</x:v>
      </x:c>
      <x:c r="H121" s="30" t="str">
        <x:v>Weert</x:v>
      </x:c>
      <x:c r="I121" s="30" t="str">
        <x:v>Weert</x:v>
      </x:c>
      <x:c r="J121" s="30" t="str">
        <x:v>Laurabosweg 8</x:v>
      </x:c>
      <x:c r="K121" s="30" t="str">
        <x:v>6006 VR</x:v>
      </x:c>
      <x:c r="L121" s="32" t="n">
        <x:v>51.22259221</x:v>
      </x:c>
      <x:c r="M121" s="32" t="n">
        <x:v>5.64411348</x:v>
      </x:c>
      <x:c r="N121" s="30" t="str">
        <x:v>WGS84 / EPSG:4326</x:v>
      </x:c>
      <x:c r="O121" s="30" t="str">
        <x:v>Verified BAG address point via PDOK</x:v>
      </x:c>
      <x:c r="P121" s="30" t="str">
        <x:v>2026-08-15</x:v>
      </x:c>
      <x:c r="Q121" s="33" t="n">
        <x:f>IF(R121="","",ROUND(R121/0.9144,0))</x:f>
        <x:v>855</x:v>
      </x:c>
      <x:c r="R121" s="33" t="n">
        <x:v>782</x:v>
      </x:c>
      <x:c r="S121" s="33" t="n">
        <x:v>9</x:v>
      </x:c>
      <x:c r="T121" s="33" t="n">
        <x:v>27</x:v>
      </x:c>
      <x:c r="U121" s="30" t="str">
        <x:v>Par-3 course</x:v>
      </x:c>
      <x:c r="V121" s="30"/>
      <x:c r="W121" s="30"/>
      <x:c r="X121" s="30"/>
      <x:c r="Y121" s="30" t="str">
        <x:v>https://www.domeinlaurabos.com/crossmoor-golf/</x:v>
      </x:c>
      <x:c r="Z121" s="30" t="b">
        <x:f>IF(AND(F121="Netherlands",ISNUMBER(L121),ISNUMBER(M121),L121&gt;=50.7,L121&lt;=53.7,M121&gt;=3.2,M121&lt;=7.3,AC121&lt;&gt;"Closed"),TRUE,FALSE)</x:f>
        <x:v>1</x:v>
      </x:c>
      <x:c r="AA121" s="30" t="b">
        <x:f>Z121</x:f>
        <x:v>1</x:v>
      </x:c>
      <x:c r="AB121" s="30" t="str">
        <x:f>IF(Z121,"verified_coordinate_and_open","not_map_ready")</x:f>
        <x:v>verified_coordinate_and_open</x:v>
      </x:c>
      <x:c r="AC121" s="30" t="str">
        <x:v>Open</x:v>
      </x:c>
      <x:c r="AD121" s="30" t="str">
        <x:v>Public — handicap 54 or lower</x:v>
      </x:c>
      <x:c r="AE121" s="31" t="b">
        <x:v>1</x:v>
      </x:c>
      <x:c r="AF121" s="31" t="b">
        <x:v>0</x:v>
      </x:c>
      <x:c r="AG121" s="30"/>
      <x:c r="AH121" s="30"/>
      <x:c r="AI121" s="30"/>
      <x:c r="AJ121" s="31" t="b">
        <x:v>0</x:v>
      </x:c>
      <x:c r="AK121" s="31" t="b">
        <x:v>0</x:v>
      </x:c>
      <x:c r="AL121" s="30" t="str">
        <x:v>Verified — national register and exact BAG address</x:v>
      </x:c>
      <x:c r="AM121" s="30" t="str">
        <x:v>https://www.golf.nl/de-baan-op/banenzoeker/overzicht</x:v>
      </x:c>
      <x:c r="AN121" s="30" t="str">
        <x:v>2026-08-15</x:v>
      </x:c>
      <x:c r="AO121" s="30" t="str">
        <x:v>+31 495-518438</x:v>
      </x:c>
      <x:c r="AP121" s="30" t="str">
        <x:v>Current NGF/GOLF.NL listing: 9 holes, par 27, 782 metres. Listed as qualifying.</x:v>
      </x:c>
    </x:row>
    <x:row r="122">
      <x:c r="A122" s="30" t="str">
        <x:v>NL-C0077</x:v>
      </x:c>
      <x:c r="B122" s="30" t="str">
        <x:v>NL-0121</x:v>
      </x:c>
      <x:c r="C122" s="30" t="str">
        <x:v>De Herkenbosche — Main Course</x:v>
      </x:c>
      <x:c r="D122" s="30" t="str">
        <x:v>De Herkenbosche</x:v>
      </x:c>
      <x:c r="E122" s="30" t="str">
        <x:v>Main Course</x:v>
      </x:c>
      <x:c r="F122" s="30" t="str">
        <x:v>Netherlands</x:v>
      </x:c>
      <x:c r="G122" s="30" t="str">
        <x:v>Limburg</x:v>
      </x:c>
      <x:c r="H122" s="30" t="str">
        <x:v>Roerdalen</x:v>
      </x:c>
      <x:c r="I122" s="30" t="str">
        <x:v>Herkenbosch</x:v>
      </x:c>
      <x:c r="J122" s="30" t="str">
        <x:v>Stationsweg 100</x:v>
      </x:c>
      <x:c r="K122" s="30" t="str">
        <x:v>6075 CD</x:v>
      </x:c>
      <x:c r="L122" s="32" t="n">
        <x:v>51.17101833</x:v>
      </x:c>
      <x:c r="M122" s="32" t="n">
        <x:v>6.0623677</x:v>
      </x:c>
      <x:c r="N122" s="30" t="str">
        <x:v>WGS84 / EPSG:4326</x:v>
      </x:c>
      <x:c r="O122" s="30" t="str">
        <x:v>Verified BAG address point via PDOK</x:v>
      </x:c>
      <x:c r="P122" s="30" t="str">
        <x:v>2026-08-15</x:v>
      </x:c>
      <x:c r="Q122" s="33" t="n">
        <x:f>IF(R122="","",ROUND(R122/0.9144,0))</x:f>
        <x:v>6716</x:v>
      </x:c>
      <x:c r="R122" s="33" t="n">
        <x:v>6141</x:v>
      </x:c>
      <x:c r="S122" s="33" t="n">
        <x:v>18</x:v>
      </x:c>
      <x:c r="T122" s="33" t="n">
        <x:v>72</x:v>
      </x:c>
      <x:c r="U122" s="30" t="str">
        <x:v>Full-length course</x:v>
      </x:c>
      <x:c r="V122" s="30"/>
      <x:c r="W122" s="30"/>
      <x:c r="X122" s="30"/>
      <x:c r="Y122" s="30" t="str">
        <x:v>https://deherkenbosche.nl/</x:v>
      </x:c>
      <x:c r="Z122" s="30" t="b">
        <x:f>IF(AND(F122="Netherlands",ISNUMBER(L122),ISNUMBER(M122),L122&gt;=50.7,L122&lt;=53.7,M122&gt;=3.2,M122&lt;=7.3,AC122&lt;&gt;"Closed"),TRUE,FALSE)</x:f>
        <x:v>1</x:v>
      </x:c>
      <x:c r="AA122" s="30" t="b">
        <x:f>Z122</x:f>
        <x:v>1</x:v>
      </x:c>
      <x:c r="AB122" s="30" t="str">
        <x:f>IF(Z122,"verified_coordinate_and_open","not_map_ready")</x:f>
        <x:v>verified_coordinate_and_open</x:v>
      </x:c>
      <x:c r="AC122" s="30" t="str">
        <x:v>Open</x:v>
      </x:c>
      <x:c r="AD122" s="30" t="str">
        <x:v>Public — no playing requirement</x:v>
      </x:c>
      <x:c r="AE122" s="31" t="b">
        <x:v>1</x:v>
      </x:c>
      <x:c r="AF122" s="31" t="b">
        <x:v>0</x:v>
      </x:c>
      <x:c r="AG122" s="30"/>
      <x:c r="AH122" s="30"/>
      <x:c r="AI122" s="30"/>
      <x:c r="AJ122" s="31" t="b">
        <x:v>0</x:v>
      </x:c>
      <x:c r="AK122" s="31" t="b">
        <x:v>0</x:v>
      </x:c>
      <x:c r="AL122" s="30" t="str">
        <x:v>Verified — national register and exact BAG address</x:v>
      </x:c>
      <x:c r="AM122" s="30" t="str">
        <x:v>https://www.golf.nl/de-baan-op/banenzoeker/overzicht</x:v>
      </x:c>
      <x:c r="AN122" s="30" t="str">
        <x:v>2026-08-15</x:v>
      </x:c>
      <x:c r="AO122" s="30" t="str">
        <x:v>+31 475-529529</x:v>
      </x:c>
      <x:c r="AP122" s="30" t="str">
        <x:v>Current NGF/GOLF.NL listing: 18 holes, par 72, 6141 metres. Combined from exact NGF-listed constituent nine-hole loops: 1ste negen (9 holes, par 36, 3082 m); 2de negen (9 holes, par 36, 3059 m) Listed as qualifying.</x:v>
      </x:c>
    </x:row>
    <x:row r="123">
      <x:c r="A123" s="30" t="str">
        <x:v>NL-C0077</x:v>
      </x:c>
      <x:c r="B123" s="30" t="str">
        <x:v>NL-0122</x:v>
      </x:c>
      <x:c r="C123" s="30" t="str">
        <x:v>De Herkenbosche — Par-3 Course</x:v>
      </x:c>
      <x:c r="D123" s="30" t="str">
        <x:v>De Herkenbosche</x:v>
      </x:c>
      <x:c r="E123" s="30" t="str">
        <x:v>Par-3 Course</x:v>
      </x:c>
      <x:c r="F123" s="30" t="str">
        <x:v>Netherlands</x:v>
      </x:c>
      <x:c r="G123" s="30" t="str">
        <x:v>Limburg</x:v>
      </x:c>
      <x:c r="H123" s="30" t="str">
        <x:v>Roerdalen</x:v>
      </x:c>
      <x:c r="I123" s="30" t="str">
        <x:v>Herkenbosch</x:v>
      </x:c>
      <x:c r="J123" s="30" t="str">
        <x:v>Stationsweg 100</x:v>
      </x:c>
      <x:c r="K123" s="30" t="str">
        <x:v>6075 CD</x:v>
      </x:c>
      <x:c r="L123" s="32" t="n">
        <x:v>51.17101833</x:v>
      </x:c>
      <x:c r="M123" s="32" t="n">
        <x:v>6.0623677</x:v>
      </x:c>
      <x:c r="N123" s="30" t="str">
        <x:v>WGS84 / EPSG:4326</x:v>
      </x:c>
      <x:c r="O123" s="30" t="str">
        <x:v>Verified BAG address point via PDOK</x:v>
      </x:c>
      <x:c r="P123" s="30" t="str">
        <x:v>2026-08-15</x:v>
      </x:c>
      <x:c r="Q123" s="33" t="n">
        <x:f>IF(R123="","",ROUND(R123/0.9144,0))</x:f>
        <x:v>615</x:v>
      </x:c>
      <x:c r="R123" s="33" t="n">
        <x:v>562</x:v>
      </x:c>
      <x:c r="S123" s="33" t="n">
        <x:v>9</x:v>
      </x:c>
      <x:c r="T123" s="33" t="n">
        <x:v>27</x:v>
      </x:c>
      <x:c r="U123" s="30" t="str">
        <x:v>Par-3 course</x:v>
      </x:c>
      <x:c r="V123" s="30"/>
      <x:c r="W123" s="30"/>
      <x:c r="X123" s="30"/>
      <x:c r="Y123" s="30" t="str">
        <x:v>https://deherkenbosche.nl/</x:v>
      </x:c>
      <x:c r="Z123" s="30" t="b">
        <x:f>IF(AND(F123="Netherlands",ISNUMBER(L123),ISNUMBER(M123),L123&gt;=50.7,L123&lt;=53.7,M123&gt;=3.2,M123&lt;=7.3,AC123&lt;&gt;"Closed"),TRUE,FALSE)</x:f>
        <x:v>1</x:v>
      </x:c>
      <x:c r="AA123" s="30" t="b">
        <x:f>Z123</x:f>
        <x:v>1</x:v>
      </x:c>
      <x:c r="AB123" s="30" t="str">
        <x:f>IF(Z123,"verified_coordinate_and_open","not_map_ready")</x:f>
        <x:v>verified_coordinate_and_open</x:v>
      </x:c>
      <x:c r="AC123" s="30" t="str">
        <x:v>Open</x:v>
      </x:c>
      <x:c r="AD123" s="30" t="str">
        <x:v>Public — NGF course permission</x:v>
      </x:c>
      <x:c r="AE123" s="31" t="b">
        <x:v>1</x:v>
      </x:c>
      <x:c r="AF123" s="31" t="b">
        <x:v>0</x:v>
      </x:c>
      <x:c r="AG123" s="30"/>
      <x:c r="AH123" s="30"/>
      <x:c r="AI123" s="30"/>
      <x:c r="AJ123" s="31" t="b">
        <x:v>0</x:v>
      </x:c>
      <x:c r="AK123" s="31" t="b">
        <x:v>0</x:v>
      </x:c>
      <x:c r="AL123" s="30" t="str">
        <x:v>Verified — national register and exact BAG address</x:v>
      </x:c>
      <x:c r="AM123" s="30" t="str">
        <x:v>https://www.golf.nl/de-baan-op/banenzoeker/overzicht</x:v>
      </x:c>
      <x:c r="AN123" s="30" t="str">
        <x:v>2026-08-15</x:v>
      </x:c>
      <x:c r="AO123" s="30" t="str">
        <x:v>+31 475-529529</x:v>
      </x:c>
      <x:c r="AP123" s="30" t="str">
        <x:v>Current NGF/GOLF.NL listing: 9 holes, par 27, 562 metres. Listed as qualifying.</x:v>
      </x:c>
    </x:row>
    <x:row r="124">
      <x:c r="A124" s="30" t="str">
        <x:v>NL-C0078</x:v>
      </x:c>
      <x:c r="B124" s="30" t="str">
        <x:v>NL-0123</x:v>
      </x:c>
      <x:c r="C124" s="30" t="str">
        <x:v>De Zuid Limburgse Golf- en Countryclub Wittem — Main Course</x:v>
      </x:c>
      <x:c r="D124" s="30" t="str">
        <x:v>De Zuid Limburgse Golf- en Countryclub Wittem</x:v>
      </x:c>
      <x:c r="E124" s="30" t="str">
        <x:v>Main Course</x:v>
      </x:c>
      <x:c r="F124" s="30" t="str">
        <x:v>Netherlands</x:v>
      </x:c>
      <x:c r="G124" s="30" t="str">
        <x:v>Limburg</x:v>
      </x:c>
      <x:c r="H124" s="30" t="str">
        <x:v>Gulpen-Wittem</x:v>
      </x:c>
      <x:c r="I124" s="30" t="str">
        <x:v>Mechelen</x:v>
      </x:c>
      <x:c r="J124" s="30" t="str">
        <x:v>Aubelsweg 1</x:v>
      </x:c>
      <x:c r="K124" s="30" t="str">
        <x:v>6281 PC</x:v>
      </x:c>
      <x:c r="L124" s="32" t="n">
        <x:v>50.79004153</x:v>
      </x:c>
      <x:c r="M124" s="32" t="n">
        <x:v>5.89587864</x:v>
      </x:c>
      <x:c r="N124" s="30" t="str">
        <x:v>WGS84 / EPSG:4326</x:v>
      </x:c>
      <x:c r="O124" s="30" t="str">
        <x:v>Verified BAG address point via PDOK</x:v>
      </x:c>
      <x:c r="P124" s="30" t="str">
        <x:v>2026-08-15</x:v>
      </x:c>
      <x:c r="Q124" s="33" t="n">
        <x:f>IF(R124="","",ROUND(R124/0.9144,0))</x:f>
        <x:v>6305</x:v>
      </x:c>
      <x:c r="R124" s="33" t="n">
        <x:v>5765</x:v>
      </x:c>
      <x:c r="S124" s="33" t="n">
        <x:v>18</x:v>
      </x:c>
      <x:c r="T124" s="33" t="n">
        <x:v>71</x:v>
      </x:c>
      <x:c r="U124" s="30" t="str">
        <x:v>Full-length course</x:v>
      </x:c>
      <x:c r="V124" s="30"/>
      <x:c r="W124" s="30"/>
      <x:c r="X124" s="30"/>
      <x:c r="Y124" s="30" t="str">
        <x:v>https://zlgolf.nl/</x:v>
      </x:c>
      <x:c r="Z124" s="30" t="b">
        <x:f>IF(AND(F124="Netherlands",ISNUMBER(L124),ISNUMBER(M124),L124&gt;=50.7,L124&lt;=53.7,M124&gt;=3.2,M124&lt;=7.3,AC124&lt;&gt;"Closed"),TRUE,FALSE)</x:f>
        <x:v>1</x:v>
      </x:c>
      <x:c r="AA124" s="30" t="b">
        <x:f>Z124</x:f>
        <x:v>1</x:v>
      </x:c>
      <x:c r="AB124" s="30" t="str">
        <x:f>IF(Z124,"verified_coordinate_and_open","not_map_ready")</x:f>
        <x:v>verified_coordinate_and_open</x:v>
      </x:c>
      <x:c r="AC124" s="30" t="str">
        <x:v>Open</x:v>
      </x:c>
      <x:c r="AD124" s="30" t="str">
        <x:v>Public — handicap 36 or lower</x:v>
      </x:c>
      <x:c r="AE124" s="31" t="b">
        <x:v>1</x:v>
      </x:c>
      <x:c r="AF124" s="31" t="b">
        <x:v>0</x:v>
      </x:c>
      <x:c r="AG124" s="30"/>
      <x:c r="AH124" s="30"/>
      <x:c r="AI124" s="30"/>
      <x:c r="AJ124" s="31" t="b">
        <x:v>0</x:v>
      </x:c>
      <x:c r="AK124" s="31" t="b">
        <x:v>0</x:v>
      </x:c>
      <x:c r="AL124" s="30" t="str">
        <x:v>Verified — national register and exact BAG address</x:v>
      </x:c>
      <x:c r="AM124" s="30" t="str">
        <x:v>https://www.golf.nl/de-baan-op/banenzoeker/overzicht</x:v>
      </x:c>
      <x:c r="AN124" s="30" t="str">
        <x:v>2026-08-15</x:v>
      </x:c>
      <x:c r="AO124" s="30" t="str">
        <x:v>+31 43-4551254</x:v>
      </x:c>
      <x:c r="AP124" s="30" t="str">
        <x:v>Current NGF/GOLF.NL listing: 18 holes, par 71, 5765 metres. Combined from exact NGF-listed constituent nine-hole loops: 1ste negen (9 holes, par 36, 2927 m); 2de negen (9 holes, par 35, 2838 m) Listed as qualifying.</x:v>
      </x:c>
    </x:row>
    <x:row r="125">
      <x:c r="A125" s="30" t="str">
        <x:v>NL-C0079</x:v>
      </x:c>
      <x:c r="B125" s="30" t="str">
        <x:v>NL-0124</x:v>
      </x:c>
      <x:c r="C125" s="30" t="str">
        <x:v>Golf aan de Postweg</x:v>
      </x:c>
      <x:c r="D125" s="30" t="str">
        <x:v>Golf aan de Postweg</x:v>
      </x:c>
      <x:c r="E125" s="30" t="str">
        <x:v>Course</x:v>
      </x:c>
      <x:c r="F125" s="30" t="str">
        <x:v>Netherlands</x:v>
      </x:c>
      <x:c r="G125" s="30" t="str">
        <x:v>Limburg</x:v>
      </x:c>
      <x:c r="H125" s="30" t="str">
        <x:v>Venlo</x:v>
      </x:c>
      <x:c r="I125" s="30" t="str">
        <x:v>Venlo</x:v>
      </x:c>
      <x:c r="J125" s="30" t="str">
        <x:v>Leutherweg 188</x:v>
      </x:c>
      <x:c r="K125" s="30" t="str">
        <x:v>5915 CM</x:v>
      </x:c>
      <x:c r="L125" s="32" t="n">
        <x:v>51.3543262</x:v>
      </x:c>
      <x:c r="M125" s="32" t="n">
        <x:v>6.19021059</x:v>
      </x:c>
      <x:c r="N125" s="30" t="str">
        <x:v>WGS84 / EPSG:4326</x:v>
      </x:c>
      <x:c r="O125" s="30" t="str">
        <x:v>Verified BAG address point via PDOK</x:v>
      </x:c>
      <x:c r="P125" s="30" t="str">
        <x:v>2026-08-15</x:v>
      </x:c>
      <x:c r="Q125" s="33" t="n">
        <x:f>IF(R125="","",ROUND(R125/0.9144,0))</x:f>
        <x:v>1094</x:v>
      </x:c>
      <x:c r="R125" s="33" t="n">
        <x:v>1000</x:v>
      </x:c>
      <x:c r="S125" s="33" t="n">
        <x:v>9</x:v>
      </x:c>
      <x:c r="T125" s="33" t="n">
        <x:v>29</x:v>
      </x:c>
      <x:c r="U125" s="30" t="str">
        <x:v>Par-3/4 course</x:v>
      </x:c>
      <x:c r="V125" s="30"/>
      <x:c r="W125" s="30"/>
      <x:c r="X125" s="30"/>
      <x:c r="Y125" s="30" t="str">
        <x:v>https://golfaandepostweg.nl/</x:v>
      </x:c>
      <x:c r="Z125" s="30" t="b">
        <x:f>IF(AND(F125="Netherlands",ISNUMBER(L125),ISNUMBER(M125),L125&gt;=50.7,L125&lt;=53.7,M125&gt;=3.2,M125&lt;=7.3,AC125&lt;&gt;"Closed"),TRUE,FALSE)</x:f>
        <x:v>1</x:v>
      </x:c>
      <x:c r="AA125" s="30" t="b">
        <x:f>Z125</x:f>
        <x:v>1</x:v>
      </x:c>
      <x:c r="AB125" s="30" t="str">
        <x:f>IF(Z125,"verified_coordinate_and_open","not_map_ready")</x:f>
        <x:v>verified_coordinate_and_open</x:v>
      </x:c>
      <x:c r="AC125" s="30" t="str">
        <x:v>Open</x:v>
      </x:c>
      <x:c r="AD125" s="30" t="str">
        <x:v>Public — no playing requirement</x:v>
      </x:c>
      <x:c r="AE125" s="31" t="b">
        <x:v>0</x:v>
      </x:c>
      <x:c r="AF125" s="31" t="b">
        <x:v>0</x:v>
      </x:c>
      <x:c r="AG125" s="30"/>
      <x:c r="AH125" s="30"/>
      <x:c r="AI125" s="30"/>
      <x:c r="AJ125" s="31" t="b">
        <x:v>0</x:v>
      </x:c>
      <x:c r="AK125" s="31" t="b">
        <x:v>0</x:v>
      </x:c>
      <x:c r="AL125" s="30" t="str">
        <x:v>Verified — national register and exact BAG address</x:v>
      </x:c>
      <x:c r="AM125" s="30" t="str">
        <x:v>https://www.golf.nl/de-baan-op/banenzoeker/overzicht</x:v>
      </x:c>
      <x:c r="AN125" s="30" t="str">
        <x:v>2026-08-15</x:v>
      </x:c>
      <x:c r="AO125" s="30"/>
      <x:c r="AP125" s="30" t="str">
        <x:v>Current NGF/GOLF.NL listing: 9 holes, par 29, 1000 metres. Listed as non-qualifying.</x:v>
      </x:c>
    </x:row>
    <x:row r="126">
      <x:c r="A126" s="30" t="str">
        <x:v>NL-C0080</x:v>
      </x:c>
      <x:c r="B126" s="30" t="str">
        <x:v>NL-0125</x:v>
      </x:c>
      <x:c r="C126" s="30" t="str">
        <x:v>Golf Eyckenduyn</x:v>
      </x:c>
      <x:c r="D126" s="30" t="str">
        <x:v>Golf Eyckenduyn</x:v>
      </x:c>
      <x:c r="E126" s="30" t="str">
        <x:v>Course</x:v>
      </x:c>
      <x:c r="F126" s="30" t="str">
        <x:v>Netherlands</x:v>
      </x:c>
      <x:c r="G126" s="30" t="str">
        <x:v>Limburg</x:v>
      </x:c>
      <x:c r="H126" s="30" t="str">
        <x:v>Peel en Maas</x:v>
      </x:c>
      <x:c r="I126" s="30" t="str">
        <x:v>Helden</x:v>
      </x:c>
      <x:c r="J126" s="30" t="str">
        <x:v>Kesselseweg 9</x:v>
      </x:c>
      <x:c r="K126" s="30" t="str">
        <x:v>5988 CC</x:v>
      </x:c>
      <x:c r="L126" s="32" t="n">
        <x:v>51.31817482</x:v>
      </x:c>
      <x:c r="M126" s="32" t="n">
        <x:v>6.00467412</x:v>
      </x:c>
      <x:c r="N126" s="30" t="str">
        <x:v>WGS84 / EPSG:4326</x:v>
      </x:c>
      <x:c r="O126" s="30" t="str">
        <x:v>Verified BAG address point via PDOK</x:v>
      </x:c>
      <x:c r="P126" s="30" t="str">
        <x:v>2026-08-15</x:v>
      </x:c>
      <x:c r="Q126" s="33" t="n">
        <x:f>IF(R126="","",ROUND(R126/0.9144,0))</x:f>
        <x:v>1635</x:v>
      </x:c>
      <x:c r="R126" s="33" t="n">
        <x:v>1495</x:v>
      </x:c>
      <x:c r="S126" s="33" t="n">
        <x:v>9</x:v>
      </x:c>
      <x:c r="T126" s="33" t="n">
        <x:v>29</x:v>
      </x:c>
      <x:c r="U126" s="30" t="str">
        <x:v>Par-3/4 course</x:v>
      </x:c>
      <x:c r="V126" s="30"/>
      <x:c r="W126" s="30"/>
      <x:c r="X126" s="30"/>
      <x:c r="Y126" s="30" t="str">
        <x:v>https://www.eyckenduyn.nl/</x:v>
      </x:c>
      <x:c r="Z126" s="30" t="b">
        <x:f>IF(AND(F126="Netherlands",ISNUMBER(L126),ISNUMBER(M126),L126&gt;=50.7,L126&lt;=53.7,M126&gt;=3.2,M126&lt;=7.3,AC126&lt;&gt;"Closed"),TRUE,FALSE)</x:f>
        <x:v>1</x:v>
      </x:c>
      <x:c r="AA126" s="30" t="b">
        <x:f>Z126</x:f>
        <x:v>1</x:v>
      </x:c>
      <x:c r="AB126" s="30" t="str">
        <x:f>IF(Z126,"verified_coordinate_and_open","not_map_ready")</x:f>
        <x:v>verified_coordinate_and_open</x:v>
      </x:c>
      <x:c r="AC126" s="30" t="str">
        <x:v>Open</x:v>
      </x:c>
      <x:c r="AD126" s="30" t="str">
        <x:v>Public — handicap 54 or lower</x:v>
      </x:c>
      <x:c r="AE126" s="31" t="b">
        <x:v>1</x:v>
      </x:c>
      <x:c r="AF126" s="31" t="b">
        <x:v>0</x:v>
      </x:c>
      <x:c r="AG126" s="30"/>
      <x:c r="AH126" s="30"/>
      <x:c r="AI126" s="30"/>
      <x:c r="AJ126" s="31" t="b">
        <x:v>0</x:v>
      </x:c>
      <x:c r="AK126" s="31" t="b">
        <x:v>0</x:v>
      </x:c>
      <x:c r="AL126" s="30" t="str">
        <x:v>Verified — national register and exact BAG address</x:v>
      </x:c>
      <x:c r="AM126" s="30" t="str">
        <x:v>https://www.golf.nl/de-baan-op/banenzoeker/overzicht</x:v>
      </x:c>
      <x:c r="AN126" s="30" t="str">
        <x:v>2026-08-15</x:v>
      </x:c>
      <x:c r="AO126" s="30" t="str">
        <x:v>+31 77-8512865</x:v>
      </x:c>
      <x:c r="AP126" s="30" t="str">
        <x:v>Current NGF/GOLF.NL listing: 9 holes, par 29, 1495 metres. Listed as qualifying.</x:v>
      </x:c>
    </x:row>
    <x:row r="127">
      <x:c r="A127" s="30" t="str">
        <x:v>NL-C0081</x:v>
      </x:c>
      <x:c r="B127" s="30" t="str">
        <x:v>NL-0126</x:v>
      </x:c>
      <x:c r="C127" s="30" t="str">
        <x:v>Golf Maasduinen</x:v>
      </x:c>
      <x:c r="D127" s="30" t="str">
        <x:v>Golf Maasduinen</x:v>
      </x:c>
      <x:c r="E127" s="30" t="str">
        <x:v>Course</x:v>
      </x:c>
      <x:c r="F127" s="30" t="str">
        <x:v>Netherlands</x:v>
      </x:c>
      <x:c r="G127" s="30" t="str">
        <x:v>Limburg</x:v>
      </x:c>
      <x:c r="H127" s="30" t="str">
        <x:v>Venlo</x:v>
      </x:c>
      <x:c r="I127" s="30" t="str">
        <x:v>Arcen</x:v>
      </x:c>
      <x:c r="J127" s="30" t="str">
        <x:v>Verlengde Roobeekweg 4A</x:v>
      </x:c>
      <x:c r="K127" s="30" t="str">
        <x:v>5944 NR</x:v>
      </x:c>
      <x:c r="L127" s="32" t="n">
        <x:v>51.50015132</x:v>
      </x:c>
      <x:c r="M127" s="32" t="n">
        <x:v>6.17620181</x:v>
      </x:c>
      <x:c r="N127" s="30" t="str">
        <x:v>WGS84 / EPSG:4326</x:v>
      </x:c>
      <x:c r="O127" s="30" t="str">
        <x:v>Verified BAG address point via PDOK</x:v>
      </x:c>
      <x:c r="P127" s="30" t="str">
        <x:v>2026-08-15</x:v>
      </x:c>
      <x:c r="Q127" s="33" t="n">
        <x:f>IF(R127="","",ROUND(R127/0.9144,0))</x:f>
        <x:v>1298</x:v>
      </x:c>
      <x:c r="R127" s="33" t="n">
        <x:v>1187</x:v>
      </x:c>
      <x:c r="S127" s="33" t="n">
        <x:v>9</x:v>
      </x:c>
      <x:c r="T127" s="33" t="n">
        <x:v>29</x:v>
      </x:c>
      <x:c r="U127" s="30" t="str">
        <x:v>Par-3/4 course</x:v>
      </x:c>
      <x:c r="V127" s="30"/>
      <x:c r="W127" s="30"/>
      <x:c r="X127" s="30"/>
      <x:c r="Y127" s="30" t="str">
        <x:v>https://www.golfmaasduinen.nl/</x:v>
      </x:c>
      <x:c r="Z127" s="30" t="b">
        <x:f>IF(AND(F127="Netherlands",ISNUMBER(L127),ISNUMBER(M127),L127&gt;=50.7,L127&lt;=53.7,M127&gt;=3.2,M127&lt;=7.3,AC127&lt;&gt;"Closed"),TRUE,FALSE)</x:f>
        <x:v>1</x:v>
      </x:c>
      <x:c r="AA127" s="30" t="b">
        <x:f>Z127</x:f>
        <x:v>1</x:v>
      </x:c>
      <x:c r="AB127" s="30" t="str">
        <x:f>IF(Z127,"verified_coordinate_and_open","not_map_ready")</x:f>
        <x:v>verified_coordinate_and_open</x:v>
      </x:c>
      <x:c r="AC127" s="30" t="str">
        <x:v>Open</x:v>
      </x:c>
      <x:c r="AD127" s="30" t="str">
        <x:v>Public — NGF course permission</x:v>
      </x:c>
      <x:c r="AE127" s="31" t="b">
        <x:v>1</x:v>
      </x:c>
      <x:c r="AF127" s="31" t="b">
        <x:v>0</x:v>
      </x:c>
      <x:c r="AG127" s="30"/>
      <x:c r="AH127" s="30"/>
      <x:c r="AI127" s="30"/>
      <x:c r="AJ127" s="31" t="b">
        <x:v>0</x:v>
      </x:c>
      <x:c r="AK127" s="31" t="b">
        <x:v>0</x:v>
      </x:c>
      <x:c r="AL127" s="30" t="str">
        <x:v>Verified — national register and exact BAG address</x:v>
      </x:c>
      <x:c r="AM127" s="30" t="str">
        <x:v>https://www.golf.nl/de-baan-op/banenzoeker/overzicht</x:v>
      </x:c>
      <x:c r="AN127" s="30" t="str">
        <x:v>2026-08-15</x:v>
      </x:c>
      <x:c r="AO127" s="30" t="str">
        <x:v>+31 77-3743073</x:v>
      </x:c>
      <x:c r="AP127" s="30" t="str">
        <x:v>Current NGF/GOLF.NL listing: 9 holes, par 29, 1187 metres. Listed as qualifying.</x:v>
      </x:c>
    </x:row>
    <x:row r="128">
      <x:c r="A128" s="30" t="str">
        <x:v>NL-C0082</x:v>
      </x:c>
      <x:c r="B128" s="30" t="str">
        <x:v>NL-0127</x:v>
      </x:c>
      <x:c r="C128" s="30" t="str">
        <x:v>Golf- &amp; Countryclub Geijsteren — Main Course</x:v>
      </x:c>
      <x:c r="D128" s="30" t="str">
        <x:v>Golf- &amp; Countryclub Geijsteren</x:v>
      </x:c>
      <x:c r="E128" s="30" t="str">
        <x:v>Main Course</x:v>
      </x:c>
      <x:c r="F128" s="30" t="str">
        <x:v>Netherlands</x:v>
      </x:c>
      <x:c r="G128" s="30" t="str">
        <x:v>Limburg</x:v>
      </x:c>
      <x:c r="H128" s="30" t="str">
        <x:v>Venray</x:v>
      </x:c>
      <x:c r="I128" s="30" t="str">
        <x:v>Geijsteren</x:v>
      </x:c>
      <x:c r="J128" s="30" t="str">
        <x:v>Maasheseweg 4</x:v>
      </x:c>
      <x:c r="K128" s="30" t="str">
        <x:v>5862 AB</x:v>
      </x:c>
      <x:c r="L128" s="32" t="n">
        <x:v>51.55711436</x:v>
      </x:c>
      <x:c r="M128" s="32" t="n">
        <x:v>6.04702024</x:v>
      </x:c>
      <x:c r="N128" s="30" t="str">
        <x:v>WGS84 / EPSG:4326</x:v>
      </x:c>
      <x:c r="O128" s="30" t="str">
        <x:v>Verified BAG address point via PDOK</x:v>
      </x:c>
      <x:c r="P128" s="30" t="str">
        <x:v>2026-08-15</x:v>
      </x:c>
      <x:c r="Q128" s="33" t="n">
        <x:f>IF(R128="","",ROUND(R128/0.9144,0))</x:f>
        <x:v>6660</x:v>
      </x:c>
      <x:c r="R128" s="33" t="n">
        <x:v>6090</x:v>
      </x:c>
      <x:c r="S128" s="33" t="n">
        <x:v>18</x:v>
      </x:c>
      <x:c r="T128" s="33" t="n">
        <x:v>72</x:v>
      </x:c>
      <x:c r="U128" s="30" t="str">
        <x:v>Full-length course</x:v>
      </x:c>
      <x:c r="V128" s="30"/>
      <x:c r="W128" s="30"/>
      <x:c r="X128" s="30"/>
      <x:c r="Y128" s="30" t="str">
        <x:v>https://www.golfclubgeijsteren.nl/</x:v>
      </x:c>
      <x:c r="Z128" s="30" t="b">
        <x:f>IF(AND(F128="Netherlands",ISNUMBER(L128),ISNUMBER(M128),L128&gt;=50.7,L128&lt;=53.7,M128&gt;=3.2,M128&lt;=7.3,AC128&lt;&gt;"Closed"),TRUE,FALSE)</x:f>
        <x:v>1</x:v>
      </x:c>
      <x:c r="AA128" s="30" t="b">
        <x:f>Z128</x:f>
        <x:v>1</x:v>
      </x:c>
      <x:c r="AB128" s="30" t="str">
        <x:f>IF(Z128,"verified_coordinate_and_open","not_map_ready")</x:f>
        <x:v>verified_coordinate_and_open</x:v>
      </x:c>
      <x:c r="AC128" s="30" t="str">
        <x:v>Open</x:v>
      </x:c>
      <x:c r="AD128" s="30" t="str">
        <x:v>Public — handicap 54 or lower</x:v>
      </x:c>
      <x:c r="AE128" s="31" t="b">
        <x:v>1</x:v>
      </x:c>
      <x:c r="AF128" s="31" t="b">
        <x:v>0</x:v>
      </x:c>
      <x:c r="AG128" s="30"/>
      <x:c r="AH128" s="30"/>
      <x:c r="AI128" s="30"/>
      <x:c r="AJ128" s="31" t="b">
        <x:v>0</x:v>
      </x:c>
      <x:c r="AK128" s="31" t="b">
        <x:v>0</x:v>
      </x:c>
      <x:c r="AL128" s="30" t="str">
        <x:v>Verified — national register and exact BAG address</x:v>
      </x:c>
      <x:c r="AM128" s="30" t="str">
        <x:v>https://www.golf.nl/de-baan-op/banenzoeker/overzicht</x:v>
      </x:c>
      <x:c r="AN128" s="30" t="str">
        <x:v>2026-08-15</x:v>
      </x:c>
      <x:c r="AO128" s="30" t="str">
        <x:v>+31 478-532367</x:v>
      </x:c>
      <x:c r="AP128" s="30" t="str">
        <x:v>Current NGF/GOLF.NL listing: 18 holes, par 72, 6090 metres. Combined from exact NGF-listed constituent nine-hole loops: 1ste negen (9 holes, par 35, 2881 m); 2de negen (9 holes, par 37, 3209 m) Listed as qualifying.</x:v>
      </x:c>
    </x:row>
    <x:row r="129">
      <x:c r="A129" s="30" t="str">
        <x:v>NL-C0083</x:v>
      </x:c>
      <x:c r="B129" s="30" t="str">
        <x:v>NL-0128</x:v>
      </x:c>
      <x:c r="C129" s="30" t="str">
        <x:v>Golf-Resort Brunssummerheide — Blauw</x:v>
      </x:c>
      <x:c r="D129" s="30" t="str">
        <x:v>Golf-Resort Brunssummerheide</x:v>
      </x:c>
      <x:c r="E129" s="30" t="str">
        <x:v>Blauw</x:v>
      </x:c>
      <x:c r="F129" s="30" t="str">
        <x:v>Netherlands</x:v>
      </x:c>
      <x:c r="G129" s="30" t="str">
        <x:v>Limburg</x:v>
      </x:c>
      <x:c r="H129" s="30" t="str">
        <x:v>Brunssum</x:v>
      </x:c>
      <x:c r="I129" s="30" t="str">
        <x:v>Brunssum</x:v>
      </x:c>
      <x:c r="J129" s="30" t="str">
        <x:v>Rimburgerweg 52</x:v>
      </x:c>
      <x:c r="K129" s="30" t="str">
        <x:v>6445 PA</x:v>
      </x:c>
      <x:c r="L129" s="32" t="n">
        <x:v>50.93492692</x:v>
      </x:c>
      <x:c r="M129" s="32" t="n">
        <x:v>6.00964086</x:v>
      </x:c>
      <x:c r="N129" s="30" t="str">
        <x:v>WGS84 / EPSG:4326</x:v>
      </x:c>
      <x:c r="O129" s="30" t="str">
        <x:v>Verified BAG address point via PDOK</x:v>
      </x:c>
      <x:c r="P129" s="30" t="str">
        <x:v>2026-08-15</x:v>
      </x:c>
      <x:c r="Q129" s="33" t="n">
        <x:f>IF(R129="","",ROUND(R129/0.9144,0))</x:f>
        <x:v>3388</x:v>
      </x:c>
      <x:c r="R129" s="33" t="n">
        <x:v>3098</x:v>
      </x:c>
      <x:c r="S129" s="33" t="n">
        <x:v>9</x:v>
      </x:c>
      <x:c r="T129" s="33" t="n">
        <x:v>36</x:v>
      </x:c>
      <x:c r="U129" s="30" t="str">
        <x:v>Full-length course</x:v>
      </x:c>
      <x:c r="V129" s="30"/>
      <x:c r="W129" s="30"/>
      <x:c r="X129" s="30"/>
      <x:c r="Y129" s="30" t="str">
        <x:v>https://www.golfclubbrunssummerheide.nl/</x:v>
      </x:c>
      <x:c r="Z129" s="30" t="b">
        <x:f>IF(AND(F129="Netherlands",ISNUMBER(L129),ISNUMBER(M129),L129&gt;=50.7,L129&lt;=53.7,M129&gt;=3.2,M129&lt;=7.3,AC129&lt;&gt;"Closed"),TRUE,FALSE)</x:f>
        <x:v>1</x:v>
      </x:c>
      <x:c r="AA129" s="30" t="b">
        <x:f>Z129</x:f>
        <x:v>1</x:v>
      </x:c>
      <x:c r="AB129" s="30" t="str">
        <x:f>IF(Z129,"verified_coordinate_and_open","not_map_ready")</x:f>
        <x:v>verified_coordinate_and_open</x:v>
      </x:c>
      <x:c r="AC129" s="30" t="str">
        <x:v>Open</x:v>
      </x:c>
      <x:c r="AD129" s="30" t="str">
        <x:v>Public — handicap 54 or lower</x:v>
      </x:c>
      <x:c r="AE129" s="31" t="b">
        <x:v>1</x:v>
      </x:c>
      <x:c r="AF129" s="31" t="b">
        <x:v>0</x:v>
      </x:c>
      <x:c r="AG129" s="30"/>
      <x:c r="AH129" s="30"/>
      <x:c r="AI129" s="30"/>
      <x:c r="AJ129" s="31" t="b">
        <x:v>0</x:v>
      </x:c>
      <x:c r="AK129" s="31" t="b">
        <x:v>0</x:v>
      </x:c>
      <x:c r="AL129" s="30" t="str">
        <x:v>Verified — national register and exact BAG address</x:v>
      </x:c>
      <x:c r="AM129" s="30" t="str">
        <x:v>https://www.golf.nl/de-baan-op/banenzoeker/overzicht</x:v>
      </x:c>
      <x:c r="AN129" s="30" t="str">
        <x:v>2026-08-15</x:v>
      </x:c>
      <x:c r="AO129" s="30" t="str">
        <x:v>+31 45-5646300</x:v>
      </x:c>
      <x:c r="AP129" s="30" t="str">
        <x:v>Current NGF/GOLF.NL listing: 9 holes, par 36, 3098 metres. Listed as qualifying.</x:v>
      </x:c>
    </x:row>
    <x:row r="130">
      <x:c r="A130" s="30" t="str">
        <x:v>NL-C0083</x:v>
      </x:c>
      <x:c r="B130" s="30" t="str">
        <x:v>NL-0129</x:v>
      </x:c>
      <x:c r="C130" s="30" t="str">
        <x:v>Golf-Resort Brunssummerheide — Geel</x:v>
      </x:c>
      <x:c r="D130" s="30" t="str">
        <x:v>Golf-Resort Brunssummerheide</x:v>
      </x:c>
      <x:c r="E130" s="30" t="str">
        <x:v>Geel</x:v>
      </x:c>
      <x:c r="F130" s="30" t="str">
        <x:v>Netherlands</x:v>
      </x:c>
      <x:c r="G130" s="30" t="str">
        <x:v>Limburg</x:v>
      </x:c>
      <x:c r="H130" s="30" t="str">
        <x:v>Brunssum</x:v>
      </x:c>
      <x:c r="I130" s="30" t="str">
        <x:v>Brunssum</x:v>
      </x:c>
      <x:c r="J130" s="30" t="str">
        <x:v>Rimburgerweg 52</x:v>
      </x:c>
      <x:c r="K130" s="30" t="str">
        <x:v>6445 PA</x:v>
      </x:c>
      <x:c r="L130" s="32" t="n">
        <x:v>50.93492692</x:v>
      </x:c>
      <x:c r="M130" s="32" t="n">
        <x:v>6.00964086</x:v>
      </x:c>
      <x:c r="N130" s="30" t="str">
        <x:v>WGS84 / EPSG:4326</x:v>
      </x:c>
      <x:c r="O130" s="30" t="str">
        <x:v>Verified BAG address point via PDOK</x:v>
      </x:c>
      <x:c r="P130" s="30" t="str">
        <x:v>2026-08-15</x:v>
      </x:c>
      <x:c r="Q130" s="33" t="n">
        <x:f>IF(R130="","",ROUND(R130/0.9144,0))</x:f>
        <x:v>3430</x:v>
      </x:c>
      <x:c r="R130" s="33" t="n">
        <x:v>3136</x:v>
      </x:c>
      <x:c r="S130" s="33" t="n">
        <x:v>9</x:v>
      </x:c>
      <x:c r="T130" s="33" t="n">
        <x:v>36</x:v>
      </x:c>
      <x:c r="U130" s="30" t="str">
        <x:v>Full-length course</x:v>
      </x:c>
      <x:c r="V130" s="30"/>
      <x:c r="W130" s="30"/>
      <x:c r="X130" s="30"/>
      <x:c r="Y130" s="30" t="str">
        <x:v>https://www.golfclubbrunssummerheide.nl/</x:v>
      </x:c>
      <x:c r="Z130" s="30" t="b">
        <x:f>IF(AND(F130="Netherlands",ISNUMBER(L130),ISNUMBER(M130),L130&gt;=50.7,L130&lt;=53.7,M130&gt;=3.2,M130&lt;=7.3,AC130&lt;&gt;"Closed"),TRUE,FALSE)</x:f>
        <x:v>1</x:v>
      </x:c>
      <x:c r="AA130" s="30" t="b">
        <x:f>Z130</x:f>
        <x:v>1</x:v>
      </x:c>
      <x:c r="AB130" s="30" t="str">
        <x:f>IF(Z130,"verified_coordinate_and_open","not_map_ready")</x:f>
        <x:v>verified_coordinate_and_open</x:v>
      </x:c>
      <x:c r="AC130" s="30" t="str">
        <x:v>Open</x:v>
      </x:c>
      <x:c r="AD130" s="30" t="str">
        <x:v>Public — handicap 54 or lower</x:v>
      </x:c>
      <x:c r="AE130" s="31" t="b">
        <x:v>1</x:v>
      </x:c>
      <x:c r="AF130" s="31" t="b">
        <x:v>0</x:v>
      </x:c>
      <x:c r="AG130" s="30"/>
      <x:c r="AH130" s="30"/>
      <x:c r="AI130" s="30"/>
      <x:c r="AJ130" s="31" t="b">
        <x:v>0</x:v>
      </x:c>
      <x:c r="AK130" s="31" t="b">
        <x:v>0</x:v>
      </x:c>
      <x:c r="AL130" s="30" t="str">
        <x:v>Verified — national register and exact BAG address</x:v>
      </x:c>
      <x:c r="AM130" s="30" t="str">
        <x:v>https://www.golf.nl/de-baan-op/banenzoeker/overzicht</x:v>
      </x:c>
      <x:c r="AN130" s="30" t="str">
        <x:v>2026-08-15</x:v>
      </x:c>
      <x:c r="AO130" s="30" t="str">
        <x:v>+31 45-5646300</x:v>
      </x:c>
      <x:c r="AP130" s="30" t="str">
        <x:v>Current NGF/GOLF.NL listing: 9 holes, par 36, 3136 metres. Listed as qualifying.</x:v>
      </x:c>
    </x:row>
    <x:row r="131">
      <x:c r="A131" s="30" t="str">
        <x:v>NL-C0083</x:v>
      </x:c>
      <x:c r="B131" s="30" t="str">
        <x:v>NL-0130</x:v>
      </x:c>
      <x:c r="C131" s="30" t="str">
        <x:v>Golf-Resort Brunssummerheide — Groen</x:v>
      </x:c>
      <x:c r="D131" s="30" t="str">
        <x:v>Golf-Resort Brunssummerheide</x:v>
      </x:c>
      <x:c r="E131" s="30" t="str">
        <x:v>Groen</x:v>
      </x:c>
      <x:c r="F131" s="30" t="str">
        <x:v>Netherlands</x:v>
      </x:c>
      <x:c r="G131" s="30" t="str">
        <x:v>Limburg</x:v>
      </x:c>
      <x:c r="H131" s="30" t="str">
        <x:v>Brunssum</x:v>
      </x:c>
      <x:c r="I131" s="30" t="str">
        <x:v>Brunssum</x:v>
      </x:c>
      <x:c r="J131" s="30" t="str">
        <x:v>Rimburgerweg 52</x:v>
      </x:c>
      <x:c r="K131" s="30" t="str">
        <x:v>6445 PA</x:v>
      </x:c>
      <x:c r="L131" s="32" t="n">
        <x:v>50.93492692</x:v>
      </x:c>
      <x:c r="M131" s="32" t="n">
        <x:v>6.00964086</x:v>
      </x:c>
      <x:c r="N131" s="30" t="str">
        <x:v>WGS84 / EPSG:4326</x:v>
      </x:c>
      <x:c r="O131" s="30" t="str">
        <x:v>Verified BAG address point via PDOK</x:v>
      </x:c>
      <x:c r="P131" s="30" t="str">
        <x:v>2026-08-15</x:v>
      </x:c>
      <x:c r="Q131" s="33" t="n">
        <x:f>IF(R131="","",ROUND(R131/0.9144,0))</x:f>
        <x:v>1755</x:v>
      </x:c>
      <x:c r="R131" s="33" t="n">
        <x:v>1605</x:v>
      </x:c>
      <x:c r="S131" s="33" t="n">
        <x:v>9</x:v>
      </x:c>
      <x:c r="T131" s="33" t="n">
        <x:v>31</x:v>
      </x:c>
      <x:c r="U131" s="30" t="str">
        <x:v>Par-3/4 course</x:v>
      </x:c>
      <x:c r="V131" s="30"/>
      <x:c r="W131" s="30"/>
      <x:c r="X131" s="30"/>
      <x:c r="Y131" s="30" t="str">
        <x:v>https://www.golfclubbrunssummerheide.nl/</x:v>
      </x:c>
      <x:c r="Z131" s="30" t="b">
        <x:f>IF(AND(F131="Netherlands",ISNUMBER(L131),ISNUMBER(M131),L131&gt;=50.7,L131&lt;=53.7,M131&gt;=3.2,M131&lt;=7.3,AC131&lt;&gt;"Closed"),TRUE,FALSE)</x:f>
        <x:v>1</x:v>
      </x:c>
      <x:c r="AA131" s="30" t="b">
        <x:f>Z131</x:f>
        <x:v>1</x:v>
      </x:c>
      <x:c r="AB131" s="30" t="str">
        <x:f>IF(Z131,"verified_coordinate_and_open","not_map_ready")</x:f>
        <x:v>verified_coordinate_and_open</x:v>
      </x:c>
      <x:c r="AC131" s="30" t="str">
        <x:v>Open</x:v>
      </x:c>
      <x:c r="AD131" s="30" t="str">
        <x:v>Public — NGF course permission</x:v>
      </x:c>
      <x:c r="AE131" s="31" t="b">
        <x:v>1</x:v>
      </x:c>
      <x:c r="AF131" s="31" t="b">
        <x:v>0</x:v>
      </x:c>
      <x:c r="AG131" s="30"/>
      <x:c r="AH131" s="30"/>
      <x:c r="AI131" s="30"/>
      <x:c r="AJ131" s="31" t="b">
        <x:v>0</x:v>
      </x:c>
      <x:c r="AK131" s="31" t="b">
        <x:v>0</x:v>
      </x:c>
      <x:c r="AL131" s="30" t="str">
        <x:v>Verified — national register and exact BAG address</x:v>
      </x:c>
      <x:c r="AM131" s="30" t="str">
        <x:v>https://www.golf.nl/de-baan-op/banenzoeker/overzicht</x:v>
      </x:c>
      <x:c r="AN131" s="30" t="str">
        <x:v>2026-08-15</x:v>
      </x:c>
      <x:c r="AO131" s="30" t="str">
        <x:v>+31 45-5646300</x:v>
      </x:c>
      <x:c r="AP131" s="30" t="str">
        <x:v>Current NGF/GOLF.NL listing: 9 holes, par 31, 1605 metres. Listed as qualifying.</x:v>
      </x:c>
    </x:row>
    <x:row r="132">
      <x:c r="A132" s="30" t="str">
        <x:v>NL-C0083</x:v>
      </x:c>
      <x:c r="B132" s="30" t="str">
        <x:v>NL-0131</x:v>
      </x:c>
      <x:c r="C132" s="30" t="str">
        <x:v>Golf-Resort Brunssummerheide — Oefenbaan</x:v>
      </x:c>
      <x:c r="D132" s="30" t="str">
        <x:v>Golf-Resort Brunssummerheide</x:v>
      </x:c>
      <x:c r="E132" s="30" t="str">
        <x:v>Oefenbaan</x:v>
      </x:c>
      <x:c r="F132" s="30" t="str">
        <x:v>Netherlands</x:v>
      </x:c>
      <x:c r="G132" s="30" t="str">
        <x:v>Limburg</x:v>
      </x:c>
      <x:c r="H132" s="30" t="str">
        <x:v>Brunssum</x:v>
      </x:c>
      <x:c r="I132" s="30" t="str">
        <x:v>Brunssum</x:v>
      </x:c>
      <x:c r="J132" s="30" t="str">
        <x:v>Rimburgerweg 52</x:v>
      </x:c>
      <x:c r="K132" s="30" t="str">
        <x:v>6445 PA</x:v>
      </x:c>
      <x:c r="L132" s="32" t="n">
        <x:v>50.93492692</x:v>
      </x:c>
      <x:c r="M132" s="32" t="n">
        <x:v>6.00964086</x:v>
      </x:c>
      <x:c r="N132" s="30" t="str">
        <x:v>WGS84 / EPSG:4326</x:v>
      </x:c>
      <x:c r="O132" s="30" t="str">
        <x:v>Verified BAG address point via PDOK</x:v>
      </x:c>
      <x:c r="P132" s="30" t="str">
        <x:v>2026-08-15</x:v>
      </x:c>
      <x:c r="Q132" s="33" t="n">
        <x:f>IF(R132="","",ROUND(R132/0.9144,0))</x:f>
        <x:v>1288</x:v>
      </x:c>
      <x:c r="R132" s="33" t="n">
        <x:v>1178</x:v>
      </x:c>
      <x:c r="S132" s="33" t="n">
        <x:v>9</x:v>
      </x:c>
      <x:c r="T132" s="33" t="n">
        <x:v>27</x:v>
      </x:c>
      <x:c r="U132" s="30" t="str">
        <x:v>Par-3 course</x:v>
      </x:c>
      <x:c r="V132" s="30"/>
      <x:c r="W132" s="30"/>
      <x:c r="X132" s="30"/>
      <x:c r="Y132" s="30" t="str">
        <x:v>https://www.golfclubbrunssummerheide.nl/</x:v>
      </x:c>
      <x:c r="Z132" s="30" t="b">
        <x:f>IF(AND(F132="Netherlands",ISNUMBER(L132),ISNUMBER(M132),L132&gt;=50.7,L132&lt;=53.7,M132&gt;=3.2,M132&lt;=7.3,AC132&lt;&gt;"Closed"),TRUE,FALSE)</x:f>
        <x:v>1</x:v>
      </x:c>
      <x:c r="AA132" s="30" t="b">
        <x:f>Z132</x:f>
        <x:v>1</x:v>
      </x:c>
      <x:c r="AB132" s="30" t="str">
        <x:f>IF(Z132,"verified_coordinate_and_open","not_map_ready")</x:f>
        <x:v>verified_coordinate_and_open</x:v>
      </x:c>
      <x:c r="AC132" s="30" t="str">
        <x:v>Open</x:v>
      </x:c>
      <x:c r="AD132" s="30" t="str">
        <x:v>Public — no playing requirement</x:v>
      </x:c>
      <x:c r="AE132" s="31" t="b">
        <x:v>1</x:v>
      </x:c>
      <x:c r="AF132" s="31" t="b">
        <x:v>0</x:v>
      </x:c>
      <x:c r="AG132" s="30"/>
      <x:c r="AH132" s="30"/>
      <x:c r="AI132" s="30"/>
      <x:c r="AJ132" s="31" t="b">
        <x:v>0</x:v>
      </x:c>
      <x:c r="AK132" s="31" t="b">
        <x:v>0</x:v>
      </x:c>
      <x:c r="AL132" s="30" t="str">
        <x:v>Verified — national register and exact BAG address</x:v>
      </x:c>
      <x:c r="AM132" s="30" t="str">
        <x:v>https://www.golf.nl/de-baan-op/banenzoeker/overzicht</x:v>
      </x:c>
      <x:c r="AN132" s="30" t="str">
        <x:v>2026-08-15</x:v>
      </x:c>
      <x:c r="AO132" s="30" t="str">
        <x:v>+31 45-5646300</x:v>
      </x:c>
      <x:c r="AP132" s="30" t="str">
        <x:v>Current NGF/GOLF.NL listing: 9 holes, par 27, 1178 metres. Listed as qualifying.</x:v>
      </x:c>
    </x:row>
    <x:row r="133">
      <x:c r="A133" s="30" t="str">
        <x:v>NL-C0083</x:v>
      </x:c>
      <x:c r="B133" s="30" t="str">
        <x:v>NL-0132</x:v>
      </x:c>
      <x:c r="C133" s="30" t="str">
        <x:v>Golf-Resort Brunssummerheide — Rood</x:v>
      </x:c>
      <x:c r="D133" s="30" t="str">
        <x:v>Golf-Resort Brunssummerheide</x:v>
      </x:c>
      <x:c r="E133" s="30" t="str">
        <x:v>Rood</x:v>
      </x:c>
      <x:c r="F133" s="30" t="str">
        <x:v>Netherlands</x:v>
      </x:c>
      <x:c r="G133" s="30" t="str">
        <x:v>Limburg</x:v>
      </x:c>
      <x:c r="H133" s="30" t="str">
        <x:v>Brunssum</x:v>
      </x:c>
      <x:c r="I133" s="30" t="str">
        <x:v>Brunssum</x:v>
      </x:c>
      <x:c r="J133" s="30" t="str">
        <x:v>Rimburgerweg 52</x:v>
      </x:c>
      <x:c r="K133" s="30" t="str">
        <x:v>6445 PA</x:v>
      </x:c>
      <x:c r="L133" s="32" t="n">
        <x:v>50.93492692</x:v>
      </x:c>
      <x:c r="M133" s="32" t="n">
        <x:v>6.00964086</x:v>
      </x:c>
      <x:c r="N133" s="30" t="str">
        <x:v>WGS84 / EPSG:4326</x:v>
      </x:c>
      <x:c r="O133" s="30" t="str">
        <x:v>Verified BAG address point via PDOK</x:v>
      </x:c>
      <x:c r="P133" s="30" t="str">
        <x:v>2026-08-15</x:v>
      </x:c>
      <x:c r="Q133" s="33" t="n">
        <x:f>IF(R133="","",ROUND(R133/0.9144,0))</x:f>
        <x:v>3365</x:v>
      </x:c>
      <x:c r="R133" s="33" t="n">
        <x:v>3077</x:v>
      </x:c>
      <x:c r="S133" s="33" t="n">
        <x:v>9</x:v>
      </x:c>
      <x:c r="T133" s="33" t="n">
        <x:v>36</x:v>
      </x:c>
      <x:c r="U133" s="30" t="str">
        <x:v>Full-length course</x:v>
      </x:c>
      <x:c r="V133" s="30"/>
      <x:c r="W133" s="30"/>
      <x:c r="X133" s="30"/>
      <x:c r="Y133" s="30" t="str">
        <x:v>https://www.golfclubbrunssummerheide.nl/</x:v>
      </x:c>
      <x:c r="Z133" s="30" t="b">
        <x:f>IF(AND(F133="Netherlands",ISNUMBER(L133),ISNUMBER(M133),L133&gt;=50.7,L133&lt;=53.7,M133&gt;=3.2,M133&lt;=7.3,AC133&lt;&gt;"Closed"),TRUE,FALSE)</x:f>
        <x:v>1</x:v>
      </x:c>
      <x:c r="AA133" s="30" t="b">
        <x:f>Z133</x:f>
        <x:v>1</x:v>
      </x:c>
      <x:c r="AB133" s="30" t="str">
        <x:f>IF(Z133,"verified_coordinate_and_open","not_map_ready")</x:f>
        <x:v>verified_coordinate_and_open</x:v>
      </x:c>
      <x:c r="AC133" s="30" t="str">
        <x:v>Open</x:v>
      </x:c>
      <x:c r="AD133" s="30" t="str">
        <x:v>Public — handicap 54 or lower</x:v>
      </x:c>
      <x:c r="AE133" s="31" t="b">
        <x:v>1</x:v>
      </x:c>
      <x:c r="AF133" s="31" t="b">
        <x:v>0</x:v>
      </x:c>
      <x:c r="AG133" s="30"/>
      <x:c r="AH133" s="30"/>
      <x:c r="AI133" s="30"/>
      <x:c r="AJ133" s="31" t="b">
        <x:v>0</x:v>
      </x:c>
      <x:c r="AK133" s="31" t="b">
        <x:v>0</x:v>
      </x:c>
      <x:c r="AL133" s="30" t="str">
        <x:v>Verified — national register and exact BAG address</x:v>
      </x:c>
      <x:c r="AM133" s="30" t="str">
        <x:v>https://www.golf.nl/de-baan-op/banenzoeker/overzicht</x:v>
      </x:c>
      <x:c r="AN133" s="30" t="str">
        <x:v>2026-08-15</x:v>
      </x:c>
      <x:c r="AO133" s="30" t="str">
        <x:v>+31 45-5646300</x:v>
      </x:c>
      <x:c r="AP133" s="30" t="str">
        <x:v>Current NGF/GOLF.NL listing: 9 holes, par 36, 3077 metres. Listed as qualifying.</x:v>
      </x:c>
    </x:row>
    <x:row r="134">
      <x:c r="A134" s="30" t="str">
        <x:v>NL-C0084</x:v>
      </x:c>
      <x:c r="B134" s="30" t="str">
        <x:v>NL-0133</x:v>
      </x:c>
      <x:c r="C134" s="30" t="str">
        <x:v>Golfbaan De Golfhorst — Americabaan</x:v>
      </x:c>
      <x:c r="D134" s="30" t="str">
        <x:v>Golfbaan De Golfhorst</x:v>
      </x:c>
      <x:c r="E134" s="30" t="str">
        <x:v>Americabaan</x:v>
      </x:c>
      <x:c r="F134" s="30" t="str">
        <x:v>Netherlands</x:v>
      </x:c>
      <x:c r="G134" s="30" t="str">
        <x:v>Limburg</x:v>
      </x:c>
      <x:c r="H134" s="30" t="str">
        <x:v>Horst aan de Maas</x:v>
      </x:c>
      <x:c r="I134" s="30" t="str">
        <x:v>America</x:v>
      </x:c>
      <x:c r="J134" s="30" t="str">
        <x:v>Raamweg 8</x:v>
      </x:c>
      <x:c r="K134" s="30" t="str">
        <x:v>5966 RM</x:v>
      </x:c>
      <x:c r="L134" s="32" t="n">
        <x:v>51.42650262</x:v>
      </x:c>
      <x:c r="M134" s="32" t="n">
        <x:v>5.96823637</x:v>
      </x:c>
      <x:c r="N134" s="30" t="str">
        <x:v>WGS84 / EPSG:4326</x:v>
      </x:c>
      <x:c r="O134" s="30" t="str">
        <x:v>Verified BAG address point via PDOK</x:v>
      </x:c>
      <x:c r="P134" s="30" t="str">
        <x:v>2026-08-15</x:v>
      </x:c>
      <x:c r="Q134" s="33" t="n">
        <x:f>IF(R134="","",ROUND(R134/0.9144,0))</x:f>
        <x:v>1065</x:v>
      </x:c>
      <x:c r="R134" s="33" t="n">
        <x:v>974</x:v>
      </x:c>
      <x:c r="S134" s="33" t="n">
        <x:v>9</x:v>
      </x:c>
      <x:c r="T134" s="33" t="n">
        <x:v>27</x:v>
      </x:c>
      <x:c r="U134" s="30" t="str">
        <x:v>Par-3 course</x:v>
      </x:c>
      <x:c r="V134" s="30"/>
      <x:c r="W134" s="30"/>
      <x:c r="X134" s="30"/>
      <x:c r="Y134" s="30" t="str">
        <x:v>https://www.golfbaandegolfhorst.nl/</x:v>
      </x:c>
      <x:c r="Z134" s="30" t="b">
        <x:f>IF(AND(F134="Netherlands",ISNUMBER(L134),ISNUMBER(M134),L134&gt;=50.7,L134&lt;=53.7,M134&gt;=3.2,M134&lt;=7.3,AC134&lt;&gt;"Closed"),TRUE,FALSE)</x:f>
        <x:v>1</x:v>
      </x:c>
      <x:c r="AA134" s="30" t="b">
        <x:f>Z134</x:f>
        <x:v>1</x:v>
      </x:c>
      <x:c r="AB134" s="30" t="str">
        <x:f>IF(Z134,"verified_coordinate_and_open","not_map_ready")</x:f>
        <x:v>verified_coordinate_and_open</x:v>
      </x:c>
      <x:c r="AC134" s="30" t="str">
        <x:v>Open</x:v>
      </x:c>
      <x:c r="AD134" s="30" t="str">
        <x:v>Public — NGF course permission</x:v>
      </x:c>
      <x:c r="AE134" s="31" t="b">
        <x:v>1</x:v>
      </x:c>
      <x:c r="AF134" s="31" t="b">
        <x:v>0</x:v>
      </x:c>
      <x:c r="AG134" s="30"/>
      <x:c r="AH134" s="30"/>
      <x:c r="AI134" s="30"/>
      <x:c r="AJ134" s="31" t="b">
        <x:v>0</x:v>
      </x:c>
      <x:c r="AK134" s="31" t="b">
        <x:v>0</x:v>
      </x:c>
      <x:c r="AL134" s="30" t="str">
        <x:v>Verified — national register and exact BAG address</x:v>
      </x:c>
      <x:c r="AM134" s="30" t="str">
        <x:v>https://www.golf.nl/de-baan-op/banenzoeker/overzicht</x:v>
      </x:c>
      <x:c r="AN134" s="30" t="str">
        <x:v>2026-08-15</x:v>
      </x:c>
      <x:c r="AO134" s="30" t="str">
        <x:v>+31 77-4649070</x:v>
      </x:c>
      <x:c r="AP134" s="30" t="str">
        <x:v>Current NGF/GOLF.NL listing: 9 holes, par 27, 974 metres. Listed as qualifying.</x:v>
      </x:c>
    </x:row>
    <x:row r="135">
      <x:c r="A135" s="30" t="str">
        <x:v>NL-C0084</x:v>
      </x:c>
      <x:c r="B135" s="30" t="str">
        <x:v>NL-0134</x:v>
      </x:c>
      <x:c r="C135" s="30" t="str">
        <x:v>Golfbaan De Golfhorst — Main Course</x:v>
      </x:c>
      <x:c r="D135" s="30" t="str">
        <x:v>Golfbaan De Golfhorst</x:v>
      </x:c>
      <x:c r="E135" s="30" t="str">
        <x:v>Main Course</x:v>
      </x:c>
      <x:c r="F135" s="30" t="str">
        <x:v>Netherlands</x:v>
      </x:c>
      <x:c r="G135" s="30" t="str">
        <x:v>Limburg</x:v>
      </x:c>
      <x:c r="H135" s="30" t="str">
        <x:v>Horst aan de Maas</x:v>
      </x:c>
      <x:c r="I135" s="30" t="str">
        <x:v>America</x:v>
      </x:c>
      <x:c r="J135" s="30" t="str">
        <x:v>Raamweg 8</x:v>
      </x:c>
      <x:c r="K135" s="30" t="str">
        <x:v>5966 RM</x:v>
      </x:c>
      <x:c r="L135" s="32" t="n">
        <x:v>51.42650262</x:v>
      </x:c>
      <x:c r="M135" s="32" t="n">
        <x:v>5.96823637</x:v>
      </x:c>
      <x:c r="N135" s="30" t="str">
        <x:v>WGS84 / EPSG:4326</x:v>
      </x:c>
      <x:c r="O135" s="30" t="str">
        <x:v>Verified BAG address point via PDOK</x:v>
      </x:c>
      <x:c r="P135" s="30" t="str">
        <x:v>2026-08-15</x:v>
      </x:c>
      <x:c r="Q135" s="33" t="n">
        <x:f>IF(R135="","",ROUND(R135/0.9144,0))</x:f>
        <x:v>5575</x:v>
      </x:c>
      <x:c r="R135" s="33" t="n">
        <x:v>5098</x:v>
      </x:c>
      <x:c r="S135" s="33" t="n">
        <x:v>18</x:v>
      </x:c>
      <x:c r="T135" s="33" t="n">
        <x:v>70</x:v>
      </x:c>
      <x:c r="U135" s="30" t="str">
        <x:v>Full-length course</x:v>
      </x:c>
      <x:c r="V135" s="30"/>
      <x:c r="W135" s="30"/>
      <x:c r="X135" s="30"/>
      <x:c r="Y135" s="30" t="str">
        <x:v>https://www.golfbaandegolfhorst.nl/</x:v>
      </x:c>
      <x:c r="Z135" s="30" t="b">
        <x:f>IF(AND(F135="Netherlands",ISNUMBER(L135),ISNUMBER(M135),L135&gt;=50.7,L135&lt;=53.7,M135&gt;=3.2,M135&lt;=7.3,AC135&lt;&gt;"Closed"),TRUE,FALSE)</x:f>
        <x:v>1</x:v>
      </x:c>
      <x:c r="AA135" s="30" t="b">
        <x:f>Z135</x:f>
        <x:v>1</x:v>
      </x:c>
      <x:c r="AB135" s="30" t="str">
        <x:f>IF(Z135,"verified_coordinate_and_open","not_map_ready")</x:f>
        <x:v>verified_coordinate_and_open</x:v>
      </x:c>
      <x:c r="AC135" s="30" t="str">
        <x:v>Open</x:v>
      </x:c>
      <x:c r="AD135" s="30" t="str">
        <x:v>Public — handicap 54 or lower</x:v>
      </x:c>
      <x:c r="AE135" s="31" t="b">
        <x:v>1</x:v>
      </x:c>
      <x:c r="AF135" s="31" t="b">
        <x:v>0</x:v>
      </x:c>
      <x:c r="AG135" s="30"/>
      <x:c r="AH135" s="30"/>
      <x:c r="AI135" s="30"/>
      <x:c r="AJ135" s="31" t="b">
        <x:v>0</x:v>
      </x:c>
      <x:c r="AK135" s="31" t="b">
        <x:v>0</x:v>
      </x:c>
      <x:c r="AL135" s="30" t="str">
        <x:v>Verified — national register and exact BAG address</x:v>
      </x:c>
      <x:c r="AM135" s="30" t="str">
        <x:v>https://www.golf.nl/de-baan-op/banenzoeker/overzicht</x:v>
      </x:c>
      <x:c r="AN135" s="30" t="str">
        <x:v>2026-08-15</x:v>
      </x:c>
      <x:c r="AO135" s="30" t="str">
        <x:v>+31 77-4649070</x:v>
      </x:c>
      <x:c r="AP135" s="30" t="str">
        <x:v>Current NGF/GOLF.NL listing: 18 holes, par 70, 5098 metres. Combined from exact NGF-listed constituent nine-hole loops: 1ste negen (9 holes, par 36, 2713 m); 2de negen (9 holes, par 34, 2385 m) Listed as qualifying.</x:v>
      </x:c>
    </x:row>
    <x:row r="136">
      <x:c r="A136" s="30" t="str">
        <x:v>NL-C0085</x:v>
      </x:c>
      <x:c r="B136" s="30" t="str">
        <x:v>NL-0135</x:v>
      </x:c>
      <x:c r="C136" s="30" t="str">
        <x:v>Golfbaan Echt-Susteren — Approachbaan</x:v>
      </x:c>
      <x:c r="D136" s="30" t="str">
        <x:v>Golfbaan Echt-Susteren</x:v>
      </x:c>
      <x:c r="E136" s="30" t="str">
        <x:v>Approachbaan</x:v>
      </x:c>
      <x:c r="F136" s="30" t="str">
        <x:v>Netherlands</x:v>
      </x:c>
      <x:c r="G136" s="30" t="str">
        <x:v>Limburg</x:v>
      </x:c>
      <x:c r="H136" s="30" t="str">
        <x:v>Echt-Susteren</x:v>
      </x:c>
      <x:c r="I136" s="30" t="str">
        <x:v>Susteren</x:v>
      </x:c>
      <x:c r="J136" s="30" t="str">
        <x:v>Hommelweg 3</x:v>
      </x:c>
      <x:c r="K136" s="30" t="str">
        <x:v>6114 RR</x:v>
      </x:c>
      <x:c r="L136" s="32" t="n">
        <x:v>51.07079696</x:v>
      </x:c>
      <x:c r="M136" s="32" t="n">
        <x:v>5.88970818</x:v>
      </x:c>
      <x:c r="N136" s="30" t="str">
        <x:v>WGS84 / EPSG:4326</x:v>
      </x:c>
      <x:c r="O136" s="30" t="str">
        <x:v>Verified BAG address point via PDOK</x:v>
      </x:c>
      <x:c r="P136" s="30" t="str">
        <x:v>2026-08-15</x:v>
      </x:c>
      <x:c r="Q136" s="33" t="n">
        <x:f>IF(R136="","",ROUND(R136/0.9144,0))</x:f>
        <x:v>437</x:v>
      </x:c>
      <x:c r="R136" s="33" t="n">
        <x:v>400</x:v>
      </x:c>
      <x:c r="S136" s="33" t="n">
        <x:v>6</x:v>
      </x:c>
      <x:c r="T136" s="33" t="n">
        <x:v>18</x:v>
      </x:c>
      <x:c r="U136" s="30" t="str">
        <x:v>Shortgolf / Pitch &amp; Putt</x:v>
      </x:c>
      <x:c r="V136" s="30"/>
      <x:c r="W136" s="30"/>
      <x:c r="X136" s="30"/>
      <x:c r="Y136" s="30" t="str">
        <x:v>https://golfbaanecht-susteren.nl/</x:v>
      </x:c>
      <x:c r="Z136" s="30" t="b">
        <x:f>IF(AND(F136="Netherlands",ISNUMBER(L136),ISNUMBER(M136),L136&gt;=50.7,L136&lt;=53.7,M136&gt;=3.2,M136&lt;=7.3,AC136&lt;&gt;"Closed"),TRUE,FALSE)</x:f>
        <x:v>1</x:v>
      </x:c>
      <x:c r="AA136" s="30" t="b">
        <x:f>Z136</x:f>
        <x:v>1</x:v>
      </x:c>
      <x:c r="AB136" s="30" t="str">
        <x:f>IF(Z136,"verified_coordinate_and_open","not_map_ready")</x:f>
        <x:v>verified_coordinate_and_open</x:v>
      </x:c>
      <x:c r="AC136" s="30" t="str">
        <x:v>Open</x:v>
      </x:c>
      <x:c r="AD136" s="30" t="str">
        <x:v>Public — no playing requirement</x:v>
      </x:c>
      <x:c r="AE136" s="31" t="b">
        <x:v>0</x:v>
      </x:c>
      <x:c r="AF136" s="31" t="b">
        <x:v>0</x:v>
      </x:c>
      <x:c r="AG136" s="30"/>
      <x:c r="AH136" s="30"/>
      <x:c r="AI136" s="30"/>
      <x:c r="AJ136" s="31" t="b">
        <x:v>0</x:v>
      </x:c>
      <x:c r="AK136" s="31" t="b">
        <x:v>0</x:v>
      </x:c>
      <x:c r="AL136" s="30" t="str">
        <x:v>Verified — national register and exact BAG address</x:v>
      </x:c>
      <x:c r="AM136" s="30" t="str">
        <x:v>https://www.golf.nl/de-baan-op/banenzoeker/overzicht</x:v>
      </x:c>
      <x:c r="AN136" s="30" t="str">
        <x:v>2026-08-15</x:v>
      </x:c>
      <x:c r="AO136" s="30" t="str">
        <x:v>+31 46-4494992</x:v>
      </x:c>
      <x:c r="AP136" s="30" t="str">
        <x:v>Current NGF/GOLF.NL listing: 6 holes, par 18, 400 metres. Listed as non-qualifying.</x:v>
      </x:c>
    </x:row>
    <x:row r="137">
      <x:c r="A137" s="30" t="str">
        <x:v>NL-C0085</x:v>
      </x:c>
      <x:c r="B137" s="30" t="str">
        <x:v>NL-0136</x:v>
      </x:c>
      <x:c r="C137" s="30" t="str">
        <x:v>Golfbaan Echt-Susteren — Main Course</x:v>
      </x:c>
      <x:c r="D137" s="30" t="str">
        <x:v>Golfbaan Echt-Susteren</x:v>
      </x:c>
      <x:c r="E137" s="30" t="str">
        <x:v>Main Course</x:v>
      </x:c>
      <x:c r="F137" s="30" t="str">
        <x:v>Netherlands</x:v>
      </x:c>
      <x:c r="G137" s="30" t="str">
        <x:v>Limburg</x:v>
      </x:c>
      <x:c r="H137" s="30" t="str">
        <x:v>Echt-Susteren</x:v>
      </x:c>
      <x:c r="I137" s="30" t="str">
        <x:v>Susteren</x:v>
      </x:c>
      <x:c r="J137" s="30" t="str">
        <x:v>Hommelweg 3</x:v>
      </x:c>
      <x:c r="K137" s="30" t="str">
        <x:v>6114 RR</x:v>
      </x:c>
      <x:c r="L137" s="32" t="n">
        <x:v>51.07079696</x:v>
      </x:c>
      <x:c r="M137" s="32" t="n">
        <x:v>5.88970818</x:v>
      </x:c>
      <x:c r="N137" s="30" t="str">
        <x:v>WGS84 / EPSG:4326</x:v>
      </x:c>
      <x:c r="O137" s="30" t="str">
        <x:v>Verified BAG address point via PDOK</x:v>
      </x:c>
      <x:c r="P137" s="30" t="str">
        <x:v>2026-08-15</x:v>
      </x:c>
      <x:c r="Q137" s="33" t="n">
        <x:f>IF(R137="","",ROUND(R137/0.9144,0))</x:f>
        <x:v>3072</x:v>
      </x:c>
      <x:c r="R137" s="33" t="n">
        <x:v>2809</x:v>
      </x:c>
      <x:c r="S137" s="33" t="n">
        <x:v>9</x:v>
      </x:c>
      <x:c r="T137" s="33" t="n">
        <x:v>36</x:v>
      </x:c>
      <x:c r="U137" s="30" t="str">
        <x:v>Full-length course</x:v>
      </x:c>
      <x:c r="V137" s="30"/>
      <x:c r="W137" s="30"/>
      <x:c r="X137" s="30"/>
      <x:c r="Y137" s="30" t="str">
        <x:v>https://golfbaanecht-susteren.nl/</x:v>
      </x:c>
      <x:c r="Z137" s="30" t="b">
        <x:f>IF(AND(F137="Netherlands",ISNUMBER(L137),ISNUMBER(M137),L137&gt;=50.7,L137&lt;=53.7,M137&gt;=3.2,M137&lt;=7.3,AC137&lt;&gt;"Closed"),TRUE,FALSE)</x:f>
        <x:v>1</x:v>
      </x:c>
      <x:c r="AA137" s="30" t="b">
        <x:f>Z137</x:f>
        <x:v>1</x:v>
      </x:c>
      <x:c r="AB137" s="30" t="str">
        <x:f>IF(Z137,"verified_coordinate_and_open","not_map_ready")</x:f>
        <x:v>verified_coordinate_and_open</x:v>
      </x:c>
      <x:c r="AC137" s="30" t="str">
        <x:v>Open</x:v>
      </x:c>
      <x:c r="AD137" s="30" t="str">
        <x:v>Public — NGF course permission</x:v>
      </x:c>
      <x:c r="AE137" s="31" t="b">
        <x:v>1</x:v>
      </x:c>
      <x:c r="AF137" s="31" t="b">
        <x:v>0</x:v>
      </x:c>
      <x:c r="AG137" s="30"/>
      <x:c r="AH137" s="30"/>
      <x:c r="AI137" s="30"/>
      <x:c r="AJ137" s="31" t="b">
        <x:v>0</x:v>
      </x:c>
      <x:c r="AK137" s="31" t="b">
        <x:v>0</x:v>
      </x:c>
      <x:c r="AL137" s="30" t="str">
        <x:v>Verified — national register and exact BAG address</x:v>
      </x:c>
      <x:c r="AM137" s="30" t="str">
        <x:v>https://www.golf.nl/de-baan-op/banenzoeker/overzicht</x:v>
      </x:c>
      <x:c r="AN137" s="30" t="str">
        <x:v>2026-08-15</x:v>
      </x:c>
      <x:c r="AO137" s="30" t="str">
        <x:v>+31 46-4494992</x:v>
      </x:c>
      <x:c r="AP137" s="30" t="str">
        <x:v>Current NGF/GOLF.NL listing: 9 holes, par 36, 2809 metres. Listed as qualifying.</x:v>
      </x:c>
    </x:row>
    <x:row r="138">
      <x:c r="A138" s="30" t="str">
        <x:v>NL-C0086</x:v>
      </x:c>
      <x:c r="B138" s="30" t="str">
        <x:v>NL-0137</x:v>
      </x:c>
      <x:c r="C138" s="30" t="str">
        <x:v>Golfbaan Het Rijk van Margraten — Main Course</x:v>
      </x:c>
      <x:c r="D138" s="30" t="str">
        <x:v>Golfbaan Het Rijk van Margraten</x:v>
      </x:c>
      <x:c r="E138" s="30" t="str">
        <x:v>Main Course</x:v>
      </x:c>
      <x:c r="F138" s="30" t="str">
        <x:v>Netherlands</x:v>
      </x:c>
      <x:c r="G138" s="30" t="str">
        <x:v>Limburg</x:v>
      </x:c>
      <x:c r="H138" s="30" t="str">
        <x:v>Eijsden-Margraten</x:v>
      </x:c>
      <x:c r="I138" s="30" t="str">
        <x:v>Cadier en Keer</x:v>
      </x:c>
      <x:c r="J138" s="30" t="str">
        <x:v>Bemelerweg 99</x:v>
      </x:c>
      <x:c r="K138" s="30" t="str">
        <x:v>6267 AL</x:v>
      </x:c>
      <x:c r="L138" s="32" t="n">
        <x:v>50.83844781</x:v>
      </x:c>
      <x:c r="M138" s="32" t="n">
        <x:v>5.75745721</x:v>
      </x:c>
      <x:c r="N138" s="30" t="str">
        <x:v>WGS84 / EPSG:4326</x:v>
      </x:c>
      <x:c r="O138" s="30" t="str">
        <x:v>Verified BAG address point via PDOK</x:v>
      </x:c>
      <x:c r="P138" s="30" t="str">
        <x:v>2026-08-15</x:v>
      </x:c>
      <x:c r="Q138" s="33" t="n">
        <x:f>IF(R138="","",ROUND(R138/0.9144,0))</x:f>
        <x:v>6243</x:v>
      </x:c>
      <x:c r="R138" s="33" t="n">
        <x:v>5709</x:v>
      </x:c>
      <x:c r="S138" s="33" t="n">
        <x:v>18</x:v>
      </x:c>
      <x:c r="T138" s="33" t="n">
        <x:v>72</x:v>
      </x:c>
      <x:c r="U138" s="30" t="str">
        <x:v>Full-length course</x:v>
      </x:c>
      <x:c r="V138" s="30"/>
      <x:c r="W138" s="30"/>
      <x:c r="X138" s="30"/>
      <x:c r="Y138" s="30" t="str">
        <x:v>https://www.golfenophetrijk.nl/margraten.html</x:v>
      </x:c>
      <x:c r="Z138" s="30" t="b">
        <x:f>IF(AND(F138="Netherlands",ISNUMBER(L138),ISNUMBER(M138),L138&gt;=50.7,L138&lt;=53.7,M138&gt;=3.2,M138&lt;=7.3,AC138&lt;&gt;"Closed"),TRUE,FALSE)</x:f>
        <x:v>1</x:v>
      </x:c>
      <x:c r="AA138" s="30" t="b">
        <x:f>Z138</x:f>
        <x:v>1</x:v>
      </x:c>
      <x:c r="AB138" s="30" t="str">
        <x:f>IF(Z138,"verified_coordinate_and_open","not_map_ready")</x:f>
        <x:v>verified_coordinate_and_open</x:v>
      </x:c>
      <x:c r="AC138" s="30" t="str">
        <x:v>Open</x:v>
      </x:c>
      <x:c r="AD138" s="30" t="str">
        <x:v>Public — handicap 54 or lower</x:v>
      </x:c>
      <x:c r="AE138" s="31" t="b">
        <x:v>1</x:v>
      </x:c>
      <x:c r="AF138" s="31" t="b">
        <x:v>0</x:v>
      </x:c>
      <x:c r="AG138" s="30"/>
      <x:c r="AH138" s="30"/>
      <x:c r="AI138" s="30"/>
      <x:c r="AJ138" s="31" t="b">
        <x:v>0</x:v>
      </x:c>
      <x:c r="AK138" s="31" t="b">
        <x:v>0</x:v>
      </x:c>
      <x:c r="AL138" s="30" t="str">
        <x:v>Verified — national register and exact BAG address</x:v>
      </x:c>
      <x:c r="AM138" s="30" t="str">
        <x:v>https://www.golf.nl/de-baan-op/banenzoeker/overzicht</x:v>
      </x:c>
      <x:c r="AN138" s="30" t="str">
        <x:v>2026-08-15</x:v>
      </x:c>
      <x:c r="AO138" s="30" t="str">
        <x:v>+31 43-3569999</x:v>
      </x:c>
      <x:c r="AP138" s="30" t="str">
        <x:v>Current NGF/GOLF.NL listing: 18 holes, par 72, 5709 metres. Combined from exact NGF-listed constituent nine-hole loops: 1ste negen (9 holes, par 36, 2733 m); 2de negen (9 holes, par 36, 2976 m) Listed as qualifying.</x:v>
      </x:c>
    </x:row>
    <x:row r="139">
      <x:c r="A139" s="30" t="str">
        <x:v>NL-C0086</x:v>
      </x:c>
      <x:c r="B139" s="30" t="str">
        <x:v>NL-0138</x:v>
      </x:c>
      <x:c r="C139" s="30" t="str">
        <x:v>Golfbaan Het Rijk van Margraten — Shortgolf / Pitch &amp; Putt Course</x:v>
      </x:c>
      <x:c r="D139" s="30" t="str">
        <x:v>Golfbaan Het Rijk van Margraten</x:v>
      </x:c>
      <x:c r="E139" s="30" t="str">
        <x:v>Shortgolf / Pitch &amp; Putt Course</x:v>
      </x:c>
      <x:c r="F139" s="30" t="str">
        <x:v>Netherlands</x:v>
      </x:c>
      <x:c r="G139" s="30" t="str">
        <x:v>Limburg</x:v>
      </x:c>
      <x:c r="H139" s="30" t="str">
        <x:v>Eijsden-Margraten</x:v>
      </x:c>
      <x:c r="I139" s="30" t="str">
        <x:v>Cadier en Keer</x:v>
      </x:c>
      <x:c r="J139" s="30" t="str">
        <x:v>Bemelerweg 99</x:v>
      </x:c>
      <x:c r="K139" s="30" t="str">
        <x:v>6267 AL</x:v>
      </x:c>
      <x:c r="L139" s="32" t="n">
        <x:v>50.83844781</x:v>
      </x:c>
      <x:c r="M139" s="32" t="n">
        <x:v>5.75745721</x:v>
      </x:c>
      <x:c r="N139" s="30" t="str">
        <x:v>WGS84 / EPSG:4326</x:v>
      </x:c>
      <x:c r="O139" s="30" t="str">
        <x:v>Verified BAG address point via PDOK</x:v>
      </x:c>
      <x:c r="P139" s="30" t="str">
        <x:v>2026-08-15</x:v>
      </x:c>
      <x:c r="Q139" s="33" t="n">
        <x:f>IF(R139="","",ROUND(R139/0.9144,0))</x:f>
        <x:v>547</x:v>
      </x:c>
      <x:c r="R139" s="33" t="n">
        <x:v>500</x:v>
      </x:c>
      <x:c r="S139" s="33" t="n">
        <x:v>9</x:v>
      </x:c>
      <x:c r="T139" s="33" t="n">
        <x:v>27</x:v>
      </x:c>
      <x:c r="U139" s="30" t="str">
        <x:v>Shortgolf / Pitch &amp; Putt</x:v>
      </x:c>
      <x:c r="V139" s="30"/>
      <x:c r="W139" s="30"/>
      <x:c r="X139" s="30"/>
      <x:c r="Y139" s="30" t="str">
        <x:v>https://www.golfenophetrijk.nl/margraten.html</x:v>
      </x:c>
      <x:c r="Z139" s="30" t="b">
        <x:f>IF(AND(F139="Netherlands",ISNUMBER(L139),ISNUMBER(M139),L139&gt;=50.7,L139&lt;=53.7,M139&gt;=3.2,M139&lt;=7.3,AC139&lt;&gt;"Closed"),TRUE,FALSE)</x:f>
        <x:v>1</x:v>
      </x:c>
      <x:c r="AA139" s="30" t="b">
        <x:f>Z139</x:f>
        <x:v>1</x:v>
      </x:c>
      <x:c r="AB139" s="30" t="str">
        <x:f>IF(Z139,"verified_coordinate_and_open","not_map_ready")</x:f>
        <x:v>verified_coordinate_and_open</x:v>
      </x:c>
      <x:c r="AC139" s="30" t="str">
        <x:v>Open</x:v>
      </x:c>
      <x:c r="AD139" s="30" t="str">
        <x:v>Public — no playing requirement</x:v>
      </x:c>
      <x:c r="AE139" s="31" t="b">
        <x:v>0</x:v>
      </x:c>
      <x:c r="AF139" s="31" t="b">
        <x:v>0</x:v>
      </x:c>
      <x:c r="AG139" s="30"/>
      <x:c r="AH139" s="30"/>
      <x:c r="AI139" s="30"/>
      <x:c r="AJ139" s="31" t="b">
        <x:v>0</x:v>
      </x:c>
      <x:c r="AK139" s="31" t="b">
        <x:v>0</x:v>
      </x:c>
      <x:c r="AL139" s="30" t="str">
        <x:v>Verified — national register and exact BAG address</x:v>
      </x:c>
      <x:c r="AM139" s="30" t="str">
        <x:v>https://www.golf.nl/de-baan-op/banenzoeker/overzicht</x:v>
      </x:c>
      <x:c r="AN139" s="30" t="str">
        <x:v>2026-08-15</x:v>
      </x:c>
      <x:c r="AO139" s="30" t="str">
        <x:v>+31 43-3569999</x:v>
      </x:c>
      <x:c r="AP139" s="30" t="str">
        <x:v>Current NGF/GOLF.NL listing: 9 holes, par 27, 500 metres. Listed as non-qualifying.</x:v>
      </x:c>
    </x:row>
    <x:row r="140">
      <x:c r="A140" s="30" t="str">
        <x:v>NL-C0087</x:v>
      </x:c>
      <x:c r="B140" s="30" t="str">
        <x:v>NL-0139</x:v>
      </x:c>
      <x:c r="C140" s="30" t="str">
        <x:v>Golfbaan Kapèlkeshof — Kapelkeshofbaan</x:v>
      </x:c>
      <x:c r="D140" s="30" t="str">
        <x:v>Golfbaan Kapèlkeshof</x:v>
      </x:c>
      <x:c r="E140" s="30" t="str">
        <x:v>Kapelkeshofbaan</x:v>
      </x:c>
      <x:c r="F140" s="30" t="str">
        <x:v>Netherlands</x:v>
      </x:c>
      <x:c r="G140" s="30" t="str">
        <x:v>Limburg</x:v>
      </x:c>
      <x:c r="H140" s="30" t="str">
        <x:v>Peel en Maas</x:v>
      </x:c>
      <x:c r="I140" s="30" t="str">
        <x:v>Grashoek</x:v>
      </x:c>
      <x:c r="J140" s="30" t="str">
        <x:v>Roomweg 85</x:v>
      </x:c>
      <x:c r="K140" s="30" t="str">
        <x:v>5985 NS</x:v>
      </x:c>
      <x:c r="L140" s="32" t="n">
        <x:v>51.36545977</x:v>
      </x:c>
      <x:c r="M140" s="32" t="n">
        <x:v>5.94347608</x:v>
      </x:c>
      <x:c r="N140" s="30" t="str">
        <x:v>WGS84 / EPSG:4326</x:v>
      </x:c>
      <x:c r="O140" s="30" t="str">
        <x:v>Verified BAG address point via PDOK</x:v>
      </x:c>
      <x:c r="P140" s="30" t="str">
        <x:v>2026-08-15</x:v>
      </x:c>
      <x:c r="Q140" s="33" t="n">
        <x:f>IF(R140="","",ROUND(R140/0.9144,0))</x:f>
        <x:v>1305</x:v>
      </x:c>
      <x:c r="R140" s="33" t="n">
        <x:v>1193</x:v>
      </x:c>
      <x:c r="S140" s="33" t="n">
        <x:v>18</x:v>
      </x:c>
      <x:c r="T140" s="33" t="n">
        <x:v>54</x:v>
      </x:c>
      <x:c r="U140" s="30" t="str">
        <x:v>Par-3 course</x:v>
      </x:c>
      <x:c r="V140" s="30"/>
      <x:c r="W140" s="30"/>
      <x:c r="X140" s="30"/>
      <x:c r="Y140" s="30" t="str">
        <x:v>https://www.kapelkeshof.nl/</x:v>
      </x:c>
      <x:c r="Z140" s="30" t="b">
        <x:f>IF(AND(F140="Netherlands",ISNUMBER(L140),ISNUMBER(M140),L140&gt;=50.7,L140&lt;=53.7,M140&gt;=3.2,M140&lt;=7.3,AC140&lt;&gt;"Closed"),TRUE,FALSE)</x:f>
        <x:v>1</x:v>
      </x:c>
      <x:c r="AA140" s="30" t="b">
        <x:f>Z140</x:f>
        <x:v>1</x:v>
      </x:c>
      <x:c r="AB140" s="30" t="str">
        <x:f>IF(Z140,"verified_coordinate_and_open","not_map_ready")</x:f>
        <x:v>verified_coordinate_and_open</x:v>
      </x:c>
      <x:c r="AC140" s="30" t="str">
        <x:v>Open</x:v>
      </x:c>
      <x:c r="AD140" s="30" t="str">
        <x:v>Public — no playing requirement</x:v>
      </x:c>
      <x:c r="AE140" s="31" t="b">
        <x:v>0</x:v>
      </x:c>
      <x:c r="AF140" s="31" t="b">
        <x:v>0</x:v>
      </x:c>
      <x:c r="AG140" s="30"/>
      <x:c r="AH140" s="30"/>
      <x:c r="AI140" s="30"/>
      <x:c r="AJ140" s="31" t="b">
        <x:v>0</x:v>
      </x:c>
      <x:c r="AK140" s="31" t="b">
        <x:v>0</x:v>
      </x:c>
      <x:c r="AL140" s="30" t="str">
        <x:v>Verified — national register and exact BAG address</x:v>
      </x:c>
      <x:c r="AM140" s="30" t="str">
        <x:v>https://www.golf.nl/de-baan-op/banenzoeker/overzicht</x:v>
      </x:c>
      <x:c r="AN140" s="30" t="str">
        <x:v>2026-08-15</x:v>
      </x:c>
      <x:c r="AO140" s="30" t="str">
        <x:v>+31 77-3082677</x:v>
      </x:c>
      <x:c r="AP140" s="30" t="str">
        <x:v>Current NGF/GOLF.NL listing: 18 holes, par 54, 1193 metres. Combined from exact NGF-listed constituent nine-hole loops: Kapelkeshofbaan, 1ste negen (9 holes, par 27, 623 m); Kapelkeshofbaan, 2de negen (9 holes, par 27, 570 m) Listed as non-qualifying.</x:v>
      </x:c>
    </x:row>
    <x:row r="141">
      <x:c r="A141" s="30" t="str">
        <x:v>NL-C0087</x:v>
      </x:c>
      <x:c r="B141" s="30" t="str">
        <x:v>NL-0140</x:v>
      </x:c>
      <x:c r="C141" s="30" t="str">
        <x:v>Golfbaan Kapèlkeshof — Solarisbaan</x:v>
      </x:c>
      <x:c r="D141" s="30" t="str">
        <x:v>Golfbaan Kapèlkeshof</x:v>
      </x:c>
      <x:c r="E141" s="30" t="str">
        <x:v>Solarisbaan</x:v>
      </x:c>
      <x:c r="F141" s="30" t="str">
        <x:v>Netherlands</x:v>
      </x:c>
      <x:c r="G141" s="30" t="str">
        <x:v>Limburg</x:v>
      </x:c>
      <x:c r="H141" s="30" t="str">
        <x:v>Peel en Maas</x:v>
      </x:c>
      <x:c r="I141" s="30" t="str">
        <x:v>Grashoek</x:v>
      </x:c>
      <x:c r="J141" s="30" t="str">
        <x:v>Roomweg 85</x:v>
      </x:c>
      <x:c r="K141" s="30" t="str">
        <x:v>5985 NS</x:v>
      </x:c>
      <x:c r="L141" s="32" t="n">
        <x:v>51.36545977</x:v>
      </x:c>
      <x:c r="M141" s="32" t="n">
        <x:v>5.94347608</x:v>
      </x:c>
      <x:c r="N141" s="30" t="str">
        <x:v>WGS84 / EPSG:4326</x:v>
      </x:c>
      <x:c r="O141" s="30" t="str">
        <x:v>Verified BAG address point via PDOK</x:v>
      </x:c>
      <x:c r="P141" s="30" t="str">
        <x:v>2026-08-15</x:v>
      </x:c>
      <x:c r="Q141" s="33" t="n">
        <x:f>IF(R141="","",ROUND(R141/0.9144,0))</x:f>
        <x:v>1185</x:v>
      </x:c>
      <x:c r="R141" s="33" t="n">
        <x:v>1084</x:v>
      </x:c>
      <x:c r="S141" s="33" t="n">
        <x:v>9</x:v>
      </x:c>
      <x:c r="T141" s="33" t="n">
        <x:v>29</x:v>
      </x:c>
      <x:c r="U141" s="30" t="str">
        <x:v>Par-3/4 course</x:v>
      </x:c>
      <x:c r="V141" s="30"/>
      <x:c r="W141" s="30"/>
      <x:c r="X141" s="30"/>
      <x:c r="Y141" s="30" t="str">
        <x:v>https://www.kapelkeshof.nl/</x:v>
      </x:c>
      <x:c r="Z141" s="30" t="b">
        <x:f>IF(AND(F141="Netherlands",ISNUMBER(L141),ISNUMBER(M141),L141&gt;=50.7,L141&lt;=53.7,M141&gt;=3.2,M141&lt;=7.3,AC141&lt;&gt;"Closed"),TRUE,FALSE)</x:f>
        <x:v>1</x:v>
      </x:c>
      <x:c r="AA141" s="30" t="b">
        <x:f>Z141</x:f>
        <x:v>1</x:v>
      </x:c>
      <x:c r="AB141" s="30" t="str">
        <x:f>IF(Z141,"verified_coordinate_and_open","not_map_ready")</x:f>
        <x:v>verified_coordinate_and_open</x:v>
      </x:c>
      <x:c r="AC141" s="30" t="str">
        <x:v>Open</x:v>
      </x:c>
      <x:c r="AD141" s="30" t="str">
        <x:v>Public — NGF course permission</x:v>
      </x:c>
      <x:c r="AE141" s="31" t="b">
        <x:v>1</x:v>
      </x:c>
      <x:c r="AF141" s="31" t="b">
        <x:v>0</x:v>
      </x:c>
      <x:c r="AG141" s="30"/>
      <x:c r="AH141" s="30"/>
      <x:c r="AI141" s="30"/>
      <x:c r="AJ141" s="31" t="b">
        <x:v>0</x:v>
      </x:c>
      <x:c r="AK141" s="31" t="b">
        <x:v>0</x:v>
      </x:c>
      <x:c r="AL141" s="30" t="str">
        <x:v>Verified — national register and exact BAG address</x:v>
      </x:c>
      <x:c r="AM141" s="30" t="str">
        <x:v>https://www.golf.nl/de-baan-op/banenzoeker/overzicht</x:v>
      </x:c>
      <x:c r="AN141" s="30" t="str">
        <x:v>2026-08-15</x:v>
      </x:c>
      <x:c r="AO141" s="30" t="str">
        <x:v>+31 77-3082677</x:v>
      </x:c>
      <x:c r="AP141" s="30" t="str">
        <x:v>Current NGF/GOLF.NL listing: 9 holes, par 29, 1084 metres. Listed as qualifying.</x:v>
      </x:c>
    </x:row>
    <x:row r="142">
      <x:c r="A142" s="30" t="str">
        <x:v>NL-C0088</x:v>
      </x:c>
      <x:c r="B142" s="30" t="str">
        <x:v>NL-0141</x:v>
      </x:c>
      <x:c r="C142" s="30" t="str">
        <x:v>Golfbaan Landgoed Bleijenbeek — Main Course</x:v>
      </x:c>
      <x:c r="D142" s="30" t="str">
        <x:v>Golfbaan Landgoed Bleijenbeek</x:v>
      </x:c>
      <x:c r="E142" s="30" t="str">
        <x:v>Main Course</x:v>
      </x:c>
      <x:c r="F142" s="30" t="str">
        <x:v>Netherlands</x:v>
      </x:c>
      <x:c r="G142" s="30" t="str">
        <x:v>Limburg</x:v>
      </x:c>
      <x:c r="H142" s="30" t="str">
        <x:v>Bergen (L)</x:v>
      </x:c>
      <x:c r="I142" s="30" t="str">
        <x:v>Afferden L</x:v>
      </x:c>
      <x:c r="J142" s="30" t="str">
        <x:v>Bleijenbeek 14</x:v>
      </x:c>
      <x:c r="K142" s="30" t="str">
        <x:v>5851 EE</x:v>
      </x:c>
      <x:c r="L142" s="32" t="n">
        <x:v>51.6365041</x:v>
      </x:c>
      <x:c r="M142" s="32" t="n">
        <x:v>6.06221715</x:v>
      </x:c>
      <x:c r="N142" s="30" t="str">
        <x:v>WGS84 / EPSG:4326</x:v>
      </x:c>
      <x:c r="O142" s="30" t="str">
        <x:v>Verified BAG address point via PDOK</x:v>
      </x:c>
      <x:c r="P142" s="30" t="str">
        <x:v>2026-08-15</x:v>
      </x:c>
      <x:c r="Q142" s="33" t="n">
        <x:f>IF(R142="","",ROUND(R142/0.9144,0))</x:f>
        <x:v>6966</x:v>
      </x:c>
      <x:c r="R142" s="33" t="n">
        <x:v>6370</x:v>
      </x:c>
      <x:c r="S142" s="33" t="n">
        <x:v>18</x:v>
      </x:c>
      <x:c r="T142" s="33" t="n">
        <x:v>73</x:v>
      </x:c>
      <x:c r="U142" s="30" t="str">
        <x:v>Full-length course</x:v>
      </x:c>
      <x:c r="V142" s="30"/>
      <x:c r="W142" s="30"/>
      <x:c r="X142" s="30"/>
      <x:c r="Y142" s="30" t="str">
        <x:v>https://bleijenbeek.nl/</x:v>
      </x:c>
      <x:c r="Z142" s="30" t="b">
        <x:f>IF(AND(F142="Netherlands",ISNUMBER(L142),ISNUMBER(M142),L142&gt;=50.7,L142&lt;=53.7,M142&gt;=3.2,M142&lt;=7.3,AC142&lt;&gt;"Closed"),TRUE,FALSE)</x:f>
        <x:v>1</x:v>
      </x:c>
      <x:c r="AA142" s="30" t="b">
        <x:f>Z142</x:f>
        <x:v>1</x:v>
      </x:c>
      <x:c r="AB142" s="30" t="str">
        <x:f>IF(Z142,"verified_coordinate_and_open","not_map_ready")</x:f>
        <x:v>verified_coordinate_and_open</x:v>
      </x:c>
      <x:c r="AC142" s="30" t="str">
        <x:v>Open</x:v>
      </x:c>
      <x:c r="AD142" s="30" t="str">
        <x:v>Public — handicap 54 or lower</x:v>
      </x:c>
      <x:c r="AE142" s="31" t="b">
        <x:v>1</x:v>
      </x:c>
      <x:c r="AF142" s="31" t="b">
        <x:v>0</x:v>
      </x:c>
      <x:c r="AG142" s="30"/>
      <x:c r="AH142" s="30"/>
      <x:c r="AI142" s="30"/>
      <x:c r="AJ142" s="31" t="b">
        <x:v>0</x:v>
      </x:c>
      <x:c r="AK142" s="31" t="b">
        <x:v>0</x:v>
      </x:c>
      <x:c r="AL142" s="30" t="str">
        <x:v>Verified — national register and exact BAG address</x:v>
      </x:c>
      <x:c r="AM142" s="30" t="str">
        <x:v>https://www.golf.nl/de-baan-op/banenzoeker/overzicht</x:v>
      </x:c>
      <x:c r="AN142" s="30" t="str">
        <x:v>2026-08-15</x:v>
      </x:c>
      <x:c r="AO142" s="30" t="str">
        <x:v>+31 485-530084</x:v>
      </x:c>
      <x:c r="AP142" s="30" t="str">
        <x:v>Current NGF/GOLF.NL listing: 18 holes, par 73, 6370 metres. Combined from exact NGF-listed constituent nine-hole loops: 1ste negen (9 holes, par 35, 3044 m); 2de negen (9 holes, par 38, 3326 m) Listed as qualifying.</x:v>
      </x:c>
    </x:row>
    <x:row r="143">
      <x:c r="A143" s="30" t="str">
        <x:v>NL-C0088</x:v>
      </x:c>
      <x:c r="B143" s="30" t="str">
        <x:v>NL-0142</x:v>
      </x:c>
      <x:c r="C143" s="30" t="str">
        <x:v>Golfbaan Landgoed Bleijenbeek — Par-3/4 Course</x:v>
      </x:c>
      <x:c r="D143" s="30" t="str">
        <x:v>Golfbaan Landgoed Bleijenbeek</x:v>
      </x:c>
      <x:c r="E143" s="30" t="str">
        <x:v>Par-3/4 Course</x:v>
      </x:c>
      <x:c r="F143" s="30" t="str">
        <x:v>Netherlands</x:v>
      </x:c>
      <x:c r="G143" s="30" t="str">
        <x:v>Limburg</x:v>
      </x:c>
      <x:c r="H143" s="30" t="str">
        <x:v>Bergen (L)</x:v>
      </x:c>
      <x:c r="I143" s="30" t="str">
        <x:v>Afferden L</x:v>
      </x:c>
      <x:c r="J143" s="30" t="str">
        <x:v>Bleijenbeek 14</x:v>
      </x:c>
      <x:c r="K143" s="30" t="str">
        <x:v>5851 EE</x:v>
      </x:c>
      <x:c r="L143" s="32" t="n">
        <x:v>51.6365041</x:v>
      </x:c>
      <x:c r="M143" s="32" t="n">
        <x:v>6.06221715</x:v>
      </x:c>
      <x:c r="N143" s="30" t="str">
        <x:v>WGS84 / EPSG:4326</x:v>
      </x:c>
      <x:c r="O143" s="30" t="str">
        <x:v>Verified BAG address point via PDOK</x:v>
      </x:c>
      <x:c r="P143" s="30" t="str">
        <x:v>2026-08-15</x:v>
      </x:c>
      <x:c r="Q143" s="33" t="n">
        <x:f>IF(R143="","",ROUND(R143/0.9144,0))</x:f>
        <x:v>1544</x:v>
      </x:c>
      <x:c r="R143" s="33" t="n">
        <x:v>1412</x:v>
      </x:c>
      <x:c r="S143" s="33" t="n">
        <x:v>9</x:v>
      </x:c>
      <x:c r="T143" s="33" t="n">
        <x:v>29</x:v>
      </x:c>
      <x:c r="U143" s="30" t="str">
        <x:v>Par-3/4 course</x:v>
      </x:c>
      <x:c r="V143" s="30"/>
      <x:c r="W143" s="30"/>
      <x:c r="X143" s="30"/>
      <x:c r="Y143" s="30" t="str">
        <x:v>https://bleijenbeek.nl/</x:v>
      </x:c>
      <x:c r="Z143" s="30" t="b">
        <x:f>IF(AND(F143="Netherlands",ISNUMBER(L143),ISNUMBER(M143),L143&gt;=50.7,L143&lt;=53.7,M143&gt;=3.2,M143&lt;=7.3,AC143&lt;&gt;"Closed"),TRUE,FALSE)</x:f>
        <x:v>1</x:v>
      </x:c>
      <x:c r="AA143" s="30" t="b">
        <x:f>Z143</x:f>
        <x:v>1</x:v>
      </x:c>
      <x:c r="AB143" s="30" t="str">
        <x:f>IF(Z143,"verified_coordinate_and_open","not_map_ready")</x:f>
        <x:v>verified_coordinate_and_open</x:v>
      </x:c>
      <x:c r="AC143" s="30" t="str">
        <x:v>Open</x:v>
      </x:c>
      <x:c r="AD143" s="30" t="str">
        <x:v>Public — NGF course permission</x:v>
      </x:c>
      <x:c r="AE143" s="31" t="b">
        <x:v>1</x:v>
      </x:c>
      <x:c r="AF143" s="31" t="b">
        <x:v>0</x:v>
      </x:c>
      <x:c r="AG143" s="30"/>
      <x:c r="AH143" s="30"/>
      <x:c r="AI143" s="30"/>
      <x:c r="AJ143" s="31" t="b">
        <x:v>0</x:v>
      </x:c>
      <x:c r="AK143" s="31" t="b">
        <x:v>0</x:v>
      </x:c>
      <x:c r="AL143" s="30" t="str">
        <x:v>Verified — national register and exact BAG address</x:v>
      </x:c>
      <x:c r="AM143" s="30" t="str">
        <x:v>https://www.golf.nl/de-baan-op/banenzoeker/overzicht</x:v>
      </x:c>
      <x:c r="AN143" s="30" t="str">
        <x:v>2026-08-15</x:v>
      </x:c>
      <x:c r="AO143" s="30" t="str">
        <x:v>+31 485-530084</x:v>
      </x:c>
      <x:c r="AP143" s="30" t="str">
        <x:v>Current NGF/GOLF.NL listing: 9 holes, par 29, 1412 metres. Listed as qualifying.</x:v>
      </x:c>
    </x:row>
    <x:row r="144">
      <x:c r="A144" s="30" t="str">
        <x:v>NL-C0088</x:v>
      </x:c>
      <x:c r="B144" s="30" t="str">
        <x:v>NL-0143</x:v>
      </x:c>
      <x:c r="C144" s="30" t="str">
        <x:v>Golfbaan Landgoed Bleijenbeek — Shortgolf / Pitch &amp; Putt Course</x:v>
      </x:c>
      <x:c r="D144" s="30" t="str">
        <x:v>Golfbaan Landgoed Bleijenbeek</x:v>
      </x:c>
      <x:c r="E144" s="30" t="str">
        <x:v>Shortgolf / Pitch &amp; Putt Course</x:v>
      </x:c>
      <x:c r="F144" s="30" t="str">
        <x:v>Netherlands</x:v>
      </x:c>
      <x:c r="G144" s="30" t="str">
        <x:v>Limburg</x:v>
      </x:c>
      <x:c r="H144" s="30" t="str">
        <x:v>Bergen (L)</x:v>
      </x:c>
      <x:c r="I144" s="30" t="str">
        <x:v>Afferden L</x:v>
      </x:c>
      <x:c r="J144" s="30" t="str">
        <x:v>Bleijenbeek 14</x:v>
      </x:c>
      <x:c r="K144" s="30" t="str">
        <x:v>5851 EE</x:v>
      </x:c>
      <x:c r="L144" s="32" t="n">
        <x:v>51.6365041</x:v>
      </x:c>
      <x:c r="M144" s="32" t="n">
        <x:v>6.06221715</x:v>
      </x:c>
      <x:c r="N144" s="30" t="str">
        <x:v>WGS84 / EPSG:4326</x:v>
      </x:c>
      <x:c r="O144" s="30" t="str">
        <x:v>Verified BAG address point via PDOK</x:v>
      </x:c>
      <x:c r="P144" s="30" t="str">
        <x:v>2026-08-15</x:v>
      </x:c>
      <x:c r="Q144" s="33" t="n">
        <x:f>IF(R144="","",ROUND(R144/0.9144,0))</x:f>
        <x:v>492</x:v>
      </x:c>
      <x:c r="R144" s="33" t="n">
        <x:v>450</x:v>
      </x:c>
      <x:c r="S144" s="33" t="n">
        <x:v>9</x:v>
      </x:c>
      <x:c r="T144" s="33" t="n">
        <x:v>27</x:v>
      </x:c>
      <x:c r="U144" s="30" t="str">
        <x:v>Shortgolf / Pitch &amp; Putt</x:v>
      </x:c>
      <x:c r="V144" s="30"/>
      <x:c r="W144" s="30"/>
      <x:c r="X144" s="30"/>
      <x:c r="Y144" s="30" t="str">
        <x:v>https://bleijenbeek.nl/</x:v>
      </x:c>
      <x:c r="Z144" s="30" t="b">
        <x:f>IF(AND(F144="Netherlands",ISNUMBER(L144),ISNUMBER(M144),L144&gt;=50.7,L144&lt;=53.7,M144&gt;=3.2,M144&lt;=7.3,AC144&lt;&gt;"Closed"),TRUE,FALSE)</x:f>
        <x:v>1</x:v>
      </x:c>
      <x:c r="AA144" s="30" t="b">
        <x:f>Z144</x:f>
        <x:v>1</x:v>
      </x:c>
      <x:c r="AB144" s="30" t="str">
        <x:f>IF(Z144,"verified_coordinate_and_open","not_map_ready")</x:f>
        <x:v>verified_coordinate_and_open</x:v>
      </x:c>
      <x:c r="AC144" s="30" t="str">
        <x:v>Open</x:v>
      </x:c>
      <x:c r="AD144" s="30" t="str">
        <x:v>Public — no playing requirement</x:v>
      </x:c>
      <x:c r="AE144" s="31" t="b">
        <x:v>0</x:v>
      </x:c>
      <x:c r="AF144" s="31" t="b">
        <x:v>0</x:v>
      </x:c>
      <x:c r="AG144" s="30"/>
      <x:c r="AH144" s="30"/>
      <x:c r="AI144" s="30"/>
      <x:c r="AJ144" s="31" t="b">
        <x:v>0</x:v>
      </x:c>
      <x:c r="AK144" s="31" t="b">
        <x:v>0</x:v>
      </x:c>
      <x:c r="AL144" s="30" t="str">
        <x:v>Verified — national register and exact BAG address</x:v>
      </x:c>
      <x:c r="AM144" s="30" t="str">
        <x:v>https://www.golf.nl/de-baan-op/banenzoeker/overzicht</x:v>
      </x:c>
      <x:c r="AN144" s="30" t="str">
        <x:v>2026-08-15</x:v>
      </x:c>
      <x:c r="AO144" s="30" t="str">
        <x:v>+31 485-530084</x:v>
      </x:c>
      <x:c r="AP144" s="30" t="str">
        <x:v>Current NGF/GOLF.NL listing: 9 holes, par 27, 450 metres. Listed as non-qualifying.</x:v>
      </x:c>
    </x:row>
    <x:row r="145">
      <x:c r="A145" s="30" t="str">
        <x:v>NL-C0089</x:v>
      </x:c>
      <x:c r="B145" s="30" t="str">
        <x:v>NL-0144</x:v>
      </x:c>
      <x:c r="C145" s="30" t="str">
        <x:v>Golfclub De Berckt</x:v>
      </x:c>
      <x:c r="D145" s="30" t="str">
        <x:v>Golfclub De Berckt</x:v>
      </x:c>
      <x:c r="E145" s="30" t="str">
        <x:v>Course</x:v>
      </x:c>
      <x:c r="F145" s="30" t="str">
        <x:v>Netherlands</x:v>
      </x:c>
      <x:c r="G145" s="30" t="str">
        <x:v>Limburg</x:v>
      </x:c>
      <x:c r="H145" s="30" t="str">
        <x:v>Peel en Maas</x:v>
      </x:c>
      <x:c r="I145" s="30" t="str">
        <x:v>Baarlo</x:v>
      </x:c>
      <x:c r="J145" s="30" t="str">
        <x:v>De Berckt 1</x:v>
      </x:c>
      <x:c r="K145" s="30" t="str">
        <x:v>5991 PD</x:v>
      </x:c>
      <x:c r="L145" s="32" t="n">
        <x:v>51.34006841</x:v>
      </x:c>
      <x:c r="M145" s="32" t="n">
        <x:v>6.1099039</x:v>
      </x:c>
      <x:c r="N145" s="30" t="str">
        <x:v>WGS84 / EPSG:4326</x:v>
      </x:c>
      <x:c r="O145" s="30" t="str">
        <x:v>Verified BAG address point via PDOK</x:v>
      </x:c>
      <x:c r="P145" s="30" t="str">
        <x:v>2026-08-15</x:v>
      </x:c>
      <x:c r="Q145" s="33" t="n">
        <x:f>IF(R145="","",ROUND(R145/0.9144,0))</x:f>
        <x:v>1996</x:v>
      </x:c>
      <x:c r="R145" s="33" t="n">
        <x:v>1825</x:v>
      </x:c>
      <x:c r="S145" s="33" t="n">
        <x:v>9</x:v>
      </x:c>
      <x:c r="T145" s="33" t="n">
        <x:v>32</x:v>
      </x:c>
      <x:c r="U145" s="30" t="str">
        <x:v>Full-length course</x:v>
      </x:c>
      <x:c r="V145" s="30"/>
      <x:c r="W145" s="30"/>
      <x:c r="X145" s="30"/>
      <x:c r="Y145" s="30" t="str">
        <x:v>https://golfclubdeberckt.nl/</x:v>
      </x:c>
      <x:c r="Z145" s="30" t="b">
        <x:f>IF(AND(F145="Netherlands",ISNUMBER(L145),ISNUMBER(M145),L145&gt;=50.7,L145&lt;=53.7,M145&gt;=3.2,M145&lt;=7.3,AC145&lt;&gt;"Closed"),TRUE,FALSE)</x:f>
        <x:v>1</x:v>
      </x:c>
      <x:c r="AA145" s="30" t="b">
        <x:f>Z145</x:f>
        <x:v>1</x:v>
      </x:c>
      <x:c r="AB145" s="30" t="str">
        <x:f>IF(Z145,"verified_coordinate_and_open","not_map_ready")</x:f>
        <x:v>verified_coordinate_and_open</x:v>
      </x:c>
      <x:c r="AC145" s="30" t="str">
        <x:v>Open</x:v>
      </x:c>
      <x:c r="AD145" s="30" t="str">
        <x:v>Public — NGF course permission</x:v>
      </x:c>
      <x:c r="AE145" s="31" t="b">
        <x:v>1</x:v>
      </x:c>
      <x:c r="AF145" s="31" t="b">
        <x:v>0</x:v>
      </x:c>
      <x:c r="AG145" s="30"/>
      <x:c r="AH145" s="30"/>
      <x:c r="AI145" s="30"/>
      <x:c r="AJ145" s="31" t="b">
        <x:v>0</x:v>
      </x:c>
      <x:c r="AK145" s="31" t="b">
        <x:v>0</x:v>
      </x:c>
      <x:c r="AL145" s="30" t="str">
        <x:v>Verified — national register and exact BAG address</x:v>
      </x:c>
      <x:c r="AM145" s="30" t="str">
        <x:v>https://www.golf.nl/de-baan-op/banenzoeker/overzicht</x:v>
      </x:c>
      <x:c r="AN145" s="30" t="str">
        <x:v>2026-08-15</x:v>
      </x:c>
      <x:c r="AO145" s="30" t="str">
        <x:v>+31 6-10442516</x:v>
      </x:c>
      <x:c r="AP145" s="30" t="str">
        <x:v>Current NGF/GOLF.NL listing: 9 holes, par 32, 1825 metres. The current official facility contact page and BAG address replace the postcode typo in the NGF overview (Berckt 1, 5591 PD Baarlo). Listed as qualifying.</x:v>
      </x:c>
    </x:row>
    <x:row r="146">
      <x:c r="A146" s="30" t="str">
        <x:v>NL-C0090</x:v>
      </x:c>
      <x:c r="B146" s="30" t="str">
        <x:v>NL-0145</x:v>
      </x:c>
      <x:c r="C146" s="30" t="str">
        <x:v>Golfclub Meerssen</x:v>
      </x:c>
      <x:c r="D146" s="30" t="str">
        <x:v>Golfclub Meerssen</x:v>
      </x:c>
      <x:c r="E146" s="30" t="str">
        <x:v>Course</x:v>
      </x:c>
      <x:c r="F146" s="30" t="str">
        <x:v>Netherlands</x:v>
      </x:c>
      <x:c r="G146" s="30" t="str">
        <x:v>Limburg</x:v>
      </x:c>
      <x:c r="H146" s="30" t="str">
        <x:v>Meerssen</x:v>
      </x:c>
      <x:c r="I146" s="30" t="str">
        <x:v>Bunde</x:v>
      </x:c>
      <x:c r="J146" s="30" t="str">
        <x:v>Heiveld 4</x:v>
      </x:c>
      <x:c r="K146" s="30" t="str">
        <x:v>6241 EK</x:v>
      </x:c>
      <x:c r="L146" s="32" t="n">
        <x:v>50.8966041</x:v>
      </x:c>
      <x:c r="M146" s="32" t="n">
        <x:v>5.74470455</x:v>
      </x:c>
      <x:c r="N146" s="30" t="str">
        <x:v>WGS84 / EPSG:4326</x:v>
      </x:c>
      <x:c r="O146" s="30" t="str">
        <x:v>Verified BAG address point via PDOK</x:v>
      </x:c>
      <x:c r="P146" s="30" t="str">
        <x:v>2026-08-15</x:v>
      </x:c>
      <x:c r="Q146" s="33" t="n">
        <x:f>IF(R146="","",ROUND(R146/0.9144,0))</x:f>
        <x:v>1640</x:v>
      </x:c>
      <x:c r="R146" s="33" t="n">
        <x:v>1500</x:v>
      </x:c>
      <x:c r="S146" s="33" t="n">
        <x:v>9</x:v>
      </x:c>
      <x:c r="T146" s="33" t="n">
        <x:v>29</x:v>
      </x:c>
      <x:c r="U146" s="30" t="str">
        <x:v>Par-3/4 course</x:v>
      </x:c>
      <x:c r="V146" s="30"/>
      <x:c r="W146" s="30"/>
      <x:c r="X146" s="30"/>
      <x:c r="Y146" s="30" t="str">
        <x:v>https://www.golfclubmeerssen.nl/</x:v>
      </x:c>
      <x:c r="Z146" s="30" t="b">
        <x:f>IF(AND(F146="Netherlands",ISNUMBER(L146),ISNUMBER(M146),L146&gt;=50.7,L146&lt;=53.7,M146&gt;=3.2,M146&lt;=7.3,AC146&lt;&gt;"Closed"),TRUE,FALSE)</x:f>
        <x:v>1</x:v>
      </x:c>
      <x:c r="AA146" s="30" t="b">
        <x:f>Z146</x:f>
        <x:v>1</x:v>
      </x:c>
      <x:c r="AB146" s="30" t="str">
        <x:f>IF(Z146,"verified_coordinate_and_open","not_map_ready")</x:f>
        <x:v>verified_coordinate_and_open</x:v>
      </x:c>
      <x:c r="AC146" s="30" t="str">
        <x:v>Open</x:v>
      </x:c>
      <x:c r="AD146" s="30" t="str">
        <x:v>Public — handicap 54 or lower</x:v>
      </x:c>
      <x:c r="AE146" s="31" t="b">
        <x:v>1</x:v>
      </x:c>
      <x:c r="AF146" s="31" t="b">
        <x:v>0</x:v>
      </x:c>
      <x:c r="AG146" s="30"/>
      <x:c r="AH146" s="30"/>
      <x:c r="AI146" s="30"/>
      <x:c r="AJ146" s="31" t="b">
        <x:v>0</x:v>
      </x:c>
      <x:c r="AK146" s="31" t="b">
        <x:v>0</x:v>
      </x:c>
      <x:c r="AL146" s="30" t="str">
        <x:v>Verified — national register and exact BAG address</x:v>
      </x:c>
      <x:c r="AM146" s="30" t="str">
        <x:v>https://www.golf.nl/de-baan-op/banenzoeker/overzicht</x:v>
      </x:c>
      <x:c r="AN146" s="30" t="str">
        <x:v>2026-08-15</x:v>
      </x:c>
      <x:c r="AO146" s="30" t="str">
        <x:v>+31 43-3652756</x:v>
      </x:c>
      <x:c r="AP146" s="30" t="str">
        <x:v>Current NGF/GOLF.NL listing: 9 holes, par 29, 1500 metres. Listed as qualifying.</x:v>
      </x:c>
    </x:row>
    <x:row r="147">
      <x:c r="A147" s="30" t="str">
        <x:v>NL-C0091</x:v>
      </x:c>
      <x:c r="B147" s="30" t="str">
        <x:v>NL-0146</x:v>
      </x:c>
      <x:c r="C147" s="30" t="str">
        <x:v>Golfclub Slottermolen</x:v>
      </x:c>
      <x:c r="D147" s="30" t="str">
        <x:v>Golfclub Slottermolen</x:v>
      </x:c>
      <x:c r="E147" s="30" t="str">
        <x:v>Course</x:v>
      </x:c>
      <x:c r="F147" s="30" t="str">
        <x:v>Netherlands</x:v>
      </x:c>
      <x:c r="G147" s="30" t="str">
        <x:v>Limburg</x:v>
      </x:c>
      <x:c r="H147" s="30" t="str">
        <x:v>Horst aan de Maas</x:v>
      </x:c>
      <x:c r="I147" s="30" t="str">
        <x:v>Grubbenvorst</x:v>
      </x:c>
      <x:c r="J147" s="30" t="str">
        <x:v>Venloseweg 73</x:v>
      </x:c>
      <x:c r="K147" s="30" t="str">
        <x:v>5971 PB</x:v>
      </x:c>
      <x:c r="L147" s="32" t="n">
        <x:v>51.40925593</x:v>
      </x:c>
      <x:c r="M147" s="32" t="n">
        <x:v>6.14603095</x:v>
      </x:c>
      <x:c r="N147" s="30" t="str">
        <x:v>WGS84 / EPSG:4326</x:v>
      </x:c>
      <x:c r="O147" s="30" t="str">
        <x:v>Verified BAG address point via PDOK</x:v>
      </x:c>
      <x:c r="P147" s="30" t="str">
        <x:v>2026-08-15</x:v>
      </x:c>
      <x:c r="Q147" s="33" t="n">
        <x:f>IF(R147="","",ROUND(R147/0.9144,0))</x:f>
        <x:v>1165</x:v>
      </x:c>
      <x:c r="R147" s="33" t="n">
        <x:v>1065</x:v>
      </x:c>
      <x:c r="S147" s="33" t="n">
        <x:v>9</x:v>
      </x:c>
      <x:c r="T147" s="33" t="n">
        <x:v>27</x:v>
      </x:c>
      <x:c r="U147" s="30" t="str">
        <x:v>Par-3 course</x:v>
      </x:c>
      <x:c r="V147" s="30"/>
      <x:c r="W147" s="30"/>
      <x:c r="X147" s="30"/>
      <x:c r="Y147" s="30" t="str">
        <x:v>https://www.golf.nl/banen-en-clubs/waar-kan-ik-golfen/622/slottermolen</x:v>
      </x:c>
      <x:c r="Z147" s="30" t="b">
        <x:f>IF(AND(F147="Netherlands",ISNUMBER(L147),ISNUMBER(M147),L147&gt;=50.7,L147&lt;=53.7,M147&gt;=3.2,M147&lt;=7.3,AC147&lt;&gt;"Closed"),TRUE,FALSE)</x:f>
        <x:v>1</x:v>
      </x:c>
      <x:c r="AA147" s="30" t="b">
        <x:f>Z147</x:f>
        <x:v>1</x:v>
      </x:c>
      <x:c r="AB147" s="30" t="str">
        <x:f>IF(Z147,"verified_coordinate_and_open","not_map_ready")</x:f>
        <x:v>verified_coordinate_and_open</x:v>
      </x:c>
      <x:c r="AC147" s="30" t="str">
        <x:v>Open</x:v>
      </x:c>
      <x:c r="AD147" s="30" t="str">
        <x:v>Public — no playing requirement</x:v>
      </x:c>
      <x:c r="AE147" s="31" t="b">
        <x:v>1</x:v>
      </x:c>
      <x:c r="AF147" s="31" t="b">
        <x:v>0</x:v>
      </x:c>
      <x:c r="AG147" s="30"/>
      <x:c r="AH147" s="30"/>
      <x:c r="AI147" s="30"/>
      <x:c r="AJ147" s="31" t="b">
        <x:v>0</x:v>
      </x:c>
      <x:c r="AK147" s="31" t="b">
        <x:v>0</x:v>
      </x:c>
      <x:c r="AL147" s="30" t="str">
        <x:v>Verified — national register and exact BAG address</x:v>
      </x:c>
      <x:c r="AM147" s="30" t="str">
        <x:v>https://www.golf.nl/de-baan-op/banenzoeker/overzicht</x:v>
      </x:c>
      <x:c r="AN147" s="30" t="str">
        <x:v>2026-08-15</x:v>
      </x:c>
      <x:c r="AO147" s="30"/>
      <x:c r="AP147" s="30" t="str">
        <x:v>Current NGF/GOLF.NL listing: 9 holes, par 27, 1065 metres. Listed as qualifying.</x:v>
      </x:c>
    </x:row>
    <x:row r="148">
      <x:c r="A148" s="30" t="str">
        <x:v>NL-C0092</x:v>
      </x:c>
      <x:c r="B148" s="30" t="str">
        <x:v>NL-0147</x:v>
      </x:c>
      <x:c r="C148" s="30" t="str">
        <x:v>Golfclub Velden</x:v>
      </x:c>
      <x:c r="D148" s="30" t="str">
        <x:v>Golfclub Velden</x:v>
      </x:c>
      <x:c r="E148" s="30" t="str">
        <x:v>Course</x:v>
      </x:c>
      <x:c r="F148" s="30" t="str">
        <x:v>Netherlands</x:v>
      </x:c>
      <x:c r="G148" s="30" t="str">
        <x:v>Limburg</x:v>
      </x:c>
      <x:c r="H148" s="30" t="str">
        <x:v>Venlo</x:v>
      </x:c>
      <x:c r="I148" s="30" t="str">
        <x:v>Velden</x:v>
      </x:c>
      <x:c r="J148" s="30" t="str">
        <x:v>Schandeloseweg 1</x:v>
      </x:c>
      <x:c r="K148" s="30" t="str">
        <x:v>5941 CP</x:v>
      </x:c>
      <x:c r="L148" s="32" t="n">
        <x:v>51.41547297</x:v>
      </x:c>
      <x:c r="M148" s="32" t="n">
        <x:v>6.16981933</x:v>
      </x:c>
      <x:c r="N148" s="30" t="str">
        <x:v>WGS84 / EPSG:4326</x:v>
      </x:c>
      <x:c r="O148" s="30" t="str">
        <x:v>Verified BAG address point via PDOK</x:v>
      </x:c>
      <x:c r="P148" s="30" t="str">
        <x:v>2026-08-15</x:v>
      </x:c>
      <x:c r="Q148" s="33" t="n">
        <x:f>IF(R148="","",ROUND(R148/0.9144,0))</x:f>
        <x:v>1255</x:v>
      </x:c>
      <x:c r="R148" s="33" t="n">
        <x:v>1148</x:v>
      </x:c>
      <x:c r="S148" s="33" t="n">
        <x:v>9</x:v>
      </x:c>
      <x:c r="T148" s="33" t="n">
        <x:v>27</x:v>
      </x:c>
      <x:c r="U148" s="30" t="str">
        <x:v>Par-3 course</x:v>
      </x:c>
      <x:c r="V148" s="30"/>
      <x:c r="W148" s="30"/>
      <x:c r="X148" s="30"/>
      <x:c r="Y148" s="30" t="str">
        <x:v>https://www.sportkernvelden.nl/golfclub-velden/</x:v>
      </x:c>
      <x:c r="Z148" s="30" t="b">
        <x:f>IF(AND(F148="Netherlands",ISNUMBER(L148),ISNUMBER(M148),L148&gt;=50.7,L148&lt;=53.7,M148&gt;=3.2,M148&lt;=7.3,AC148&lt;&gt;"Closed"),TRUE,FALSE)</x:f>
        <x:v>1</x:v>
      </x:c>
      <x:c r="AA148" s="30" t="b">
        <x:f>Z148</x:f>
        <x:v>1</x:v>
      </x:c>
      <x:c r="AB148" s="30" t="str">
        <x:f>IF(Z148,"verified_coordinate_and_open","not_map_ready")</x:f>
        <x:v>verified_coordinate_and_open</x:v>
      </x:c>
      <x:c r="AC148" s="30" t="str">
        <x:v>Open</x:v>
      </x:c>
      <x:c r="AD148" s="30" t="str">
        <x:v>Public — NGF course permission</x:v>
      </x:c>
      <x:c r="AE148" s="31" t="b">
        <x:v>0</x:v>
      </x:c>
      <x:c r="AF148" s="31" t="b">
        <x:v>0</x:v>
      </x:c>
      <x:c r="AG148" s="30"/>
      <x:c r="AH148" s="30"/>
      <x:c r="AI148" s="30"/>
      <x:c r="AJ148" s="31" t="b">
        <x:v>0</x:v>
      </x:c>
      <x:c r="AK148" s="31" t="b">
        <x:v>0</x:v>
      </x:c>
      <x:c r="AL148" s="30" t="str">
        <x:v>Verified — national register and exact BAG address</x:v>
      </x:c>
      <x:c r="AM148" s="30" t="str">
        <x:v>https://www.golf.nl/de-baan-op/banenzoeker/overzicht</x:v>
      </x:c>
      <x:c r="AN148" s="30" t="str">
        <x:v>2026-08-15</x:v>
      </x:c>
      <x:c r="AO148" s="30" t="str">
        <x:v>077 472 2025</x:v>
      </x:c>
      <x:c r="AP148" s="30" t="str">
        <x:v>Current NGF/GOLF.NL listing: 9 holes, par 27, 1148 metres. Listed as non-qualifying.</x:v>
      </x:c>
    </x:row>
    <x:row r="149">
      <x:c r="A149" s="30" t="str">
        <x:v>NL-C0093</x:v>
      </x:c>
      <x:c r="B149" s="30" t="str">
        <x:v>NL-0148</x:v>
      </x:c>
      <x:c r="C149" s="30" t="str">
        <x:v>Golfpark Land van Thorn</x:v>
      </x:c>
      <x:c r="D149" s="30" t="str">
        <x:v>Golfpark Land van Thorn</x:v>
      </x:c>
      <x:c r="E149" s="30" t="str">
        <x:v>Course</x:v>
      </x:c>
      <x:c r="F149" s="30" t="str">
        <x:v>Netherlands</x:v>
      </x:c>
      <x:c r="G149" s="30" t="str">
        <x:v>Limburg</x:v>
      </x:c>
      <x:c r="H149" s="30" t="str">
        <x:v>Leudal</x:v>
      </x:c>
      <x:c r="I149" s="30" t="str">
        <x:v>Hunsel</x:v>
      </x:c>
      <x:c r="J149" s="30" t="str">
        <x:v>Kallestraat 37a</x:v>
      </x:c>
      <x:c r="K149" s="30" t="str">
        <x:v>6013 RM</x:v>
      </x:c>
      <x:c r="L149" s="32" t="n">
        <x:v>51.18729696</x:v>
      </x:c>
      <x:c r="M149" s="32" t="n">
        <x:v>5.81858718</x:v>
      </x:c>
      <x:c r="N149" s="30" t="str">
        <x:v>WGS84 / EPSG:4326</x:v>
      </x:c>
      <x:c r="O149" s="30" t="str">
        <x:v>Verified BAG address point via PDOK</x:v>
      </x:c>
      <x:c r="P149" s="30" t="str">
        <x:v>2026-08-15</x:v>
      </x:c>
      <x:c r="Q149" s="33" t="n">
        <x:f>IF(R149="","",ROUND(R149/0.9144,0))</x:f>
        <x:v>3021</x:v>
      </x:c>
      <x:c r="R149" s="33" t="n">
        <x:v>2762</x:v>
      </x:c>
      <x:c r="S149" s="33" t="n">
        <x:v>9</x:v>
      </x:c>
      <x:c r="T149" s="33" t="n">
        <x:v>36</x:v>
      </x:c>
      <x:c r="U149" s="30" t="str">
        <x:v>Full-length course</x:v>
      </x:c>
      <x:c r="V149" s="30"/>
      <x:c r="W149" s="30"/>
      <x:c r="X149" s="30"/>
      <x:c r="Y149" s="30" t="str">
        <x:v>https://www.hollandschegolfclub.nl/golfpark/land-van-thorn/</x:v>
      </x:c>
      <x:c r="Z149" s="30" t="b">
        <x:f>IF(AND(F149="Netherlands",ISNUMBER(L149),ISNUMBER(M149),L149&gt;=50.7,L149&lt;=53.7,M149&gt;=3.2,M149&lt;=7.3,AC149&lt;&gt;"Closed"),TRUE,FALSE)</x:f>
        <x:v>1</x:v>
      </x:c>
      <x:c r="AA149" s="30" t="b">
        <x:f>Z149</x:f>
        <x:v>1</x:v>
      </x:c>
      <x:c r="AB149" s="30" t="str">
        <x:f>IF(Z149,"verified_coordinate_and_open","not_map_ready")</x:f>
        <x:v>verified_coordinate_and_open</x:v>
      </x:c>
      <x:c r="AC149" s="30" t="str">
        <x:v>Open</x:v>
      </x:c>
      <x:c r="AD149" s="30" t="str">
        <x:v>Public — handicap 54 or lower</x:v>
      </x:c>
      <x:c r="AE149" s="31" t="b">
        <x:v>1</x:v>
      </x:c>
      <x:c r="AF149" s="31" t="b">
        <x:v>0</x:v>
      </x:c>
      <x:c r="AG149" s="30"/>
      <x:c r="AH149" s="30"/>
      <x:c r="AI149" s="30"/>
      <x:c r="AJ149" s="31" t="b">
        <x:v>0</x:v>
      </x:c>
      <x:c r="AK149" s="31" t="b">
        <x:v>0</x:v>
      </x:c>
      <x:c r="AL149" s="30" t="str">
        <x:v>Verified — national register and exact BAG address</x:v>
      </x:c>
      <x:c r="AM149" s="30" t="str">
        <x:v>https://www.golf.nl/de-baan-op/banenzoeker/overzicht</x:v>
      </x:c>
      <x:c r="AN149" s="30" t="str">
        <x:v>2026-08-15</x:v>
      </x:c>
      <x:c r="AO149" s="30" t="str">
        <x:v>+31 183 - 403 59</x:v>
      </x:c>
      <x:c r="AP149" s="30" t="str">
        <x:v>Current NGF/GOLF.NL listing: 9 holes, par 36, 2762 metres. Listed as qualifying.</x:v>
      </x:c>
    </x:row>
    <x:row r="150">
      <x:c r="A150" s="30" t="str">
        <x:v>NL-C0094</x:v>
      </x:c>
      <x:c r="B150" s="30" t="str">
        <x:v>NL-0149</x:v>
      </x:c>
      <x:c r="C150" s="30" t="str">
        <x:v>Hoenshuis Golf — Main Course</x:v>
      </x:c>
      <x:c r="D150" s="30" t="str">
        <x:v>Hoenshuis Golf</x:v>
      </x:c>
      <x:c r="E150" s="30" t="str">
        <x:v>Main Course</x:v>
      </x:c>
      <x:c r="F150" s="30" t="str">
        <x:v>Netherlands</x:v>
      </x:c>
      <x:c r="G150" s="30" t="str">
        <x:v>Limburg</x:v>
      </x:c>
      <x:c r="H150" s="30" t="str">
        <x:v>Voerendaal</x:v>
      </x:c>
      <x:c r="I150" s="30" t="str">
        <x:v>Voerendaal</x:v>
      </x:c>
      <x:c r="J150" s="30" t="str">
        <x:v>Hoensweg 17</x:v>
      </x:c>
      <x:c r="K150" s="30" t="str">
        <x:v>6367 GN</x:v>
      </x:c>
      <x:c r="L150" s="32" t="n">
        <x:v>50.88479523</x:v>
      </x:c>
      <x:c r="M150" s="32" t="n">
        <x:v>5.91757742</x:v>
      </x:c>
      <x:c r="N150" s="30" t="str">
        <x:v>WGS84 / EPSG:4326</x:v>
      </x:c>
      <x:c r="O150" s="30" t="str">
        <x:v>Verified BAG address point via PDOK</x:v>
      </x:c>
      <x:c r="P150" s="30" t="str">
        <x:v>2026-08-15</x:v>
      </x:c>
      <x:c r="Q150" s="33" t="n">
        <x:f>IF(R150="","",ROUND(R150/0.9144,0))</x:f>
        <x:v>6874</x:v>
      </x:c>
      <x:c r="R150" s="33" t="n">
        <x:v>6286</x:v>
      </x:c>
      <x:c r="S150" s="33" t="n">
        <x:v>18</x:v>
      </x:c>
      <x:c r="T150" s="33" t="n">
        <x:v>72</x:v>
      </x:c>
      <x:c r="U150" s="30" t="str">
        <x:v>Full-length course</x:v>
      </x:c>
      <x:c r="V150" s="30"/>
      <x:c r="W150" s="30"/>
      <x:c r="X150" s="30"/>
      <x:c r="Y150" s="30" t="str">
        <x:v>https://hoenshuis.nl/nl</x:v>
      </x:c>
      <x:c r="Z150" s="30" t="b">
        <x:f>IF(AND(F150="Netherlands",ISNUMBER(L150),ISNUMBER(M150),L150&gt;=50.7,L150&lt;=53.7,M150&gt;=3.2,M150&lt;=7.3,AC150&lt;&gt;"Closed"),TRUE,FALSE)</x:f>
        <x:v>1</x:v>
      </x:c>
      <x:c r="AA150" s="30" t="b">
        <x:f>Z150</x:f>
        <x:v>1</x:v>
      </x:c>
      <x:c r="AB150" s="30" t="str">
        <x:f>IF(Z150,"verified_coordinate_and_open","not_map_ready")</x:f>
        <x:v>verified_coordinate_and_open</x:v>
      </x:c>
      <x:c r="AC150" s="30" t="str">
        <x:v>Open</x:v>
      </x:c>
      <x:c r="AD150" s="30" t="str">
        <x:v>Public — handicap 36 or lower</x:v>
      </x:c>
      <x:c r="AE150" s="31" t="b">
        <x:v>1</x:v>
      </x:c>
      <x:c r="AF150" s="31" t="b">
        <x:v>0</x:v>
      </x:c>
      <x:c r="AG150" s="30"/>
      <x:c r="AH150" s="30"/>
      <x:c r="AI150" s="30"/>
      <x:c r="AJ150" s="31" t="b">
        <x:v>0</x:v>
      </x:c>
      <x:c r="AK150" s="31" t="b">
        <x:v>0</x:v>
      </x:c>
      <x:c r="AL150" s="30" t="str">
        <x:v>Verified — national register and exact BAG address</x:v>
      </x:c>
      <x:c r="AM150" s="30" t="str">
        <x:v>https://www.golf.nl/de-baan-op/banenzoeker/overzicht</x:v>
      </x:c>
      <x:c r="AN150" s="30" t="str">
        <x:v>2026-08-15</x:v>
      </x:c>
      <x:c r="AO150" s="30" t="str">
        <x:v>+31 45-5753300</x:v>
      </x:c>
      <x:c r="AP150" s="30" t="str">
        <x:v>Current NGF/GOLF.NL listing: 18 holes, par 72, 6286 metres. Combined from exact NGF-listed constituent nine-hole loops: 1ste negen (9 holes, par 36, 3197 m); 2de negen (9 holes, par 36, 3089 m) Listed as qualifying.</x:v>
      </x:c>
    </x:row>
    <x:row r="151">
      <x:c r="A151" s="30" t="str">
        <x:v>NL-C0095</x:v>
      </x:c>
      <x:c r="B151" s="30" t="str">
        <x:v>NL-0150</x:v>
      </x:c>
      <x:c r="C151" s="30" t="str">
        <x:v>International Golf Maastricht — Limburg Course</x:v>
      </x:c>
      <x:c r="D151" s="30" t="str">
        <x:v>International Golf Maastricht</x:v>
      </x:c>
      <x:c r="E151" s="30" t="str">
        <x:v>Limburg Course</x:v>
      </x:c>
      <x:c r="F151" s="30" t="str">
        <x:v>Netherlands</x:v>
      </x:c>
      <x:c r="G151" s="30" t="str">
        <x:v>Limburg</x:v>
      </x:c>
      <x:c r="H151" s="30" t="str">
        <x:v>Maastricht</x:v>
      </x:c>
      <x:c r="I151" s="30" t="str">
        <x:v>Maastricht</x:v>
      </x:c>
      <x:c r="J151" s="30" t="str">
        <x:v>Dousbergweg 100</x:v>
      </x:c>
      <x:c r="K151" s="30" t="str">
        <x:v>6216 GC</x:v>
      </x:c>
      <x:c r="L151" s="32" t="n">
        <x:v>50.8557007</x:v>
      </x:c>
      <x:c r="M151" s="32" t="n">
        <x:v>5.64293637</x:v>
      </x:c>
      <x:c r="N151" s="30" t="str">
        <x:v>WGS84 / EPSG:4326</x:v>
      </x:c>
      <x:c r="O151" s="30" t="str">
        <x:v>Verified BAG address point via PDOK</x:v>
      </x:c>
      <x:c r="P151" s="30" t="str">
        <x:v>2026-08-15</x:v>
      </x:c>
      <x:c r="Q151" s="33" t="n">
        <x:f>IF(R151="","",ROUND(R151/0.9144,0))</x:f>
        <x:v>2396</x:v>
      </x:c>
      <x:c r="R151" s="33" t="n">
        <x:v>2191</x:v>
      </x:c>
      <x:c r="S151" s="33" t="n">
        <x:v>9</x:v>
      </x:c>
      <x:c r="T151" s="33" t="n">
        <x:v>35</x:v>
      </x:c>
      <x:c r="U151" s="30" t="str">
        <x:v>Full-length course</x:v>
      </x:c>
      <x:c r="V151" s="30"/>
      <x:c r="W151" s="30"/>
      <x:c r="X151" s="30"/>
      <x:c r="Y151" s="30" t="str">
        <x:v>https://www.internationalgolfmaastricht.com/</x:v>
      </x:c>
      <x:c r="Z151" s="30" t="b">
        <x:f>IF(AND(F151="Netherlands",ISNUMBER(L151),ISNUMBER(M151),L151&gt;=50.7,L151&lt;=53.7,M151&gt;=3.2,M151&lt;=7.3,AC151&lt;&gt;"Closed"),TRUE,FALSE)</x:f>
        <x:v>1</x:v>
      </x:c>
      <x:c r="AA151" s="30" t="b">
        <x:f>Z151</x:f>
        <x:v>1</x:v>
      </x:c>
      <x:c r="AB151" s="30" t="str">
        <x:f>IF(Z151,"verified_coordinate_and_open","not_map_ready")</x:f>
        <x:v>verified_coordinate_and_open</x:v>
      </x:c>
      <x:c r="AC151" s="30" t="str">
        <x:v>Open</x:v>
      </x:c>
      <x:c r="AD151" s="30" t="str">
        <x:v>Public — NGF course permission</x:v>
      </x:c>
      <x:c r="AE151" s="31" t="b">
        <x:v>1</x:v>
      </x:c>
      <x:c r="AF151" s="31" t="b">
        <x:v>0</x:v>
      </x:c>
      <x:c r="AG151" s="30"/>
      <x:c r="AH151" s="30"/>
      <x:c r="AI151" s="30"/>
      <x:c r="AJ151" s="31" t="b">
        <x:v>0</x:v>
      </x:c>
      <x:c r="AK151" s="31" t="b">
        <x:v>0</x:v>
      </x:c>
      <x:c r="AL151" s="30" t="str">
        <x:v>Verified — national register and exact BAG address</x:v>
      </x:c>
      <x:c r="AM151" s="30" t="str">
        <x:v>https://www.golf.nl/de-baan-op/banenzoeker/overzicht</x:v>
      </x:c>
      <x:c r="AN151" s="30" t="str">
        <x:v>2026-08-15</x:v>
      </x:c>
      <x:c r="AO151" s="30" t="str">
        <x:v>+31 43-3281740</x:v>
      </x:c>
      <x:c r="AP151" s="30" t="str">
        <x:v>Current NGF/GOLF.NL listing: 9 holes, par 35, 2191 metres. Listed as qualifying.</x:v>
      </x:c>
    </x:row>
    <x:row r="152">
      <x:c r="A152" s="30" t="str">
        <x:v>NL-C0095</x:v>
      </x:c>
      <x:c r="B152" s="30" t="str">
        <x:v>NL-0151</x:v>
      </x:c>
      <x:c r="C152" s="30" t="str">
        <x:v>International Golf Maastricht — Main Course</x:v>
      </x:c>
      <x:c r="D152" s="30" t="str">
        <x:v>International Golf Maastricht</x:v>
      </x:c>
      <x:c r="E152" s="30" t="str">
        <x:v>Main Course</x:v>
      </x:c>
      <x:c r="F152" s="30" t="str">
        <x:v>Netherlands</x:v>
      </x:c>
      <x:c r="G152" s="30" t="str">
        <x:v>Limburg</x:v>
      </x:c>
      <x:c r="H152" s="30" t="str">
        <x:v>Maastricht</x:v>
      </x:c>
      <x:c r="I152" s="30" t="str">
        <x:v>Maastricht</x:v>
      </x:c>
      <x:c r="J152" s="30" t="str">
        <x:v>Dousbergweg 100</x:v>
      </x:c>
      <x:c r="K152" s="30" t="str">
        <x:v>6216 GC</x:v>
      </x:c>
      <x:c r="L152" s="32" t="n">
        <x:v>50.8557007</x:v>
      </x:c>
      <x:c r="M152" s="32" t="n">
        <x:v>5.64293637</x:v>
      </x:c>
      <x:c r="N152" s="30" t="str">
        <x:v>WGS84 / EPSG:4326</x:v>
      </x:c>
      <x:c r="O152" s="30" t="str">
        <x:v>Verified BAG address point via PDOK</x:v>
      </x:c>
      <x:c r="P152" s="30" t="str">
        <x:v>2026-08-15</x:v>
      </x:c>
      <x:c r="Q152" s="33" t="n">
        <x:f>IF(R152="","",ROUND(R152/0.9144,0))</x:f>
        <x:v>6526</x:v>
      </x:c>
      <x:c r="R152" s="33" t="n">
        <x:v>5967</x:v>
      </x:c>
      <x:c r="S152" s="33" t="n">
        <x:v>18</x:v>
      </x:c>
      <x:c r="T152" s="33" t="n">
        <x:v>72</x:v>
      </x:c>
      <x:c r="U152" s="30" t="str">
        <x:v>Full-length course</x:v>
      </x:c>
      <x:c r="V152" s="30"/>
      <x:c r="W152" s="30"/>
      <x:c r="X152" s="30"/>
      <x:c r="Y152" s="30" t="str">
        <x:v>https://www.internationalgolfmaastricht.com/</x:v>
      </x:c>
      <x:c r="Z152" s="30" t="b">
        <x:f>IF(AND(F152="Netherlands",ISNUMBER(L152),ISNUMBER(M152),L152&gt;=50.7,L152&lt;=53.7,M152&gt;=3.2,M152&lt;=7.3,AC152&lt;&gt;"Closed"),TRUE,FALSE)</x:f>
        <x:v>1</x:v>
      </x:c>
      <x:c r="AA152" s="30" t="b">
        <x:f>Z152</x:f>
        <x:v>1</x:v>
      </x:c>
      <x:c r="AB152" s="30" t="str">
        <x:f>IF(Z152,"verified_coordinate_and_open","not_map_ready")</x:f>
        <x:v>verified_coordinate_and_open</x:v>
      </x:c>
      <x:c r="AC152" s="30" t="str">
        <x:v>Open</x:v>
      </x:c>
      <x:c r="AD152" s="30" t="str">
        <x:v>Public — handicap 36 or lower</x:v>
      </x:c>
      <x:c r="AE152" s="31" t="b">
        <x:v>1</x:v>
      </x:c>
      <x:c r="AF152" s="31" t="b">
        <x:v>0</x:v>
      </x:c>
      <x:c r="AG152" s="30"/>
      <x:c r="AH152" s="30"/>
      <x:c r="AI152" s="30"/>
      <x:c r="AJ152" s="31" t="b">
        <x:v>0</x:v>
      </x:c>
      <x:c r="AK152" s="31" t="b">
        <x:v>0</x:v>
      </x:c>
      <x:c r="AL152" s="30" t="str">
        <x:v>Verified — national register and exact BAG address</x:v>
      </x:c>
      <x:c r="AM152" s="30" t="str">
        <x:v>https://www.golf.nl/de-baan-op/banenzoeker/overzicht</x:v>
      </x:c>
      <x:c r="AN152" s="30" t="str">
        <x:v>2026-08-15</x:v>
      </x:c>
      <x:c r="AO152" s="30" t="str">
        <x:v>+31 43-3281740</x:v>
      </x:c>
      <x:c r="AP152" s="30" t="str">
        <x:v>Current NGF/GOLF.NL listing: 18 holes, par 72, 5967 metres. Combined from exact NGF-listed constituent nine-hole loops: 1ste negen (9 holes, par 35, 2871 m); 2de negen (9 holes, par 37, 3096 m) Listed as qualifying.</x:v>
      </x:c>
    </x:row>
    <x:row r="153">
      <x:c r="A153" s="30" t="str">
        <x:v>NL-C0096</x:v>
      </x:c>
      <x:c r="B153" s="30" t="str">
        <x:v>NL-0152</x:v>
      </x:c>
      <x:c r="C153" s="30" t="str">
        <x:v>Shortgolf Eyserhof</x:v>
      </x:c>
      <x:c r="D153" s="30" t="str">
        <x:v>Shortgolf Eyserhof</x:v>
      </x:c>
      <x:c r="E153" s="30" t="str">
        <x:v>Course</x:v>
      </x:c>
      <x:c r="F153" s="30" t="str">
        <x:v>Netherlands</x:v>
      </x:c>
      <x:c r="G153" s="30" t="str">
        <x:v>Limburg</x:v>
      </x:c>
      <x:c r="H153" s="30" t="str">
        <x:v>Gulpen-Wittem</x:v>
      </x:c>
      <x:c r="I153" s="30" t="str">
        <x:v>Eys</x:v>
      </x:c>
      <x:c r="J153" s="30" t="str">
        <x:v>Wittemerweg 7</x:v>
      </x:c>
      <x:c r="K153" s="30" t="str">
        <x:v>6287 AA</x:v>
      </x:c>
      <x:c r="L153" s="32" t="n">
        <x:v>50.82427671</x:v>
      </x:c>
      <x:c r="M153" s="32" t="n">
        <x:v>5.92914268</x:v>
      </x:c>
      <x:c r="N153" s="30" t="str">
        <x:v>WGS84 / EPSG:4326</x:v>
      </x:c>
      <x:c r="O153" s="30" t="str">
        <x:v>Verified BAG address point via PDOK</x:v>
      </x:c>
      <x:c r="P153" s="30" t="str">
        <x:v>2026-08-15</x:v>
      </x:c>
      <x:c r="Q153" s="33" t="n">
        <x:f>IF(R153="","",ROUND(R153/0.9144,0))</x:f>
        <x:v>726</x:v>
      </x:c>
      <x:c r="R153" s="33" t="n">
        <x:v>664</x:v>
      </x:c>
      <x:c r="S153" s="33" t="n">
        <x:v>9</x:v>
      </x:c>
      <x:c r="T153" s="33" t="n">
        <x:v>27</x:v>
      </x:c>
      <x:c r="U153" s="30" t="str">
        <x:v>Par-3 course</x:v>
      </x:c>
      <x:c r="V153" s="30"/>
      <x:c r="W153" s="30"/>
      <x:c r="X153" s="30"/>
      <x:c r="Y153" s="30" t="str">
        <x:v>https://www.eyserhof.nl/</x:v>
      </x:c>
      <x:c r="Z153" s="30" t="b">
        <x:f>IF(AND(F153="Netherlands",ISNUMBER(L153),ISNUMBER(M153),L153&gt;=50.7,L153&lt;=53.7,M153&gt;=3.2,M153&lt;=7.3,AC153&lt;&gt;"Closed"),TRUE,FALSE)</x:f>
        <x:v>1</x:v>
      </x:c>
      <x:c r="AA153" s="30" t="b">
        <x:f>Z153</x:f>
        <x:v>1</x:v>
      </x:c>
      <x:c r="AB153" s="30" t="str">
        <x:f>IF(Z153,"verified_coordinate_and_open","not_map_ready")</x:f>
        <x:v>verified_coordinate_and_open</x:v>
      </x:c>
      <x:c r="AC153" s="30" t="str">
        <x:v>Open</x:v>
      </x:c>
      <x:c r="AD153" s="30" t="str">
        <x:v>Public — no playing requirement</x:v>
      </x:c>
      <x:c r="AE153" s="31" t="b">
        <x:v>0</x:v>
      </x:c>
      <x:c r="AF153" s="31" t="b">
        <x:v>0</x:v>
      </x:c>
      <x:c r="AG153" s="30"/>
      <x:c r="AH153" s="30"/>
      <x:c r="AI153" s="30"/>
      <x:c r="AJ153" s="31" t="b">
        <x:v>0</x:v>
      </x:c>
      <x:c r="AK153" s="31" t="b">
        <x:v>0</x:v>
      </x:c>
      <x:c r="AL153" s="30" t="str">
        <x:v>Verified — national register and exact BAG address</x:v>
      </x:c>
      <x:c r="AM153" s="30" t="str">
        <x:v>https://www.golf.nl/de-baan-op/banenzoeker/overzicht</x:v>
      </x:c>
      <x:c r="AN153" s="30" t="str">
        <x:v>2026-08-15</x:v>
      </x:c>
      <x:c r="AO153" s="30" t="str">
        <x:v>+31 43-4511207</x:v>
      </x:c>
      <x:c r="AP153" s="30" t="str">
        <x:v>Current NGF/GOLF.NL listing: 9 holes, par 27, 664 metres. Listed as non-qualifying.</x:v>
      </x:c>
    </x:row>
    <x:row r="154">
      <x:c r="A154" s="30" t="str">
        <x:v>NL-C0097</x:v>
      </x:c>
      <x:c r="B154" s="30" t="str">
        <x:v>NL-0153</x:v>
      </x:c>
      <x:c r="C154" s="30" t="str">
        <x:v>The Fox — Main Course</x:v>
      </x:c>
      <x:c r="D154" s="30" t="str">
        <x:v>The Fox</x:v>
      </x:c>
      <x:c r="E154" s="30" t="str">
        <x:v>Main Course</x:v>
      </x:c>
      <x:c r="F154" s="30" t="str">
        <x:v>Netherlands</x:v>
      </x:c>
      <x:c r="G154" s="30" t="str">
        <x:v>Limburg</x:v>
      </x:c>
      <x:c r="H154" s="30" t="str">
        <x:v>Venlo</x:v>
      </x:c>
      <x:c r="I154" s="30" t="str">
        <x:v>Venlo</x:v>
      </x:c>
      <x:c r="J154" s="30" t="str">
        <x:v>Heierkerkweg 5</x:v>
      </x:c>
      <x:c r="K154" s="30" t="str">
        <x:v>5928 RM</x:v>
      </x:c>
      <x:c r="L154" s="32" t="n">
        <x:v>51.40702004</x:v>
      </x:c>
      <x:c r="M154" s="32" t="n">
        <x:v>6.10752055</x:v>
      </x:c>
      <x:c r="N154" s="30" t="str">
        <x:v>WGS84 / EPSG:4326</x:v>
      </x:c>
      <x:c r="O154" s="30" t="str">
        <x:v>Verified BAG address point via PDOK</x:v>
      </x:c>
      <x:c r="P154" s="30" t="str">
        <x:v>2026-08-15</x:v>
      </x:c>
      <x:c r="Q154" s="33" t="n">
        <x:f>IF(R154="","",ROUND(R154/0.9144,0))</x:f>
        <x:v>6995</x:v>
      </x:c>
      <x:c r="R154" s="33" t="n">
        <x:v>6396</x:v>
      </x:c>
      <x:c r="S154" s="33" t="n">
        <x:v>18</x:v>
      </x:c>
      <x:c r="T154" s="33" t="n">
        <x:v>72</x:v>
      </x:c>
      <x:c r="U154" s="30" t="str">
        <x:v>Full-length course</x:v>
      </x:c>
      <x:c r="V154" s="30"/>
      <x:c r="W154" s="30"/>
      <x:c r="X154" s="30"/>
      <x:c r="Y154" s="30" t="str">
        <x:v>https://www.thefoxgolf.nl/</x:v>
      </x:c>
      <x:c r="Z154" s="30" t="b">
        <x:f>IF(AND(F154="Netherlands",ISNUMBER(L154),ISNUMBER(M154),L154&gt;=50.7,L154&lt;=53.7,M154&gt;=3.2,M154&lt;=7.3,AC154&lt;&gt;"Closed"),TRUE,FALSE)</x:f>
        <x:v>1</x:v>
      </x:c>
      <x:c r="AA154" s="30" t="b">
        <x:f>Z154</x:f>
        <x:v>1</x:v>
      </x:c>
      <x:c r="AB154" s="30" t="str">
        <x:f>IF(Z154,"verified_coordinate_and_open","not_map_ready")</x:f>
        <x:v>verified_coordinate_and_open</x:v>
      </x:c>
      <x:c r="AC154" s="30" t="str">
        <x:v>Open</x:v>
      </x:c>
      <x:c r="AD154" s="30" t="str">
        <x:v>Public — handicap 54 or lower</x:v>
      </x:c>
      <x:c r="AE154" s="31" t="b">
        <x:v>0</x:v>
      </x:c>
      <x:c r="AF154" s="31" t="b">
        <x:v>0</x:v>
      </x:c>
      <x:c r="AG154" s="30"/>
      <x:c r="AH154" s="30"/>
      <x:c r="AI154" s="30"/>
      <x:c r="AJ154" s="31" t="b">
        <x:v>0</x:v>
      </x:c>
      <x:c r="AK154" s="31" t="b">
        <x:v>0</x:v>
      </x:c>
      <x:c r="AL154" s="30" t="str">
        <x:v>Verified — national register and exact BAG address</x:v>
      </x:c>
      <x:c r="AM154" s="30" t="str">
        <x:v>https://www.golf.nl/de-baan-op/banenzoeker/overzicht</x:v>
      </x:c>
      <x:c r="AN154" s="30" t="str">
        <x:v>2026-08-15</x:v>
      </x:c>
      <x:c r="AO154" s="30" t="str">
        <x:v>+31 77-2005329</x:v>
      </x:c>
      <x:c r="AP154" s="30" t="str">
        <x:v>Current NGF/GOLF.NL listing: 18 holes, par 72, 6396 metres. Combined from exact NGF-listed constituent nine-hole loops: 1ste negen (9 holes, par 36, 3246 m); 2de negen (9 holes, par 36, 3150 m) Listed as non-qualifying.</x:v>
      </x:c>
    </x:row>
    <x:row r="155">
      <x:c r="A155" s="30" t="str">
        <x:v>NL-C0098</x:v>
      </x:c>
      <x:c r="B155" s="30" t="str">
        <x:v>NL-0154</x:v>
      </x:c>
      <x:c r="C155" s="30" t="str">
        <x:v>Akkermans Leisure &amp; Golf</x:v>
      </x:c>
      <x:c r="D155" s="30" t="str">
        <x:v>Akkermans Leisure &amp; Golf</x:v>
      </x:c>
      <x:c r="E155" s="30" t="str">
        <x:v>Course</x:v>
      </x:c>
      <x:c r="F155" s="30" t="str">
        <x:v>Netherlands</x:v>
      </x:c>
      <x:c r="G155" s="30" t="str">
        <x:v>Noord-Brabant</x:v>
      </x:c>
      <x:c r="H155" s="30" t="str">
        <x:v>Steenbergen</x:v>
      </x:c>
      <x:c r="I155" s="30" t="str">
        <x:v>De Heen</x:v>
      </x:c>
      <x:c r="J155" s="30" t="str">
        <x:v>Heense Molenweg 23</x:v>
      </x:c>
      <x:c r="K155" s="30" t="str">
        <x:v>4655 TB</x:v>
      </x:c>
      <x:c r="L155" s="32" t="n">
        <x:v>51.60704054</x:v>
      </x:c>
      <x:c r="M155" s="32" t="n">
        <x:v>4.24536295</x:v>
      </x:c>
      <x:c r="N155" s="30" t="str">
        <x:v>WGS84 / EPSG:4326</x:v>
      </x:c>
      <x:c r="O155" s="30" t="str">
        <x:v>Verified BAG address point via PDOK</x:v>
      </x:c>
      <x:c r="P155" s="30" t="str">
        <x:v>2026-08-15</x:v>
      </x:c>
      <x:c r="Q155" s="33" t="n">
        <x:f>IF(R155="","",ROUND(R155/0.9144,0))</x:f>
        <x:v>733</x:v>
      </x:c>
      <x:c r="R155" s="33" t="n">
        <x:v>670</x:v>
      </x:c>
      <x:c r="S155" s="33" t="n">
        <x:v>9</x:v>
      </x:c>
      <x:c r="T155" s="33" t="n">
        <x:v>27</x:v>
      </x:c>
      <x:c r="U155" s="30" t="str">
        <x:v>Par-3 course</x:v>
      </x:c>
      <x:c r="V155" s="30"/>
      <x:c r="W155" s="30"/>
      <x:c r="X155" s="30"/>
      <x:c r="Y155" s="30" t="str">
        <x:v>https://akkermans.com/golfbaan/</x:v>
      </x:c>
      <x:c r="Z155" s="30" t="b">
        <x:f>IF(AND(F155="Netherlands",ISNUMBER(L155),ISNUMBER(M155),L155&gt;=50.7,L155&lt;=53.7,M155&gt;=3.2,M155&lt;=7.3,AC155&lt;&gt;"Closed"),TRUE,FALSE)</x:f>
        <x:v>1</x:v>
      </x:c>
      <x:c r="AA155" s="30" t="b">
        <x:f>Z155</x:f>
        <x:v>1</x:v>
      </x:c>
      <x:c r="AB155" s="30" t="str">
        <x:f>IF(Z155,"verified_coordinate_and_open","not_map_ready")</x:f>
        <x:v>verified_coordinate_and_open</x:v>
      </x:c>
      <x:c r="AC155" s="30" t="str">
        <x:v>Open</x:v>
      </x:c>
      <x:c r="AD155" s="30" t="str">
        <x:v>Public — NGF course permission</x:v>
      </x:c>
      <x:c r="AE155" s="31" t="b">
        <x:v>1</x:v>
      </x:c>
      <x:c r="AF155" s="31" t="b">
        <x:v>0</x:v>
      </x:c>
      <x:c r="AG155" s="30"/>
      <x:c r="AH155" s="30"/>
      <x:c r="AI155" s="30"/>
      <x:c r="AJ155" s="31" t="b">
        <x:v>0</x:v>
      </x:c>
      <x:c r="AK155" s="31" t="b">
        <x:v>0</x:v>
      </x:c>
      <x:c r="AL155" s="30" t="str">
        <x:v>Verified — national register and exact BAG address</x:v>
      </x:c>
      <x:c r="AM155" s="30" t="str">
        <x:v>https://www.golf.nl/de-baan-op/banenzoeker/overzicht</x:v>
      </x:c>
      <x:c r="AN155" s="30" t="str">
        <x:v>2026-08-15</x:v>
      </x:c>
      <x:c r="AO155" s="30" t="str">
        <x:v>+31 167-502621</x:v>
      </x:c>
      <x:c r="AP155" s="30" t="str">
        <x:v>Current NGF/GOLF.NL listing: 9 holes, par 27, 670 metres. Listed as qualifying.</x:v>
      </x:c>
    </x:row>
    <x:row r="156">
      <x:c r="A156" s="30" t="str">
        <x:v>NL-C0099</x:v>
      </x:c>
      <x:c r="B156" s="30" t="str">
        <x:v>NL-0155</x:v>
      </x:c>
      <x:c r="C156" s="30" t="str">
        <x:v>Bernardus Golf — Main Course</x:v>
      </x:c>
      <x:c r="D156" s="30" t="str">
        <x:v>Bernardus Golf</x:v>
      </x:c>
      <x:c r="E156" s="30" t="str">
        <x:v>Main Course</x:v>
      </x:c>
      <x:c r="F156" s="30" t="str">
        <x:v>Netherlands</x:v>
      </x:c>
      <x:c r="G156" s="30" t="str">
        <x:v>Noord-Brabant</x:v>
      </x:c>
      <x:c r="H156" s="30" t="str">
        <x:v>Vught</x:v>
      </x:c>
      <x:c r="I156" s="30" t="str">
        <x:v>Cromvoirt</x:v>
      </x:c>
      <x:c r="J156" s="30" t="str">
        <x:v>Deutersestraat 39D</x:v>
      </x:c>
      <x:c r="K156" s="30" t="str">
        <x:v>5266 AW</x:v>
      </x:c>
      <x:c r="L156" s="32" t="n">
        <x:v>51.6651777</x:v>
      </x:c>
      <x:c r="M156" s="32" t="n">
        <x:v>5.22971583</x:v>
      </x:c>
      <x:c r="N156" s="30" t="str">
        <x:v>WGS84 / EPSG:4326</x:v>
      </x:c>
      <x:c r="O156" s="30" t="str">
        <x:v>Verified BAG address point via PDOK</x:v>
      </x:c>
      <x:c r="P156" s="30" t="str">
        <x:v>2026-08-15</x:v>
      </x:c>
      <x:c r="Q156" s="33" t="n">
        <x:f>IF(R156="","",ROUND(R156/0.9144,0))</x:f>
        <x:v>6557</x:v>
      </x:c>
      <x:c r="R156" s="33" t="n">
        <x:v>5996</x:v>
      </x:c>
      <x:c r="S156" s="33" t="n">
        <x:v>18</x:v>
      </x:c>
      <x:c r="T156" s="33" t="n">
        <x:v>72</x:v>
      </x:c>
      <x:c r="U156" s="30" t="str">
        <x:v>Full-length course</x:v>
      </x:c>
      <x:c r="V156" s="30"/>
      <x:c r="W156" s="30"/>
      <x:c r="X156" s="30"/>
      <x:c r="Y156" s="30" t="str">
        <x:v>https://bernardusgolf.com/</x:v>
      </x:c>
      <x:c r="Z156" s="30" t="b">
        <x:f>IF(AND(F156="Netherlands",ISNUMBER(L156),ISNUMBER(M156),L156&gt;=50.7,L156&lt;=53.7,M156&gt;=3.2,M156&lt;=7.3,AC156&lt;&gt;"Closed"),TRUE,FALSE)</x:f>
        <x:v>1</x:v>
      </x:c>
      <x:c r="AA156" s="30" t="b">
        <x:f>Z156</x:f>
        <x:v>1</x:v>
      </x:c>
      <x:c r="AB156" s="30" t="str">
        <x:f>IF(Z156,"verified_coordinate_and_open","not_map_ready")</x:f>
        <x:v>verified_coordinate_and_open</x:v>
      </x:c>
      <x:c r="AC156" s="30" t="str">
        <x:v>Open</x:v>
      </x:c>
      <x:c r="AD156" s="30" t="str">
        <x:v>Public — handicap 54 or lower</x:v>
      </x:c>
      <x:c r="AE156" s="31" t="b">
        <x:v>1</x:v>
      </x:c>
      <x:c r="AF156" s="31" t="b">
        <x:v>0</x:v>
      </x:c>
      <x:c r="AG156" s="30"/>
      <x:c r="AH156" s="30"/>
      <x:c r="AI156" s="30"/>
      <x:c r="AJ156" s="31" t="b">
        <x:v>0</x:v>
      </x:c>
      <x:c r="AK156" s="31" t="b">
        <x:v>0</x:v>
      </x:c>
      <x:c r="AL156" s="30" t="str">
        <x:v>Verified — national register and exact BAG address</x:v>
      </x:c>
      <x:c r="AM156" s="30" t="str">
        <x:v>https://www.golf.nl/de-baan-op/banenzoeker/overzicht</x:v>
      </x:c>
      <x:c r="AN156" s="30" t="str">
        <x:v>2026-08-15</x:v>
      </x:c>
      <x:c r="AO156" s="30" t="str">
        <x:v>+31 73-2034141</x:v>
      </x:c>
      <x:c r="AP156" s="30" t="str">
        <x:v>Current NGF/GOLF.NL listing: 18 holes, par 72, 5996 metres. Combined from exact NGF-listed constituent nine-hole loops: 1ste negen (9 holes, par 36, 2970 m); 2de negen (9 holes, par 36, 3026 m) Listed as qualifying.</x:v>
      </x:c>
    </x:row>
    <x:row r="157">
      <x:c r="A157" s="30" t="str">
        <x:v>NL-C0100</x:v>
      </x:c>
      <x:c r="B157" s="30" t="str">
        <x:v>NL-0156</x:v>
      </x:c>
      <x:c r="C157" s="30" t="str">
        <x:v>Best Golf — Main Course</x:v>
      </x:c>
      <x:c r="D157" s="30" t="str">
        <x:v>Best Golf</x:v>
      </x:c>
      <x:c r="E157" s="30" t="str">
        <x:v>Main Course</x:v>
      </x:c>
      <x:c r="F157" s="30" t="str">
        <x:v>Netherlands</x:v>
      </x:c>
      <x:c r="G157" s="30" t="str">
        <x:v>Noord-Brabant</x:v>
      </x:c>
      <x:c r="H157" s="30" t="str">
        <x:v>Best</x:v>
      </x:c>
      <x:c r="I157" s="30" t="str">
        <x:v>Best</x:v>
      </x:c>
      <x:c r="J157" s="30" t="str">
        <x:v>Golflaan 1</x:v>
      </x:c>
      <x:c r="K157" s="30" t="str">
        <x:v>5683 RZ</x:v>
      </x:c>
      <x:c r="L157" s="32" t="n">
        <x:v>51.49234674</x:v>
      </x:c>
      <x:c r="M157" s="32" t="n">
        <x:v>5.41031277</x:v>
      </x:c>
      <x:c r="N157" s="30" t="str">
        <x:v>WGS84 / EPSG:4326</x:v>
      </x:c>
      <x:c r="O157" s="30" t="str">
        <x:v>Verified BAG address point via PDOK</x:v>
      </x:c>
      <x:c r="P157" s="30" t="str">
        <x:v>2026-08-15</x:v>
      </x:c>
      <x:c r="Q157" s="33" t="n">
        <x:f>IF(R157="","",ROUND(R157/0.9144,0))</x:f>
        <x:v>6566</x:v>
      </x:c>
      <x:c r="R157" s="33" t="n">
        <x:v>6004</x:v>
      </x:c>
      <x:c r="S157" s="33" t="n">
        <x:v>18</x:v>
      </x:c>
      <x:c r="T157" s="33" t="n">
        <x:v>72</x:v>
      </x:c>
      <x:c r="U157" s="30" t="str">
        <x:v>Full-length course</x:v>
      </x:c>
      <x:c r="V157" s="30"/>
      <x:c r="W157" s="30"/>
      <x:c r="X157" s="30"/>
      <x:c r="Y157" s="30" t="str">
        <x:v>https://bestgolf.nl/nl</x:v>
      </x:c>
      <x:c r="Z157" s="30" t="b">
        <x:f>IF(AND(F157="Netherlands",ISNUMBER(L157),ISNUMBER(M157),L157&gt;=50.7,L157&lt;=53.7,M157&gt;=3.2,M157&lt;=7.3,AC157&lt;&gt;"Closed"),TRUE,FALSE)</x:f>
        <x:v>1</x:v>
      </x:c>
      <x:c r="AA157" s="30" t="b">
        <x:f>Z157</x:f>
        <x:v>1</x:v>
      </x:c>
      <x:c r="AB157" s="30" t="str">
        <x:f>IF(Z157,"verified_coordinate_and_open","not_map_ready")</x:f>
        <x:v>verified_coordinate_and_open</x:v>
      </x:c>
      <x:c r="AC157" s="30" t="str">
        <x:v>Open</x:v>
      </x:c>
      <x:c r="AD157" s="30" t="str">
        <x:v>Public — handicap 54 or lower</x:v>
      </x:c>
      <x:c r="AE157" s="31" t="b">
        <x:v>1</x:v>
      </x:c>
      <x:c r="AF157" s="31" t="b">
        <x:v>0</x:v>
      </x:c>
      <x:c r="AG157" s="30"/>
      <x:c r="AH157" s="30"/>
      <x:c r="AI157" s="30"/>
      <x:c r="AJ157" s="31" t="b">
        <x:v>0</x:v>
      </x:c>
      <x:c r="AK157" s="31" t="b">
        <x:v>0</x:v>
      </x:c>
      <x:c r="AL157" s="30" t="str">
        <x:v>Verified — national register and exact BAG address</x:v>
      </x:c>
      <x:c r="AM157" s="30" t="str">
        <x:v>https://www.golf.nl/de-baan-op/banenzoeker/overzicht</x:v>
      </x:c>
      <x:c r="AN157" s="30" t="str">
        <x:v>2026-08-15</x:v>
      </x:c>
      <x:c r="AO157" s="30" t="str">
        <x:v>+31 499-391443</x:v>
      </x:c>
      <x:c r="AP157" s="30" t="str">
        <x:v>Current NGF/GOLF.NL listing: 18 holes, par 72, 6004 metres. Combined from exact NGF-listed constituent nine-hole loops: 1ste negen (9 holes, par 37, 3174 m); 2de negen (9 holes, par 35, 2830 m) Listed as qualifying.</x:v>
      </x:c>
    </x:row>
    <x:row r="158">
      <x:c r="A158" s="30" t="str">
        <x:v>NL-C0100</x:v>
      </x:c>
      <x:c r="B158" s="30" t="str">
        <x:v>NL-0157</x:v>
      </x:c>
      <x:c r="C158" s="30" t="str">
        <x:v>Best Golf — Par-3 Course</x:v>
      </x:c>
      <x:c r="D158" s="30" t="str">
        <x:v>Best Golf</x:v>
      </x:c>
      <x:c r="E158" s="30" t="str">
        <x:v>Par-3 Course</x:v>
      </x:c>
      <x:c r="F158" s="30" t="str">
        <x:v>Netherlands</x:v>
      </x:c>
      <x:c r="G158" s="30" t="str">
        <x:v>Noord-Brabant</x:v>
      </x:c>
      <x:c r="H158" s="30" t="str">
        <x:v>Best</x:v>
      </x:c>
      <x:c r="I158" s="30" t="str">
        <x:v>Best</x:v>
      </x:c>
      <x:c r="J158" s="30" t="str">
        <x:v>Golflaan 1</x:v>
      </x:c>
      <x:c r="K158" s="30" t="str">
        <x:v>5683 RZ</x:v>
      </x:c>
      <x:c r="L158" s="32" t="n">
        <x:v>51.49234674</x:v>
      </x:c>
      <x:c r="M158" s="32" t="n">
        <x:v>5.41031277</x:v>
      </x:c>
      <x:c r="N158" s="30" t="str">
        <x:v>WGS84 / EPSG:4326</x:v>
      </x:c>
      <x:c r="O158" s="30" t="str">
        <x:v>Verified BAG address point via PDOK</x:v>
      </x:c>
      <x:c r="P158" s="30" t="str">
        <x:v>2026-08-15</x:v>
      </x:c>
      <x:c r="Q158" s="33" t="n">
        <x:f>IF(R158="","",ROUND(R158/0.9144,0))</x:f>
        <x:v>606</x:v>
      </x:c>
      <x:c r="R158" s="33" t="n">
        <x:v>554</x:v>
      </x:c>
      <x:c r="S158" s="33" t="n">
        <x:v>9</x:v>
      </x:c>
      <x:c r="T158" s="33" t="n">
        <x:v>27</x:v>
      </x:c>
      <x:c r="U158" s="30" t="str">
        <x:v>Par-3 course</x:v>
      </x:c>
      <x:c r="V158" s="30"/>
      <x:c r="W158" s="30"/>
      <x:c r="X158" s="30"/>
      <x:c r="Y158" s="30" t="str">
        <x:v>https://bestgolf.nl/nl</x:v>
      </x:c>
      <x:c r="Z158" s="30" t="b">
        <x:f>IF(AND(F158="Netherlands",ISNUMBER(L158),ISNUMBER(M158),L158&gt;=50.7,L158&lt;=53.7,M158&gt;=3.2,M158&lt;=7.3,AC158&lt;&gt;"Closed"),TRUE,FALSE)</x:f>
        <x:v>1</x:v>
      </x:c>
      <x:c r="AA158" s="30" t="b">
        <x:f>Z158</x:f>
        <x:v>1</x:v>
      </x:c>
      <x:c r="AB158" s="30" t="str">
        <x:f>IF(Z158,"verified_coordinate_and_open","not_map_ready")</x:f>
        <x:v>verified_coordinate_and_open</x:v>
      </x:c>
      <x:c r="AC158" s="30" t="str">
        <x:v>Open</x:v>
      </x:c>
      <x:c r="AD158" s="30" t="str">
        <x:v>Public — no playing requirement</x:v>
      </x:c>
      <x:c r="AE158" s="31" t="b">
        <x:v>0</x:v>
      </x:c>
      <x:c r="AF158" s="31" t="b">
        <x:v>0</x:v>
      </x:c>
      <x:c r="AG158" s="30"/>
      <x:c r="AH158" s="30"/>
      <x:c r="AI158" s="30"/>
      <x:c r="AJ158" s="31" t="b">
        <x:v>0</x:v>
      </x:c>
      <x:c r="AK158" s="31" t="b">
        <x:v>0</x:v>
      </x:c>
      <x:c r="AL158" s="30" t="str">
        <x:v>Verified — national register and exact BAG address</x:v>
      </x:c>
      <x:c r="AM158" s="30" t="str">
        <x:v>https://www.golf.nl/de-baan-op/banenzoeker/overzicht</x:v>
      </x:c>
      <x:c r="AN158" s="30" t="str">
        <x:v>2026-08-15</x:v>
      </x:c>
      <x:c r="AO158" s="30" t="str">
        <x:v>+31 499-391443</x:v>
      </x:c>
      <x:c r="AP158" s="30" t="str">
        <x:v>Current NGF/GOLF.NL listing: 9 holes, par 27, 554 metres. Listed as non-qualifying.</x:v>
      </x:c>
    </x:row>
    <x:row r="159">
      <x:c r="A159" s="30" t="str">
        <x:v>NL-C0101</x:v>
      </x:c>
      <x:c r="B159" s="30" t="str">
        <x:v>NL-0158</x:v>
      </x:c>
      <x:c r="C159" s="30" t="str">
        <x:v>Brabant Golf</x:v>
      </x:c>
      <x:c r="D159" s="30" t="str">
        <x:v>Brabant Golf</x:v>
      </x:c>
      <x:c r="E159" s="30" t="str">
        <x:v>Course</x:v>
      </x:c>
      <x:c r="F159" s="30" t="str">
        <x:v>Netherlands</x:v>
      </x:c>
      <x:c r="G159" s="30" t="str">
        <x:v>Noord-Brabant</x:v>
      </x:c>
      <x:c r="H159" s="30" t="str">
        <x:v>Gilze en Rijen</x:v>
      </x:c>
      <x:c r="I159" s="30" t="str">
        <x:v>Rijen</x:v>
      </x:c>
      <x:c r="J159" s="30" t="str">
        <x:v>Statenlaan 18</x:v>
      </x:c>
      <x:c r="K159" s="30" t="str">
        <x:v>5121 HD</x:v>
      </x:c>
      <x:c r="L159" s="32" t="n">
        <x:v>51.5961392</x:v>
      </x:c>
      <x:c r="M159" s="32" t="n">
        <x:v>4.91086145</x:v>
      </x:c>
      <x:c r="N159" s="30" t="str">
        <x:v>WGS84 / EPSG:4326</x:v>
      </x:c>
      <x:c r="O159" s="30" t="str">
        <x:v>Verified BAG address point via PDOK</x:v>
      </x:c>
      <x:c r="P159" s="30" t="str">
        <x:v>2026-08-15</x:v>
      </x:c>
      <x:c r="Q159" s="33" t="n">
        <x:f>IF(R159="","",ROUND(R159/0.9144,0))</x:f>
        <x:v>1312</x:v>
      </x:c>
      <x:c r="R159" s="33" t="n">
        <x:v>1200</x:v>
      </x:c>
      <x:c r="S159" s="33" t="n">
        <x:v>6</x:v>
      </x:c>
      <x:c r="T159" s="33" t="n">
        <x:v>19</x:v>
      </x:c>
      <x:c r="U159" s="30" t="str">
        <x:v>Par-3/4 course</x:v>
      </x:c>
      <x:c r="V159" s="30"/>
      <x:c r="W159" s="30"/>
      <x:c r="X159" s="30"/>
      <x:c r="Y159" s="30" t="str">
        <x:v>https://www.brabantgolf.nl/</x:v>
      </x:c>
      <x:c r="Z159" s="30" t="b">
        <x:f>IF(AND(F159="Netherlands",ISNUMBER(L159),ISNUMBER(M159),L159&gt;=50.7,L159&lt;=53.7,M159&gt;=3.2,M159&lt;=7.3,AC159&lt;&gt;"Closed"),TRUE,FALSE)</x:f>
        <x:v>1</x:v>
      </x:c>
      <x:c r="AA159" s="30" t="b">
        <x:f>Z159</x:f>
        <x:v>1</x:v>
      </x:c>
      <x:c r="AB159" s="30" t="str">
        <x:f>IF(Z159,"verified_coordinate_and_open","not_map_ready")</x:f>
        <x:v>verified_coordinate_and_open</x:v>
      </x:c>
      <x:c r="AC159" s="30" t="str">
        <x:v>Open</x:v>
      </x:c>
      <x:c r="AD159" s="30" t="str">
        <x:v>Public — handicap 54 or lower</x:v>
      </x:c>
      <x:c r="AE159" s="31" t="b">
        <x:v>1</x:v>
      </x:c>
      <x:c r="AF159" s="31" t="b">
        <x:v>0</x:v>
      </x:c>
      <x:c r="AG159" s="30"/>
      <x:c r="AH159" s="30"/>
      <x:c r="AI159" s="30"/>
      <x:c r="AJ159" s="31" t="b">
        <x:v>0</x:v>
      </x:c>
      <x:c r="AK159" s="31" t="b">
        <x:v>0</x:v>
      </x:c>
      <x:c r="AL159" s="30" t="str">
        <x:v>Verified — national register and exact BAG address</x:v>
      </x:c>
      <x:c r="AM159" s="30" t="str">
        <x:v>https://www.golf.nl/de-baan-op/banenzoeker/overzicht</x:v>
      </x:c>
      <x:c r="AN159" s="30" t="str">
        <x:v>2026-08-15</x:v>
      </x:c>
      <x:c r="AO159" s="30" t="str">
        <x:v>+31 161-220076</x:v>
      </x:c>
      <x:c r="AP159" s="30" t="str">
        <x:v>Current NGF/GOLF.NL listing: 6 holes, par 19, 1200 metres. Listed as qualifying.</x:v>
      </x:c>
    </x:row>
    <x:row r="160">
      <x:c r="A160" s="30" t="str">
        <x:v>NL-C0102</x:v>
      </x:c>
      <x:c r="B160" s="30" t="str">
        <x:v>NL-0159</x:v>
      </x:c>
      <x:c r="C160" s="30" t="str">
        <x:v>De Peelse Golf — Broekbosbaan</x:v>
      </x:c>
      <x:c r="D160" s="30" t="str">
        <x:v>De Peelse Golf</x:v>
      </x:c>
      <x:c r="E160" s="30" t="str">
        <x:v>Broekbosbaan</x:v>
      </x:c>
      <x:c r="F160" s="30" t="str">
        <x:v>Netherlands</x:v>
      </x:c>
      <x:c r="G160" s="30" t="str">
        <x:v>Noord-Brabant</x:v>
      </x:c>
      <x:c r="H160" s="30" t="str">
        <x:v>Horst aan de Maas</x:v>
      </x:c>
      <x:c r="I160" s="30" t="str">
        <x:v>Evertsoord</x:v>
      </x:c>
      <x:c r="J160" s="30" t="str">
        <x:v>Maasduinenweg 1</x:v>
      </x:c>
      <x:c r="K160" s="30" t="str">
        <x:v>5977 NP</x:v>
      </x:c>
      <x:c r="L160" s="32" t="n">
        <x:v>51.38426322</x:v>
      </x:c>
      <x:c r="M160" s="32" t="n">
        <x:v>5.9627341</x:v>
      </x:c>
      <x:c r="N160" s="30" t="str">
        <x:v>WGS84 / EPSG:4326</x:v>
      </x:c>
      <x:c r="O160" s="30" t="str">
        <x:v>Verified BAG address point via PDOK</x:v>
      </x:c>
      <x:c r="P160" s="30" t="str">
        <x:v>2026-08-15</x:v>
      </x:c>
      <x:c r="Q160" s="33" t="n">
        <x:f>IF(R160="","",ROUND(R160/0.9144,0))</x:f>
        <x:v>785</x:v>
      </x:c>
      <x:c r="R160" s="33" t="n">
        <x:v>718</x:v>
      </x:c>
      <x:c r="S160" s="33" t="n">
        <x:v>9</x:v>
      </x:c>
      <x:c r="T160" s="33" t="n">
        <x:v>27</x:v>
      </x:c>
      <x:c r="U160" s="30" t="str">
        <x:v>Par-3 course</x:v>
      </x:c>
      <x:c r="V160" s="30"/>
      <x:c r="W160" s="30"/>
      <x:c r="X160" s="30"/>
      <x:c r="Y160" s="30" t="str">
        <x:v>https://www.depeelsegolf.nl/</x:v>
      </x:c>
      <x:c r="Z160" s="30" t="b">
        <x:f>IF(AND(F160="Netherlands",ISNUMBER(L160),ISNUMBER(M160),L160&gt;=50.7,L160&lt;=53.7,M160&gt;=3.2,M160&lt;=7.3,AC160&lt;&gt;"Closed"),TRUE,FALSE)</x:f>
        <x:v>1</x:v>
      </x:c>
      <x:c r="AA160" s="30" t="b">
        <x:f>Z160</x:f>
        <x:v>1</x:v>
      </x:c>
      <x:c r="AB160" s="30" t="str">
        <x:f>IF(Z160,"verified_coordinate_and_open","not_map_ready")</x:f>
        <x:v>verified_coordinate_and_open</x:v>
      </x:c>
      <x:c r="AC160" s="30" t="str">
        <x:v>Open</x:v>
      </x:c>
      <x:c r="AD160" s="30" t="str">
        <x:v>Public — no playing requirement</x:v>
      </x:c>
      <x:c r="AE160" s="31" t="b">
        <x:v>1</x:v>
      </x:c>
      <x:c r="AF160" s="31" t="b">
        <x:v>0</x:v>
      </x:c>
      <x:c r="AG160" s="30"/>
      <x:c r="AH160" s="30"/>
      <x:c r="AI160" s="30"/>
      <x:c r="AJ160" s="31" t="b">
        <x:v>0</x:v>
      </x:c>
      <x:c r="AK160" s="31" t="b">
        <x:v>0</x:v>
      </x:c>
      <x:c r="AL160" s="30" t="str">
        <x:v>Verified — national register and exact BAG address</x:v>
      </x:c>
      <x:c r="AM160" s="30" t="str">
        <x:v>https://www.golf.nl/de-baan-op/banenzoeker/overzicht</x:v>
      </x:c>
      <x:c r="AN160" s="30" t="str">
        <x:v>2026-08-15</x:v>
      </x:c>
      <x:c r="AO160" s="30" t="str">
        <x:v>+31 77-4678030</x:v>
      </x:c>
      <x:c r="AP160" s="30" t="str">
        <x:v>Current NGF/GOLF.NL listing: 9 holes, par 27, 718 metres. Listed as qualifying.</x:v>
      </x:c>
    </x:row>
    <x:row r="161">
      <x:c r="A161" s="30" t="str">
        <x:v>NL-C0102</x:v>
      </x:c>
      <x:c r="B161" s="30" t="str">
        <x:v>NL-0160</x:v>
      </x:c>
      <x:c r="C161" s="30" t="str">
        <x:v>De Peelse Golf — Main Course</x:v>
      </x:c>
      <x:c r="D161" s="30" t="str">
        <x:v>De Peelse Golf</x:v>
      </x:c>
      <x:c r="E161" s="30" t="str">
        <x:v>Main Course</x:v>
      </x:c>
      <x:c r="F161" s="30" t="str">
        <x:v>Netherlands</x:v>
      </x:c>
      <x:c r="G161" s="30" t="str">
        <x:v>Noord-Brabant</x:v>
      </x:c>
      <x:c r="H161" s="30" t="str">
        <x:v>Horst aan de Maas</x:v>
      </x:c>
      <x:c r="I161" s="30" t="str">
        <x:v>Evertsoord</x:v>
      </x:c>
      <x:c r="J161" s="30" t="str">
        <x:v>Maasduinenweg 1</x:v>
      </x:c>
      <x:c r="K161" s="30" t="str">
        <x:v>5977 NP</x:v>
      </x:c>
      <x:c r="L161" s="32" t="n">
        <x:v>51.38426322</x:v>
      </x:c>
      <x:c r="M161" s="32" t="n">
        <x:v>5.9627341</x:v>
      </x:c>
      <x:c r="N161" s="30" t="str">
        <x:v>WGS84 / EPSG:4326</x:v>
      </x:c>
      <x:c r="O161" s="30" t="str">
        <x:v>Verified BAG address point via PDOK</x:v>
      </x:c>
      <x:c r="P161" s="30" t="str">
        <x:v>2026-08-15</x:v>
      </x:c>
      <x:c r="Q161" s="33" t="n">
        <x:f>IF(R161="","",ROUND(R161/0.9144,0))</x:f>
        <x:v>6613</x:v>
      </x:c>
      <x:c r="R161" s="33" t="n">
        <x:v>6047</x:v>
      </x:c>
      <x:c r="S161" s="33" t="n">
        <x:v>18</x:v>
      </x:c>
      <x:c r="T161" s="33" t="n">
        <x:v>72</x:v>
      </x:c>
      <x:c r="U161" s="30" t="str">
        <x:v>Full-length course</x:v>
      </x:c>
      <x:c r="V161" s="30"/>
      <x:c r="W161" s="30"/>
      <x:c r="X161" s="30"/>
      <x:c r="Y161" s="30" t="str">
        <x:v>https://www.depeelsegolf.nl/</x:v>
      </x:c>
      <x:c r="Z161" s="30" t="b">
        <x:f>IF(AND(F161="Netherlands",ISNUMBER(L161),ISNUMBER(M161),L161&gt;=50.7,L161&lt;=53.7,M161&gt;=3.2,M161&lt;=7.3,AC161&lt;&gt;"Closed"),TRUE,FALSE)</x:f>
        <x:v>1</x:v>
      </x:c>
      <x:c r="AA161" s="30" t="b">
        <x:f>Z161</x:f>
        <x:v>1</x:v>
      </x:c>
      <x:c r="AB161" s="30" t="str">
        <x:f>IF(Z161,"verified_coordinate_and_open","not_map_ready")</x:f>
        <x:v>verified_coordinate_and_open</x:v>
      </x:c>
      <x:c r="AC161" s="30" t="str">
        <x:v>Open</x:v>
      </x:c>
      <x:c r="AD161" s="30" t="str">
        <x:v>Public — handicap 54 or lower</x:v>
      </x:c>
      <x:c r="AE161" s="31" t="b">
        <x:v>1</x:v>
      </x:c>
      <x:c r="AF161" s="31" t="b">
        <x:v>0</x:v>
      </x:c>
      <x:c r="AG161" s="30"/>
      <x:c r="AH161" s="30"/>
      <x:c r="AI161" s="30"/>
      <x:c r="AJ161" s="31" t="b">
        <x:v>0</x:v>
      </x:c>
      <x:c r="AK161" s="31" t="b">
        <x:v>0</x:v>
      </x:c>
      <x:c r="AL161" s="30" t="str">
        <x:v>Verified — national register and exact BAG address</x:v>
      </x:c>
      <x:c r="AM161" s="30" t="str">
        <x:v>https://www.golf.nl/de-baan-op/banenzoeker/overzicht</x:v>
      </x:c>
      <x:c r="AN161" s="30" t="str">
        <x:v>2026-08-15</x:v>
      </x:c>
      <x:c r="AO161" s="30" t="str">
        <x:v>+31 77-4678030</x:v>
      </x:c>
      <x:c r="AP161" s="30" t="str">
        <x:v>Current NGF/GOLF.NL listing: 18 holes, par 72, 6047 metres. Combined from exact NGF-listed constituent nine-hole loops: 1ste negen (9 holes, par 36, 2954 m); 2de negen (9 holes, par 36, 3093 m) Listed as qualifying.</x:v>
      </x:c>
    </x:row>
    <x:row r="162">
      <x:c r="A162" s="30" t="str">
        <x:v>NL-C0103</x:v>
      </x:c>
      <x:c r="B162" s="30" t="str">
        <x:v>NL-0161</x:v>
      </x:c>
      <x:c r="C162" s="30" t="str">
        <x:v>Eindhovensche Golf — Main Course</x:v>
      </x:c>
      <x:c r="D162" s="30" t="str">
        <x:v>Eindhovensche Golf</x:v>
      </x:c>
      <x:c r="E162" s="30" t="str">
        <x:v>Main Course</x:v>
      </x:c>
      <x:c r="F162" s="30" t="str">
        <x:v>Netherlands</x:v>
      </x:c>
      <x:c r="G162" s="30" t="str">
        <x:v>Noord-Brabant</x:v>
      </x:c>
      <x:c r="H162" s="30" t="str">
        <x:v>Valkenswaard</x:v>
      </x:c>
      <x:c r="I162" s="30" t="str">
        <x:v>Valkenswaard</x:v>
      </x:c>
      <x:c r="J162" s="30" t="str">
        <x:v>Eindhovenseweg 300</x:v>
      </x:c>
      <x:c r="K162" s="30" t="str">
        <x:v>5553 VB</x:v>
      </x:c>
      <x:c r="L162" s="32" t="n">
        <x:v>51.36989979</x:v>
      </x:c>
      <x:c r="M162" s="32" t="n">
        <x:v>5.47602902</x:v>
      </x:c>
      <x:c r="N162" s="30" t="str">
        <x:v>WGS84 / EPSG:4326</x:v>
      </x:c>
      <x:c r="O162" s="30" t="str">
        <x:v>Verified BAG address point via PDOK</x:v>
      </x:c>
      <x:c r="P162" s="30" t="str">
        <x:v>2026-08-15</x:v>
      </x:c>
      <x:c r="Q162" s="33" t="n">
        <x:f>IF(R162="","",ROUND(R162/0.9144,0))</x:f>
        <x:v>6916</x:v>
      </x:c>
      <x:c r="R162" s="33" t="n">
        <x:v>6324</x:v>
      </x:c>
      <x:c r="S162" s="33" t="n">
        <x:v>18</x:v>
      </x:c>
      <x:c r="T162" s="33" t="n">
        <x:v>72</x:v>
      </x:c>
      <x:c r="U162" s="30" t="str">
        <x:v>Full-length course</x:v>
      </x:c>
      <x:c r="V162" s="30"/>
      <x:c r="W162" s="30"/>
      <x:c r="X162" s="30"/>
      <x:c r="Y162" s="30" t="str">
        <x:v>https://www.eindhovenschegolf.nl/</x:v>
      </x:c>
      <x:c r="Z162" s="30" t="b">
        <x:f>IF(AND(F162="Netherlands",ISNUMBER(L162),ISNUMBER(M162),L162&gt;=50.7,L162&lt;=53.7,M162&gt;=3.2,M162&lt;=7.3,AC162&lt;&gt;"Closed"),TRUE,FALSE)</x:f>
        <x:v>1</x:v>
      </x:c>
      <x:c r="AA162" s="30" t="b">
        <x:f>Z162</x:f>
        <x:v>1</x:v>
      </x:c>
      <x:c r="AB162" s="30" t="str">
        <x:f>IF(Z162,"verified_coordinate_and_open","not_map_ready")</x:f>
        <x:v>verified_coordinate_and_open</x:v>
      </x:c>
      <x:c r="AC162" s="30" t="str">
        <x:v>Open</x:v>
      </x:c>
      <x:c r="AD162" s="30" t="str">
        <x:v>Public — handicap 24 or lower</x:v>
      </x:c>
      <x:c r="AE162" s="31" t="b">
        <x:v>1</x:v>
      </x:c>
      <x:c r="AF162" s="31" t="b">
        <x:v>0</x:v>
      </x:c>
      <x:c r="AG162" s="30"/>
      <x:c r="AH162" s="30"/>
      <x:c r="AI162" s="30"/>
      <x:c r="AJ162" s="31" t="b">
        <x:v>0</x:v>
      </x:c>
      <x:c r="AK162" s="31" t="b">
        <x:v>0</x:v>
      </x:c>
      <x:c r="AL162" s="30" t="str">
        <x:v>Verified — national register and exact BAG address</x:v>
      </x:c>
      <x:c r="AM162" s="30" t="str">
        <x:v>https://www.golf.nl/de-baan-op/banenzoeker/overzicht</x:v>
      </x:c>
      <x:c r="AN162" s="30" t="str">
        <x:v>2026-08-15</x:v>
      </x:c>
      <x:c r="AO162" s="30" t="str">
        <x:v>+31 40-2014816</x:v>
      </x:c>
      <x:c r="AP162" s="30" t="str">
        <x:v>Current NGF/GOLF.NL listing: 18 holes, par 72, 6324 metres. Combined from exact NGF-listed constituent nine-hole loops: 1ste negen (9 holes, par 36, 3092 m); 2de negen (9 holes, par 36, 3232 m) Listed as qualifying.</x:v>
      </x:c>
    </x:row>
    <x:row r="163">
      <x:c r="A163" s="30" t="str">
        <x:v>NL-C0104</x:v>
      </x:c>
      <x:c r="B163" s="30" t="str">
        <x:v>NL-0162</x:v>
      </x:c>
      <x:c r="C163" s="30" t="str">
        <x:v>Golf &amp; Country Course De Schoot</x:v>
      </x:c>
      <x:c r="D163" s="30" t="str">
        <x:v>Golf &amp; Country Course De Schoot</x:v>
      </x:c>
      <x:c r="E163" s="30" t="str">
        <x:v>Course</x:v>
      </x:c>
      <x:c r="F163" s="30" t="str">
        <x:v>Netherlands</x:v>
      </x:c>
      <x:c r="G163" s="30" t="str">
        <x:v>Noord-Brabant</x:v>
      </x:c>
      <x:c r="H163" s="30" t="str">
        <x:v>Meierijstad</x:v>
      </x:c>
      <x:c r="I163" s="30" t="str">
        <x:v>Sint-Oedenrode</x:v>
      </x:c>
      <x:c r="J163" s="30" t="str">
        <x:v>Schootsedijk 18</x:v>
      </x:c>
      <x:c r="K163" s="30" t="str">
        <x:v>5491 TD</x:v>
      </x:c>
      <x:c r="L163" s="32" t="n">
        <x:v>51.58436264</x:v>
      </x:c>
      <x:c r="M163" s="32" t="n">
        <x:v>5.44082089</x:v>
      </x:c>
      <x:c r="N163" s="30" t="str">
        <x:v>WGS84 / EPSG:4326</x:v>
      </x:c>
      <x:c r="O163" s="30" t="str">
        <x:v>Verified BAG address point via PDOK</x:v>
      </x:c>
      <x:c r="P163" s="30" t="str">
        <x:v>2026-08-15</x:v>
      </x:c>
      <x:c r="Q163" s="33" t="n">
        <x:f>IF(R163="","",ROUND(R163/0.9144,0))</x:f>
        <x:v>3138</x:v>
      </x:c>
      <x:c r="R163" s="33" t="n">
        <x:v>2869</x:v>
      </x:c>
      <x:c r="S163" s="33" t="n">
        <x:v>9</x:v>
      </x:c>
      <x:c r="T163" s="33" t="n">
        <x:v>36</x:v>
      </x:c>
      <x:c r="U163" s="30" t="str">
        <x:v>Full-length course</x:v>
      </x:c>
      <x:c r="V163" s="30"/>
      <x:c r="W163" s="30"/>
      <x:c r="X163" s="30"/>
      <x:c r="Y163" s="30" t="str">
        <x:v>https://www.golfbaandeschoot.nl/</x:v>
      </x:c>
      <x:c r="Z163" s="30" t="b">
        <x:f>IF(AND(F163="Netherlands",ISNUMBER(L163),ISNUMBER(M163),L163&gt;=50.7,L163&lt;=53.7,M163&gt;=3.2,M163&lt;=7.3,AC163&lt;&gt;"Closed"),TRUE,FALSE)</x:f>
        <x:v>1</x:v>
      </x:c>
      <x:c r="AA163" s="30" t="b">
        <x:f>Z163</x:f>
        <x:v>1</x:v>
      </x:c>
      <x:c r="AB163" s="30" t="str">
        <x:f>IF(Z163,"verified_coordinate_and_open","not_map_ready")</x:f>
        <x:v>verified_coordinate_and_open</x:v>
      </x:c>
      <x:c r="AC163" s="30" t="str">
        <x:v>Open</x:v>
      </x:c>
      <x:c r="AD163" s="30" t="str">
        <x:v>Public — handicap 54 or lower</x:v>
      </x:c>
      <x:c r="AE163" s="31" t="b">
        <x:v>1</x:v>
      </x:c>
      <x:c r="AF163" s="31" t="b">
        <x:v>0</x:v>
      </x:c>
      <x:c r="AG163" s="30"/>
      <x:c r="AH163" s="30"/>
      <x:c r="AI163" s="30"/>
      <x:c r="AJ163" s="31" t="b">
        <x:v>0</x:v>
      </x:c>
      <x:c r="AK163" s="31" t="b">
        <x:v>0</x:v>
      </x:c>
      <x:c r="AL163" s="30" t="str">
        <x:v>Verified — national register and exact BAG address</x:v>
      </x:c>
      <x:c r="AM163" s="30" t="str">
        <x:v>https://www.golf.nl/de-baan-op/banenzoeker/overzicht</x:v>
      </x:c>
      <x:c r="AN163" s="30" t="str">
        <x:v>2026-08-15</x:v>
      </x:c>
      <x:c r="AO163" s="30" t="str">
        <x:v>+31 413-473011</x:v>
      </x:c>
      <x:c r="AP163" s="30" t="str">
        <x:v>Current NGF/GOLF.NL listing: 9 holes, par 36, 2869 metres. Listed as qualifying.</x:v>
      </x:c>
    </x:row>
    <x:row r="164">
      <x:c r="A164" s="30" t="str">
        <x:v>NL-C0105</x:v>
      </x:c>
      <x:c r="B164" s="30" t="str">
        <x:v>NL-0163</x:v>
      </x:c>
      <x:c r="C164" s="30" t="str">
        <x:v>Golf &amp; Countryclub de Tongelreep — Main Course</x:v>
      </x:c>
      <x:c r="D164" s="30" t="str">
        <x:v>Golf &amp; Countryclub de Tongelreep</x:v>
      </x:c>
      <x:c r="E164" s="30" t="str">
        <x:v>Main Course</x:v>
      </x:c>
      <x:c r="F164" s="30" t="str">
        <x:v>Netherlands</x:v>
      </x:c>
      <x:c r="G164" s="30" t="str">
        <x:v>Noord-Brabant</x:v>
      </x:c>
      <x:c r="H164" s="30" t="str">
        <x:v>Eindhoven</x:v>
      </x:c>
      <x:c r="I164" s="30" t="str">
        <x:v>Eindhoven</x:v>
      </x:c>
      <x:c r="J164" s="30" t="str">
        <x:v>Charles Roelslaan 15</x:v>
      </x:c>
      <x:c r="K164" s="30" t="str">
        <x:v>5644 HX</x:v>
      </x:c>
      <x:c r="L164" s="32" t="n">
        <x:v>51.40836511</x:v>
      </x:c>
      <x:c r="M164" s="32" t="n">
        <x:v>5.47382227</x:v>
      </x:c>
      <x:c r="N164" s="30" t="str">
        <x:v>WGS84 / EPSG:4326</x:v>
      </x:c>
      <x:c r="O164" s="30" t="str">
        <x:v>Verified BAG address point via PDOK</x:v>
      </x:c>
      <x:c r="P164" s="30" t="str">
        <x:v>2026-08-15</x:v>
      </x:c>
      <x:c r="Q164" s="33" t="n">
        <x:f>IF(R164="","",ROUND(R164/0.9144,0))</x:f>
        <x:v>2937</x:v>
      </x:c>
      <x:c r="R164" s="33" t="n">
        <x:v>2686</x:v>
      </x:c>
      <x:c r="S164" s="33" t="n">
        <x:v>9</x:v>
      </x:c>
      <x:c r="T164" s="33" t="n">
        <x:v>35</x:v>
      </x:c>
      <x:c r="U164" s="30" t="str">
        <x:v>Full-length course</x:v>
      </x:c>
      <x:c r="V164" s="30"/>
      <x:c r="W164" s="30"/>
      <x:c r="X164" s="30"/>
      <x:c r="Y164" s="30" t="str">
        <x:v>https://www.golfdetongelreep.nl/</x:v>
      </x:c>
      <x:c r="Z164" s="30" t="b">
        <x:f>IF(AND(F164="Netherlands",ISNUMBER(L164),ISNUMBER(M164),L164&gt;=50.7,L164&lt;=53.7,M164&gt;=3.2,M164&lt;=7.3,AC164&lt;&gt;"Closed"),TRUE,FALSE)</x:f>
        <x:v>1</x:v>
      </x:c>
      <x:c r="AA164" s="30" t="b">
        <x:f>Z164</x:f>
        <x:v>1</x:v>
      </x:c>
      <x:c r="AB164" s="30" t="str">
        <x:f>IF(Z164,"verified_coordinate_and_open","not_map_ready")</x:f>
        <x:v>verified_coordinate_and_open</x:v>
      </x:c>
      <x:c r="AC164" s="30" t="str">
        <x:v>Open</x:v>
      </x:c>
      <x:c r="AD164" s="30" t="str">
        <x:v>Public — handicap 36 or lower</x:v>
      </x:c>
      <x:c r="AE164" s="31" t="b">
        <x:v>1</x:v>
      </x:c>
      <x:c r="AF164" s="31" t="b">
        <x:v>0</x:v>
      </x:c>
      <x:c r="AG164" s="30"/>
      <x:c r="AH164" s="30"/>
      <x:c r="AI164" s="30"/>
      <x:c r="AJ164" s="31" t="b">
        <x:v>0</x:v>
      </x:c>
      <x:c r="AK164" s="31" t="b">
        <x:v>0</x:v>
      </x:c>
      <x:c r="AL164" s="30" t="str">
        <x:v>Verified — national register and exact BAG address</x:v>
      </x:c>
      <x:c r="AM164" s="30" t="str">
        <x:v>https://www.golf.nl/de-baan-op/banenzoeker/overzicht</x:v>
      </x:c>
      <x:c r="AN164" s="30" t="str">
        <x:v>2026-08-15</x:v>
      </x:c>
      <x:c r="AO164" s="30" t="str">
        <x:v>+31 40-2520962</x:v>
      </x:c>
      <x:c r="AP164" s="30" t="str">
        <x:v>Current NGF/GOLF.NL listing: 9 holes, par 35, 2686 metres. Listed as qualifying.</x:v>
      </x:c>
    </x:row>
    <x:row r="165">
      <x:c r="A165" s="30" t="str">
        <x:v>NL-C0105</x:v>
      </x:c>
      <x:c r="B165" s="30" t="str">
        <x:v>NL-0164</x:v>
      </x:c>
      <x:c r="C165" s="30" t="str">
        <x:v>Golf &amp; Countryclub de Tongelreep — Par-3 Course</x:v>
      </x:c>
      <x:c r="D165" s="30" t="str">
        <x:v>Golf &amp; Countryclub de Tongelreep</x:v>
      </x:c>
      <x:c r="E165" s="30" t="str">
        <x:v>Par-3 Course</x:v>
      </x:c>
      <x:c r="F165" s="30" t="str">
        <x:v>Netherlands</x:v>
      </x:c>
      <x:c r="G165" s="30" t="str">
        <x:v>Noord-Brabant</x:v>
      </x:c>
      <x:c r="H165" s="30" t="str">
        <x:v>Eindhoven</x:v>
      </x:c>
      <x:c r="I165" s="30" t="str">
        <x:v>Eindhoven</x:v>
      </x:c>
      <x:c r="J165" s="30" t="str">
        <x:v>Charles Roelslaan 15</x:v>
      </x:c>
      <x:c r="K165" s="30" t="str">
        <x:v>5644 HX</x:v>
      </x:c>
      <x:c r="L165" s="32" t="n">
        <x:v>51.40836511</x:v>
      </x:c>
      <x:c r="M165" s="32" t="n">
        <x:v>5.47382227</x:v>
      </x:c>
      <x:c r="N165" s="30" t="str">
        <x:v>WGS84 / EPSG:4326</x:v>
      </x:c>
      <x:c r="O165" s="30" t="str">
        <x:v>Verified BAG address point via PDOK</x:v>
      </x:c>
      <x:c r="P165" s="30" t="str">
        <x:v>2026-08-15</x:v>
      </x:c>
      <x:c r="Q165" s="33" t="n">
        <x:f>IF(R165="","",ROUND(R165/0.9144,0))</x:f>
        <x:v>313</x:v>
      </x:c>
      <x:c r="R165" s="33" t="n">
        <x:v>286</x:v>
      </x:c>
      <x:c r="S165" s="33" t="n">
        <x:v>9</x:v>
      </x:c>
      <x:c r="T165" s="33" t="n">
        <x:v>27</x:v>
      </x:c>
      <x:c r="U165" s="30" t="str">
        <x:v>Par-3 course</x:v>
      </x:c>
      <x:c r="V165" s="30"/>
      <x:c r="W165" s="30"/>
      <x:c r="X165" s="30"/>
      <x:c r="Y165" s="30" t="str">
        <x:v>https://www.golfdetongelreep.nl/</x:v>
      </x:c>
      <x:c r="Z165" s="30" t="b">
        <x:f>IF(AND(F165="Netherlands",ISNUMBER(L165),ISNUMBER(M165),L165&gt;=50.7,L165&lt;=53.7,M165&gt;=3.2,M165&lt;=7.3,AC165&lt;&gt;"Closed"),TRUE,FALSE)</x:f>
        <x:v>1</x:v>
      </x:c>
      <x:c r="AA165" s="30" t="b">
        <x:f>Z165</x:f>
        <x:v>1</x:v>
      </x:c>
      <x:c r="AB165" s="30" t="str">
        <x:f>IF(Z165,"verified_coordinate_and_open","not_map_ready")</x:f>
        <x:v>verified_coordinate_and_open</x:v>
      </x:c>
      <x:c r="AC165" s="30" t="str">
        <x:v>Open</x:v>
      </x:c>
      <x:c r="AD165" s="30" t="str">
        <x:v>Public — NGF course permission</x:v>
      </x:c>
      <x:c r="AE165" s="31" t="b">
        <x:v>0</x:v>
      </x:c>
      <x:c r="AF165" s="31" t="b">
        <x:v>0</x:v>
      </x:c>
      <x:c r="AG165" s="30"/>
      <x:c r="AH165" s="30"/>
      <x:c r="AI165" s="30"/>
      <x:c r="AJ165" s="31" t="b">
        <x:v>0</x:v>
      </x:c>
      <x:c r="AK165" s="31" t="b">
        <x:v>0</x:v>
      </x:c>
      <x:c r="AL165" s="30" t="str">
        <x:v>Verified — national register and exact BAG address</x:v>
      </x:c>
      <x:c r="AM165" s="30" t="str">
        <x:v>https://www.golf.nl/de-baan-op/banenzoeker/overzicht</x:v>
      </x:c>
      <x:c r="AN165" s="30" t="str">
        <x:v>2026-08-15</x:v>
      </x:c>
      <x:c r="AO165" s="30" t="str">
        <x:v>+31 40-2520962</x:v>
      </x:c>
      <x:c r="AP165" s="30" t="str">
        <x:v>Current NGF/GOLF.NL listing: 9 holes, par 27, 286 metres. Listed as non-qualifying.</x:v>
      </x:c>
    </x:row>
    <x:row r="166">
      <x:c r="A166" s="30" t="str">
        <x:v>NL-C0106</x:v>
      </x:c>
      <x:c r="B166" s="30" t="str">
        <x:v>NL-0165</x:v>
      </x:c>
      <x:c r="C166" s="30" t="str">
        <x:v>Golf &amp; Recreatiepark 't Caves — Main Course</x:v>
      </x:c>
      <x:c r="D166" s="30" t="str">
        <x:v>Golf &amp; Recreatiepark 't Caves</x:v>
      </x:c>
      <x:c r="E166" s="30" t="str">
        <x:v>Main Course</x:v>
      </x:c>
      <x:c r="F166" s="30" t="str">
        <x:v>Netherlands</x:v>
      </x:c>
      <x:c r="G166" s="30" t="str">
        <x:v>Noord-Brabant</x:v>
      </x:c>
      <x:c r="H166" s="30" t="str">
        <x:v>Eersel</x:v>
      </x:c>
      <x:c r="I166" s="30" t="str">
        <x:v>Wintelre</x:v>
      </x:c>
      <x:c r="J166" s="30" t="str">
        <x:v>Veneind 5</x:v>
      </x:c>
      <x:c r="K166" s="30" t="str">
        <x:v>5513 NE</x:v>
      </x:c>
      <x:c r="L166" s="32" t="n">
        <x:v>51.43723818</x:v>
      </x:c>
      <x:c r="M166" s="32" t="n">
        <x:v>5.33723358</x:v>
      </x:c>
      <x:c r="N166" s="30" t="str">
        <x:v>WGS84 / EPSG:4326</x:v>
      </x:c>
      <x:c r="O166" s="30" t="str">
        <x:v>Verified BAG address point via PDOK</x:v>
      </x:c>
      <x:c r="P166" s="30" t="str">
        <x:v>2026-08-15</x:v>
      </x:c>
      <x:c r="Q166" s="33" t="n">
        <x:f>IF(R166="","",ROUND(R166/0.9144,0))</x:f>
        <x:v>2118</x:v>
      </x:c>
      <x:c r="R166" s="33" t="n">
        <x:v>1937</x:v>
      </x:c>
      <x:c r="S166" s="33" t="n">
        <x:v>9</x:v>
      </x:c>
      <x:c r="T166" s="33" t="n">
        <x:v>32</x:v>
      </x:c>
      <x:c r="U166" s="30" t="str">
        <x:v>Full-length course</x:v>
      </x:c>
      <x:c r="V166" s="30"/>
      <x:c r="W166" s="30"/>
      <x:c r="X166" s="30"/>
      <x:c r="Y166" s="30" t="str">
        <x:v>https://hetcaves.nl/</x:v>
      </x:c>
      <x:c r="Z166" s="30" t="b">
        <x:f>IF(AND(F166="Netherlands",ISNUMBER(L166),ISNUMBER(M166),L166&gt;=50.7,L166&lt;=53.7,M166&gt;=3.2,M166&lt;=7.3,AC166&lt;&gt;"Closed"),TRUE,FALSE)</x:f>
        <x:v>1</x:v>
      </x:c>
      <x:c r="AA166" s="30" t="b">
        <x:f>Z166</x:f>
        <x:v>1</x:v>
      </x:c>
      <x:c r="AB166" s="30" t="str">
        <x:f>IF(Z166,"verified_coordinate_and_open","not_map_ready")</x:f>
        <x:v>verified_coordinate_and_open</x:v>
      </x:c>
      <x:c r="AC166" s="30" t="str">
        <x:v>Open</x:v>
      </x:c>
      <x:c r="AD166" s="30" t="str">
        <x:v>Public — handicap 54 or lower</x:v>
      </x:c>
      <x:c r="AE166" s="31" t="b">
        <x:v>1</x:v>
      </x:c>
      <x:c r="AF166" s="31" t="b">
        <x:v>0</x:v>
      </x:c>
      <x:c r="AG166" s="30"/>
      <x:c r="AH166" s="30"/>
      <x:c r="AI166" s="30"/>
      <x:c r="AJ166" s="31" t="b">
        <x:v>0</x:v>
      </x:c>
      <x:c r="AK166" s="31" t="b">
        <x:v>0</x:v>
      </x:c>
      <x:c r="AL166" s="30" t="str">
        <x:v>Verified — national register and exact BAG address</x:v>
      </x:c>
      <x:c r="AM166" s="30" t="str">
        <x:v>https://www.golf.nl/de-baan-op/banenzoeker/overzicht</x:v>
      </x:c>
      <x:c r="AN166" s="30" t="str">
        <x:v>2026-08-15</x:v>
      </x:c>
      <x:c r="AO166" s="30" t="str">
        <x:v>+31 40-2051805</x:v>
      </x:c>
      <x:c r="AP166" s="30" t="str">
        <x:v>Current NGF/GOLF.NL listing: 9 holes, par 32, 1937 metres. Listed as qualifying.</x:v>
      </x:c>
    </x:row>
    <x:row r="167">
      <x:c r="A167" s="30" t="str">
        <x:v>NL-C0106</x:v>
      </x:c>
      <x:c r="B167" s="30" t="str">
        <x:v>NL-0166</x:v>
      </x:c>
      <x:c r="C167" s="30" t="str">
        <x:v>Golf &amp; Recreatiepark 't Caves — Par-3 Course</x:v>
      </x:c>
      <x:c r="D167" s="30" t="str">
        <x:v>Golf &amp; Recreatiepark 't Caves</x:v>
      </x:c>
      <x:c r="E167" s="30" t="str">
        <x:v>Par-3 Course</x:v>
      </x:c>
      <x:c r="F167" s="30" t="str">
        <x:v>Netherlands</x:v>
      </x:c>
      <x:c r="G167" s="30" t="str">
        <x:v>Noord-Brabant</x:v>
      </x:c>
      <x:c r="H167" s="30" t="str">
        <x:v>Eersel</x:v>
      </x:c>
      <x:c r="I167" s="30" t="str">
        <x:v>Wintelre</x:v>
      </x:c>
      <x:c r="J167" s="30" t="str">
        <x:v>Veneind 5</x:v>
      </x:c>
      <x:c r="K167" s="30" t="str">
        <x:v>5513 NE</x:v>
      </x:c>
      <x:c r="L167" s="32" t="n">
        <x:v>51.43723818</x:v>
      </x:c>
      <x:c r="M167" s="32" t="n">
        <x:v>5.33723358</x:v>
      </x:c>
      <x:c r="N167" s="30" t="str">
        <x:v>WGS84 / EPSG:4326</x:v>
      </x:c>
      <x:c r="O167" s="30" t="str">
        <x:v>Verified BAG address point via PDOK</x:v>
      </x:c>
      <x:c r="P167" s="30" t="str">
        <x:v>2026-08-15</x:v>
      </x:c>
      <x:c r="Q167" s="33" t="n">
        <x:f>IF(R167="","",ROUND(R167/0.9144,0))</x:f>
        <x:v>794</x:v>
      </x:c>
      <x:c r="R167" s="33" t="n">
        <x:v>726</x:v>
      </x:c>
      <x:c r="S167" s="33" t="n">
        <x:v>9</x:v>
      </x:c>
      <x:c r="T167" s="33" t="n">
        <x:v>27</x:v>
      </x:c>
      <x:c r="U167" s="30" t="str">
        <x:v>Par-3 course</x:v>
      </x:c>
      <x:c r="V167" s="30"/>
      <x:c r="W167" s="30"/>
      <x:c r="X167" s="30"/>
      <x:c r="Y167" s="30" t="str">
        <x:v>https://hetcaves.nl/</x:v>
      </x:c>
      <x:c r="Z167" s="30" t="b">
        <x:f>IF(AND(F167="Netherlands",ISNUMBER(L167),ISNUMBER(M167),L167&gt;=50.7,L167&lt;=53.7,M167&gt;=3.2,M167&lt;=7.3,AC167&lt;&gt;"Closed"),TRUE,FALSE)</x:f>
        <x:v>1</x:v>
      </x:c>
      <x:c r="AA167" s="30" t="b">
        <x:f>Z167</x:f>
        <x:v>1</x:v>
      </x:c>
      <x:c r="AB167" s="30" t="str">
        <x:f>IF(Z167,"verified_coordinate_and_open","not_map_ready")</x:f>
        <x:v>verified_coordinate_and_open</x:v>
      </x:c>
      <x:c r="AC167" s="30" t="str">
        <x:v>Open</x:v>
      </x:c>
      <x:c r="AD167" s="30" t="str">
        <x:v>Public — no playing requirement</x:v>
      </x:c>
      <x:c r="AE167" s="31" t="b">
        <x:v>1</x:v>
      </x:c>
      <x:c r="AF167" s="31" t="b">
        <x:v>0</x:v>
      </x:c>
      <x:c r="AG167" s="30"/>
      <x:c r="AH167" s="30"/>
      <x:c r="AI167" s="30"/>
      <x:c r="AJ167" s="31" t="b">
        <x:v>0</x:v>
      </x:c>
      <x:c r="AK167" s="31" t="b">
        <x:v>0</x:v>
      </x:c>
      <x:c r="AL167" s="30" t="str">
        <x:v>Verified — national register and exact BAG address</x:v>
      </x:c>
      <x:c r="AM167" s="30" t="str">
        <x:v>https://www.golf.nl/de-baan-op/banenzoeker/overzicht</x:v>
      </x:c>
      <x:c r="AN167" s="30" t="str">
        <x:v>2026-08-15</x:v>
      </x:c>
      <x:c r="AO167" s="30" t="str">
        <x:v>+31 40-2051805</x:v>
      </x:c>
      <x:c r="AP167" s="30" t="str">
        <x:v>Current NGF/GOLF.NL listing: 9 holes, par 27, 726 metres. Listed as qualifying.</x:v>
      </x:c>
    </x:row>
    <x:row r="168">
      <x:c r="A168" s="30" t="str">
        <x:v>NL-C0107</x:v>
      </x:c>
      <x:c r="B168" s="30" t="str">
        <x:v>NL-0167</x:v>
      </x:c>
      <x:c r="C168" s="30" t="str">
        <x:v>Golf De Gulbergen — Libellenbaan</x:v>
      </x:c>
      <x:c r="D168" s="30" t="str">
        <x:v>Golf De Gulbergen</x:v>
      </x:c>
      <x:c r="E168" s="30" t="str">
        <x:v>Libellenbaan</x:v>
      </x:c>
      <x:c r="F168" s="30" t="str">
        <x:v>Netherlands</x:v>
      </x:c>
      <x:c r="G168" s="30" t="str">
        <x:v>Noord-Brabant</x:v>
      </x:c>
      <x:c r="H168" s="30" t="str">
        <x:v>Geldrop-Mierlo</x:v>
      </x:c>
      <x:c r="I168" s="30" t="str">
        <x:v>Mierlo</x:v>
      </x:c>
      <x:c r="J168" s="30" t="str">
        <x:v>Heiderschoor 26</x:v>
      </x:c>
      <x:c r="K168" s="30" t="str">
        <x:v>5731 RG</x:v>
      </x:c>
      <x:c r="L168" s="32" t="n">
        <x:v>51.45167952</x:v>
      </x:c>
      <x:c r="M168" s="32" t="n">
        <x:v>5.58086931</x:v>
      </x:c>
      <x:c r="N168" s="30" t="str">
        <x:v>WGS84 / EPSG:4326</x:v>
      </x:c>
      <x:c r="O168" s="30" t="str">
        <x:v>Verified BAG address point via PDOK</x:v>
      </x:c>
      <x:c r="P168" s="30" t="str">
        <x:v>2026-08-15</x:v>
      </x:c>
      <x:c r="Q168" s="33" t="n">
        <x:f>IF(R168="","",ROUND(R168/0.9144,0))</x:f>
        <x:v>3188</x:v>
      </x:c>
      <x:c r="R168" s="33" t="n">
        <x:v>2915</x:v>
      </x:c>
      <x:c r="S168" s="33" t="n">
        <x:v>9</x:v>
      </x:c>
      <x:c r="T168" s="33" t="n">
        <x:v>36</x:v>
      </x:c>
      <x:c r="U168" s="30" t="str">
        <x:v>Full-length course</x:v>
      </x:c>
      <x:c r="V168" s="30"/>
      <x:c r="W168" s="30"/>
      <x:c r="X168" s="30"/>
      <x:c r="Y168" s="30" t="str">
        <x:v>https://www.golfdegulbergen.nl/</x:v>
      </x:c>
      <x:c r="Z168" s="30" t="b">
        <x:f>IF(AND(F168="Netherlands",ISNUMBER(L168),ISNUMBER(M168),L168&gt;=50.7,L168&lt;=53.7,M168&gt;=3.2,M168&lt;=7.3,AC168&lt;&gt;"Closed"),TRUE,FALSE)</x:f>
        <x:v>1</x:v>
      </x:c>
      <x:c r="AA168" s="30" t="b">
        <x:f>Z168</x:f>
        <x:v>1</x:v>
      </x:c>
      <x:c r="AB168" s="30" t="str">
        <x:f>IF(Z168,"verified_coordinate_and_open","not_map_ready")</x:f>
        <x:v>verified_coordinate_and_open</x:v>
      </x:c>
      <x:c r="AC168" s="30" t="str">
        <x:v>Open</x:v>
      </x:c>
      <x:c r="AD168" s="30" t="str">
        <x:v>Public — handicap 54 or lower</x:v>
      </x:c>
      <x:c r="AE168" s="31" t="b">
        <x:v>1</x:v>
      </x:c>
      <x:c r="AF168" s="31" t="b">
        <x:v>0</x:v>
      </x:c>
      <x:c r="AG168" s="30"/>
      <x:c r="AH168" s="30"/>
      <x:c r="AI168" s="30"/>
      <x:c r="AJ168" s="31" t="b">
        <x:v>0</x:v>
      </x:c>
      <x:c r="AK168" s="31" t="b">
        <x:v>0</x:v>
      </x:c>
      <x:c r="AL168" s="30" t="str">
        <x:v>Verified — national register and exact BAG address</x:v>
      </x:c>
      <x:c r="AM168" s="30" t="str">
        <x:v>https://www.golf.nl/de-baan-op/banenzoeker/overzicht</x:v>
      </x:c>
      <x:c r="AN168" s="30" t="str">
        <x:v>2026-08-15</x:v>
      </x:c>
      <x:c r="AO168" s="30" t="str">
        <x:v>+31 492-592455</x:v>
      </x:c>
      <x:c r="AP168" s="30" t="str">
        <x:v>Current NGF/GOLF.NL listing: 9 holes, par 36, 2915 metres. Listed as qualifying.</x:v>
      </x:c>
    </x:row>
    <x:row r="169">
      <x:c r="A169" s="30" t="str">
        <x:v>NL-C0107</x:v>
      </x:c>
      <x:c r="B169" s="30" t="str">
        <x:v>NL-0168</x:v>
      </x:c>
      <x:c r="C169" s="30" t="str">
        <x:v>Golf De Gulbergen — Old Course</x:v>
      </x:c>
      <x:c r="D169" s="30" t="str">
        <x:v>Golf De Gulbergen</x:v>
      </x:c>
      <x:c r="E169" s="30" t="str">
        <x:v>Old Course</x:v>
      </x:c>
      <x:c r="F169" s="30" t="str">
        <x:v>Netherlands</x:v>
      </x:c>
      <x:c r="G169" s="30" t="str">
        <x:v>Noord-Brabant</x:v>
      </x:c>
      <x:c r="H169" s="30" t="str">
        <x:v>Geldrop-Mierlo</x:v>
      </x:c>
      <x:c r="I169" s="30" t="str">
        <x:v>Mierlo</x:v>
      </x:c>
      <x:c r="J169" s="30" t="str">
        <x:v>Heiderschoor 26</x:v>
      </x:c>
      <x:c r="K169" s="30" t="str">
        <x:v>5731 RG</x:v>
      </x:c>
      <x:c r="L169" s="32" t="n">
        <x:v>51.45167952</x:v>
      </x:c>
      <x:c r="M169" s="32" t="n">
        <x:v>5.58086931</x:v>
      </x:c>
      <x:c r="N169" s="30" t="str">
        <x:v>WGS84 / EPSG:4326</x:v>
      </x:c>
      <x:c r="O169" s="30" t="str">
        <x:v>Verified BAG address point via PDOK</x:v>
      </x:c>
      <x:c r="P169" s="30" t="str">
        <x:v>2026-08-15</x:v>
      </x:c>
      <x:c r="Q169" s="33" t="n">
        <x:f>IF(R169="","",ROUND(R169/0.9144,0))</x:f>
        <x:v>1925</x:v>
      </x:c>
      <x:c r="R169" s="33" t="n">
        <x:v>1760</x:v>
      </x:c>
      <x:c r="S169" s="33" t="n">
        <x:v>9</x:v>
      </x:c>
      <x:c r="T169" s="33" t="n">
        <x:v>32</x:v>
      </x:c>
      <x:c r="U169" s="30" t="str">
        <x:v>Par-3/4 course</x:v>
      </x:c>
      <x:c r="V169" s="30"/>
      <x:c r="W169" s="30"/>
      <x:c r="X169" s="30"/>
      <x:c r="Y169" s="30" t="str">
        <x:v>https://www.golfdegulbergen.nl/</x:v>
      </x:c>
      <x:c r="Z169" s="30" t="b">
        <x:f>IF(AND(F169="Netherlands",ISNUMBER(L169),ISNUMBER(M169),L169&gt;=50.7,L169&lt;=53.7,M169&gt;=3.2,M169&lt;=7.3,AC169&lt;&gt;"Closed"),TRUE,FALSE)</x:f>
        <x:v>1</x:v>
      </x:c>
      <x:c r="AA169" s="30" t="b">
        <x:f>Z169</x:f>
        <x:v>1</x:v>
      </x:c>
      <x:c r="AB169" s="30" t="str">
        <x:f>IF(Z169,"verified_coordinate_and_open","not_map_ready")</x:f>
        <x:v>verified_coordinate_and_open</x:v>
      </x:c>
      <x:c r="AC169" s="30" t="str">
        <x:v>Open</x:v>
      </x:c>
      <x:c r="AD169" s="30" t="str">
        <x:v>Public — NGF course permission</x:v>
      </x:c>
      <x:c r="AE169" s="31" t="b">
        <x:v>1</x:v>
      </x:c>
      <x:c r="AF169" s="31" t="b">
        <x:v>0</x:v>
      </x:c>
      <x:c r="AG169" s="30"/>
      <x:c r="AH169" s="30"/>
      <x:c r="AI169" s="30"/>
      <x:c r="AJ169" s="31" t="b">
        <x:v>0</x:v>
      </x:c>
      <x:c r="AK169" s="31" t="b">
        <x:v>0</x:v>
      </x:c>
      <x:c r="AL169" s="30" t="str">
        <x:v>Verified — national register and exact BAG address</x:v>
      </x:c>
      <x:c r="AM169" s="30" t="str">
        <x:v>https://www.golf.nl/de-baan-op/banenzoeker/overzicht</x:v>
      </x:c>
      <x:c r="AN169" s="30" t="str">
        <x:v>2026-08-15</x:v>
      </x:c>
      <x:c r="AO169" s="30" t="str">
        <x:v>+31 492-592455</x:v>
      </x:c>
      <x:c r="AP169" s="30" t="str">
        <x:v>Current NGF/GOLF.NL listing: 9 holes, par 32, 1760 metres. Listed as qualifying.</x:v>
      </x:c>
    </x:row>
    <x:row r="170">
      <x:c r="A170" s="30" t="str">
        <x:v>NL-C0107</x:v>
      </x:c>
      <x:c r="B170" s="30" t="str">
        <x:v>NL-0169</x:v>
      </x:c>
      <x:c r="C170" s="30" t="str">
        <x:v>Golf De Gulbergen — Sprookjesbaan</x:v>
      </x:c>
      <x:c r="D170" s="30" t="str">
        <x:v>Golf De Gulbergen</x:v>
      </x:c>
      <x:c r="E170" s="30" t="str">
        <x:v>Sprookjesbaan</x:v>
      </x:c>
      <x:c r="F170" s="30" t="str">
        <x:v>Netherlands</x:v>
      </x:c>
      <x:c r="G170" s="30" t="str">
        <x:v>Noord-Brabant</x:v>
      </x:c>
      <x:c r="H170" s="30" t="str">
        <x:v>Geldrop-Mierlo</x:v>
      </x:c>
      <x:c r="I170" s="30" t="str">
        <x:v>Mierlo</x:v>
      </x:c>
      <x:c r="J170" s="30" t="str">
        <x:v>Heiderschoor 26</x:v>
      </x:c>
      <x:c r="K170" s="30" t="str">
        <x:v>5731 RG</x:v>
      </x:c>
      <x:c r="L170" s="32" t="n">
        <x:v>51.45167952</x:v>
      </x:c>
      <x:c r="M170" s="32" t="n">
        <x:v>5.58086931</x:v>
      </x:c>
      <x:c r="N170" s="30" t="str">
        <x:v>WGS84 / EPSG:4326</x:v>
      </x:c>
      <x:c r="O170" s="30" t="str">
        <x:v>Verified BAG address point via PDOK</x:v>
      </x:c>
      <x:c r="P170" s="30" t="str">
        <x:v>2026-08-15</x:v>
      </x:c>
      <x:c r="Q170" s="33" t="n">
        <x:f>IF(R170="","",ROUND(R170/0.9144,0))</x:f>
        <x:v>2997</x:v>
      </x:c>
      <x:c r="R170" s="33" t="n">
        <x:v>2740</x:v>
      </x:c>
      <x:c r="S170" s="33" t="n">
        <x:v>9</x:v>
      </x:c>
      <x:c r="T170" s="33" t="n">
        <x:v>34</x:v>
      </x:c>
      <x:c r="U170" s="30" t="str">
        <x:v>Full-length course</x:v>
      </x:c>
      <x:c r="V170" s="30"/>
      <x:c r="W170" s="30"/>
      <x:c r="X170" s="30"/>
      <x:c r="Y170" s="30" t="str">
        <x:v>https://www.golfdegulbergen.nl/</x:v>
      </x:c>
      <x:c r="Z170" s="30" t="b">
        <x:f>IF(AND(F170="Netherlands",ISNUMBER(L170),ISNUMBER(M170),L170&gt;=50.7,L170&lt;=53.7,M170&gt;=3.2,M170&lt;=7.3,AC170&lt;&gt;"Closed"),TRUE,FALSE)</x:f>
        <x:v>1</x:v>
      </x:c>
      <x:c r="AA170" s="30" t="b">
        <x:f>Z170</x:f>
        <x:v>1</x:v>
      </x:c>
      <x:c r="AB170" s="30" t="str">
        <x:f>IF(Z170,"verified_coordinate_and_open","not_map_ready")</x:f>
        <x:v>verified_coordinate_and_open</x:v>
      </x:c>
      <x:c r="AC170" s="30" t="str">
        <x:v>Open</x:v>
      </x:c>
      <x:c r="AD170" s="30" t="str">
        <x:v>Public — handicap 54 or lower</x:v>
      </x:c>
      <x:c r="AE170" s="31" t="b">
        <x:v>1</x:v>
      </x:c>
      <x:c r="AF170" s="31" t="b">
        <x:v>0</x:v>
      </x:c>
      <x:c r="AG170" s="30"/>
      <x:c r="AH170" s="30"/>
      <x:c r="AI170" s="30"/>
      <x:c r="AJ170" s="31" t="b">
        <x:v>0</x:v>
      </x:c>
      <x:c r="AK170" s="31" t="b">
        <x:v>0</x:v>
      </x:c>
      <x:c r="AL170" s="30" t="str">
        <x:v>Verified — national register and exact BAG address</x:v>
      </x:c>
      <x:c r="AM170" s="30" t="str">
        <x:v>https://www.golf.nl/de-baan-op/banenzoeker/overzicht</x:v>
      </x:c>
      <x:c r="AN170" s="30" t="str">
        <x:v>2026-08-15</x:v>
      </x:c>
      <x:c r="AO170" s="30" t="str">
        <x:v>+31 492-592455</x:v>
      </x:c>
      <x:c r="AP170" s="30" t="str">
        <x:v>Current NGF/GOLF.NL listing: 9 holes, par 34, 2740 metres. Listed as qualifying.</x:v>
      </x:c>
    </x:row>
    <x:row r="171">
      <x:c r="A171" s="30" t="str">
        <x:v>NL-C0108</x:v>
      </x:c>
      <x:c r="B171" s="30" t="str">
        <x:v>NL-0170</x:v>
      </x:c>
      <x:c r="C171" s="30" t="str">
        <x:v>Golf Parc De Pettelaar</x:v>
      </x:c>
      <x:c r="D171" s="30" t="str">
        <x:v>Golf Parc De Pettelaar</x:v>
      </x:c>
      <x:c r="E171" s="30" t="str">
        <x:v>Course</x:v>
      </x:c>
      <x:c r="F171" s="30" t="str">
        <x:v>Netherlands</x:v>
      </x:c>
      <x:c r="G171" s="30" t="str">
        <x:v>Noord-Brabant</x:v>
      </x:c>
      <x:c r="H171" s="30" t="str">
        <x:v>'s-Hertogenbosch</x:v>
      </x:c>
      <x:c r="I171" s="30" t="str">
        <x:v>'s-Hertogenbosch</x:v>
      </x:c>
      <x:c r="J171" s="30" t="str">
        <x:v>Meerendonkweg 2</x:v>
      </x:c>
      <x:c r="K171" s="30" t="str">
        <x:v>5216 TZ</x:v>
      </x:c>
      <x:c r="L171" s="32" t="n">
        <x:v>51.67810109</x:v>
      </x:c>
      <x:c r="M171" s="32" t="n">
        <x:v>5.33770002</x:v>
      </x:c>
      <x:c r="N171" s="30" t="str">
        <x:v>WGS84 / EPSG:4326</x:v>
      </x:c>
      <x:c r="O171" s="30" t="str">
        <x:v>Verified BAG address point via PDOK</x:v>
      </x:c>
      <x:c r="P171" s="30" t="str">
        <x:v>2026-08-15</x:v>
      </x:c>
      <x:c r="Q171" s="33" t="n">
        <x:f>IF(R171="","",ROUND(R171/0.9144,0))</x:f>
        <x:v>3621</x:v>
      </x:c>
      <x:c r="R171" s="33" t="n">
        <x:v>3311</x:v>
      </x:c>
      <x:c r="S171" s="33" t="n">
        <x:v>9</x:v>
      </x:c>
      <x:c r="T171" s="33" t="n">
        <x:v>29</x:v>
      </x:c>
      <x:c r="U171" s="30" t="str">
        <x:v>Par-3/4 course</x:v>
      </x:c>
      <x:c r="V171" s="30"/>
      <x:c r="W171" s="30"/>
      <x:c r="X171" s="30"/>
      <x:c r="Y171" s="30" t="str">
        <x:v>https://www.golfparcdepettelaar.nl/</x:v>
      </x:c>
      <x:c r="Z171" s="30" t="b">
        <x:f>IF(AND(F171="Netherlands",ISNUMBER(L171),ISNUMBER(M171),L171&gt;=50.7,L171&lt;=53.7,M171&gt;=3.2,M171&lt;=7.3,AC171&lt;&gt;"Closed"),TRUE,FALSE)</x:f>
        <x:v>1</x:v>
      </x:c>
      <x:c r="AA171" s="30" t="b">
        <x:f>Z171</x:f>
        <x:v>1</x:v>
      </x:c>
      <x:c r="AB171" s="30" t="str">
        <x:f>IF(Z171,"verified_coordinate_and_open","not_map_ready")</x:f>
        <x:v>verified_coordinate_and_open</x:v>
      </x:c>
      <x:c r="AC171" s="30" t="str">
        <x:v>Open</x:v>
      </x:c>
      <x:c r="AD171" s="30" t="str">
        <x:v>Public — NGF course permission</x:v>
      </x:c>
      <x:c r="AE171" s="31" t="b">
        <x:v>1</x:v>
      </x:c>
      <x:c r="AF171" s="31" t="b">
        <x:v>0</x:v>
      </x:c>
      <x:c r="AG171" s="30"/>
      <x:c r="AH171" s="30"/>
      <x:c r="AI171" s="30"/>
      <x:c r="AJ171" s="31" t="b">
        <x:v>0</x:v>
      </x:c>
      <x:c r="AK171" s="31" t="b">
        <x:v>0</x:v>
      </x:c>
      <x:c r="AL171" s="30" t="str">
        <x:v>Verified — national register and exact BAG address</x:v>
      </x:c>
      <x:c r="AM171" s="30" t="str">
        <x:v>https://www.golf.nl/de-baan-op/banenzoeker/overzicht</x:v>
      </x:c>
      <x:c r="AN171" s="30" t="str">
        <x:v>2026-08-15</x:v>
      </x:c>
      <x:c r="AO171" s="30" t="str">
        <x:v>+31 73-6136630</x:v>
      </x:c>
      <x:c r="AP171" s="30" t="str">
        <x:v>Current NGF/GOLF.NL listing: 9 holes, par 29, 3311 metres. Listed as qualifying.</x:v>
      </x:c>
    </x:row>
    <x:row r="172">
      <x:c r="A172" s="30" t="str">
        <x:v>NL-C0109</x:v>
      </x:c>
      <x:c r="B172" s="30" t="str">
        <x:v>NL-0171</x:v>
      </x:c>
      <x:c r="C172" s="30" t="str">
        <x:v>Golfbaan De Swinkelsche — Main Course</x:v>
      </x:c>
      <x:c r="D172" s="30" t="str">
        <x:v>Golfbaan De Swinkelsche</x:v>
      </x:c>
      <x:c r="E172" s="30" t="str">
        <x:v>Main Course</x:v>
      </x:c>
      <x:c r="F172" s="30" t="str">
        <x:v>Netherlands</x:v>
      </x:c>
      <x:c r="G172" s="30" t="str">
        <x:v>Noord-Brabant</x:v>
      </x:c>
      <x:c r="H172" s="30" t="str">
        <x:v>Someren</x:v>
      </x:c>
      <x:c r="I172" s="30" t="str">
        <x:v>Someren</x:v>
      </x:c>
      <x:c r="J172" s="30" t="str">
        <x:v>Maarheezerdijk 12</x:v>
      </x:c>
      <x:c r="K172" s="30" t="str">
        <x:v>5712 PC</x:v>
      </x:c>
      <x:c r="L172" s="32" t="n">
        <x:v>51.37389146</x:v>
      </x:c>
      <x:c r="M172" s="32" t="n">
        <x:v>5.66731292</x:v>
      </x:c>
      <x:c r="N172" s="30" t="str">
        <x:v>WGS84 / EPSG:4326</x:v>
      </x:c>
      <x:c r="O172" s="30" t="str">
        <x:v>Verified BAG address point via PDOK</x:v>
      </x:c>
      <x:c r="P172" s="30" t="str">
        <x:v>2026-08-15</x:v>
      </x:c>
      <x:c r="Q172" s="33" t="n">
        <x:f>IF(R172="","",ROUND(R172/0.9144,0))</x:f>
        <x:v>7000</x:v>
      </x:c>
      <x:c r="R172" s="33" t="n">
        <x:v>6401</x:v>
      </x:c>
      <x:c r="S172" s="33" t="n">
        <x:v>18</x:v>
      </x:c>
      <x:c r="T172" s="33" t="n">
        <x:v>72</x:v>
      </x:c>
      <x:c r="U172" s="30" t="str">
        <x:v>Full-length course</x:v>
      </x:c>
      <x:c r="V172" s="30"/>
      <x:c r="W172" s="30"/>
      <x:c r="X172" s="30"/>
      <x:c r="Y172" s="30" t="str">
        <x:v>https://www.golfbaandeswinkelsche.nl/</x:v>
      </x:c>
      <x:c r="Z172" s="30" t="b">
        <x:f>IF(AND(F172="Netherlands",ISNUMBER(L172),ISNUMBER(M172),L172&gt;=50.7,L172&lt;=53.7,M172&gt;=3.2,M172&lt;=7.3,AC172&lt;&gt;"Closed"),TRUE,FALSE)</x:f>
        <x:v>1</x:v>
      </x:c>
      <x:c r="AA172" s="30" t="b">
        <x:f>Z172</x:f>
        <x:v>1</x:v>
      </x:c>
      <x:c r="AB172" s="30" t="str">
        <x:f>IF(Z172,"verified_coordinate_and_open","not_map_ready")</x:f>
        <x:v>verified_coordinate_and_open</x:v>
      </x:c>
      <x:c r="AC172" s="30" t="str">
        <x:v>Open</x:v>
      </x:c>
      <x:c r="AD172" s="30" t="str">
        <x:v>Public — handicap 54 or lower</x:v>
      </x:c>
      <x:c r="AE172" s="31" t="b">
        <x:v>1</x:v>
      </x:c>
      <x:c r="AF172" s="31" t="b">
        <x:v>0</x:v>
      </x:c>
      <x:c r="AG172" s="30"/>
      <x:c r="AH172" s="30"/>
      <x:c r="AI172" s="30"/>
      <x:c r="AJ172" s="31" t="b">
        <x:v>0</x:v>
      </x:c>
      <x:c r="AK172" s="31" t="b">
        <x:v>0</x:v>
      </x:c>
      <x:c r="AL172" s="30" t="str">
        <x:v>Verified — national register and exact BAG address</x:v>
      </x:c>
      <x:c r="AM172" s="30" t="str">
        <x:v>https://www.golf.nl/de-baan-op/banenzoeker/overzicht</x:v>
      </x:c>
      <x:c r="AN172" s="30" t="str">
        <x:v>2026-08-15</x:v>
      </x:c>
      <x:c r="AO172" s="30" t="str">
        <x:v>+31 493-494422</x:v>
      </x:c>
      <x:c r="AP172" s="30" t="str">
        <x:v>Current NGF/GOLF.NL listing: 18 holes, par 72, 6401 metres. Combined from exact NGF-listed constituent nine-hole loops: 1ste negen (9 holes, par 36, 3165 m); 2de negen (9 holes, par 36, 3236 m) Listed as qualifying.</x:v>
      </x:c>
    </x:row>
    <x:row r="173">
      <x:c r="A173" s="30" t="str">
        <x:v>NL-C0109</x:v>
      </x:c>
      <x:c r="B173" s="30" t="str">
        <x:v>NL-0172</x:v>
      </x:c>
      <x:c r="C173" s="30" t="str">
        <x:v>Golfbaan De Swinkelsche — Peelrijtbaan</x:v>
      </x:c>
      <x:c r="D173" s="30" t="str">
        <x:v>Golfbaan De Swinkelsche</x:v>
      </x:c>
      <x:c r="E173" s="30" t="str">
        <x:v>Peelrijtbaan</x:v>
      </x:c>
      <x:c r="F173" s="30" t="str">
        <x:v>Netherlands</x:v>
      </x:c>
      <x:c r="G173" s="30" t="str">
        <x:v>Noord-Brabant</x:v>
      </x:c>
      <x:c r="H173" s="30" t="str">
        <x:v>Someren</x:v>
      </x:c>
      <x:c r="I173" s="30" t="str">
        <x:v>Someren</x:v>
      </x:c>
      <x:c r="J173" s="30" t="str">
        <x:v>Maarheezerdijk 12</x:v>
      </x:c>
      <x:c r="K173" s="30" t="str">
        <x:v>5712 PC</x:v>
      </x:c>
      <x:c r="L173" s="32" t="n">
        <x:v>51.37389146</x:v>
      </x:c>
      <x:c r="M173" s="32" t="n">
        <x:v>5.66731292</x:v>
      </x:c>
      <x:c r="N173" s="30" t="str">
        <x:v>WGS84 / EPSG:4326</x:v>
      </x:c>
      <x:c r="O173" s="30" t="str">
        <x:v>Verified BAG address point via PDOK</x:v>
      </x:c>
      <x:c r="P173" s="30" t="str">
        <x:v>2026-08-15</x:v>
      </x:c>
      <x:c r="Q173" s="33" t="n">
        <x:f>IF(R173="","",ROUND(R173/0.9144,0))</x:f>
        <x:v>842</x:v>
      </x:c>
      <x:c r="R173" s="33" t="n">
        <x:v>770</x:v>
      </x:c>
      <x:c r="S173" s="33" t="n">
        <x:v>9</x:v>
      </x:c>
      <x:c r="T173" s="33" t="n">
        <x:v>27</x:v>
      </x:c>
      <x:c r="U173" s="30" t="str">
        <x:v>Par-3 course</x:v>
      </x:c>
      <x:c r="V173" s="30"/>
      <x:c r="W173" s="30"/>
      <x:c r="X173" s="30"/>
      <x:c r="Y173" s="30" t="str">
        <x:v>https://www.golfbaandeswinkelsche.nl/</x:v>
      </x:c>
      <x:c r="Z173" s="30" t="b">
        <x:f>IF(AND(F173="Netherlands",ISNUMBER(L173),ISNUMBER(M173),L173&gt;=50.7,L173&lt;=53.7,M173&gt;=3.2,M173&lt;=7.3,AC173&lt;&gt;"Closed"),TRUE,FALSE)</x:f>
        <x:v>1</x:v>
      </x:c>
      <x:c r="AA173" s="30" t="b">
        <x:f>Z173</x:f>
        <x:v>1</x:v>
      </x:c>
      <x:c r="AB173" s="30" t="str">
        <x:f>IF(Z173,"verified_coordinate_and_open","not_map_ready")</x:f>
        <x:v>verified_coordinate_and_open</x:v>
      </x:c>
      <x:c r="AC173" s="30" t="str">
        <x:v>Open</x:v>
      </x:c>
      <x:c r="AD173" s="30" t="str">
        <x:v>Public — NGF course permission</x:v>
      </x:c>
      <x:c r="AE173" s="31" t="b">
        <x:v>1</x:v>
      </x:c>
      <x:c r="AF173" s="31" t="b">
        <x:v>0</x:v>
      </x:c>
      <x:c r="AG173" s="30"/>
      <x:c r="AH173" s="30"/>
      <x:c r="AI173" s="30"/>
      <x:c r="AJ173" s="31" t="b">
        <x:v>0</x:v>
      </x:c>
      <x:c r="AK173" s="31" t="b">
        <x:v>0</x:v>
      </x:c>
      <x:c r="AL173" s="30" t="str">
        <x:v>Verified — national register and exact BAG address</x:v>
      </x:c>
      <x:c r="AM173" s="30" t="str">
        <x:v>https://www.golf.nl/de-baan-op/banenzoeker/overzicht</x:v>
      </x:c>
      <x:c r="AN173" s="30" t="str">
        <x:v>2026-08-15</x:v>
      </x:c>
      <x:c r="AO173" s="30" t="str">
        <x:v>+31 493-494422</x:v>
      </x:c>
      <x:c r="AP173" s="30" t="str">
        <x:v>Current NGF/GOLF.NL listing: 9 holes, par 27, 770 metres. Listed as qualifying.</x:v>
      </x:c>
    </x:row>
    <x:row r="174">
      <x:c r="A174" s="30" t="str">
        <x:v>NL-C0110</x:v>
      </x:c>
      <x:c r="B174" s="30" t="str">
        <x:v>NL-0173</x:v>
      </x:c>
      <x:c r="C174" s="30" t="str">
        <x:v>Golfbaan Het Woold — Gezandebaan</x:v>
      </x:c>
      <x:c r="D174" s="30" t="str">
        <x:v>Golfbaan Het Woold</x:v>
      </x:c>
      <x:c r="E174" s="30" t="str">
        <x:v>Gezandebaan</x:v>
      </x:c>
      <x:c r="F174" s="30" t="str">
        <x:v>Netherlands</x:v>
      </x:c>
      <x:c r="G174" s="30" t="str">
        <x:v>Noord-Brabant</x:v>
      </x:c>
      <x:c r="H174" s="30" t="str">
        <x:v>Asten</x:v>
      </x:c>
      <x:c r="I174" s="30" t="str">
        <x:v>Heusden</x:v>
      </x:c>
      <x:c r="J174" s="30" t="str">
        <x:v>Gezandebaan 46a</x:v>
      </x:c>
      <x:c r="K174" s="30" t="str">
        <x:v>5725 TN</x:v>
      </x:c>
      <x:c r="L174" s="32" t="n">
        <x:v>51.36558068</x:v>
      </x:c>
      <x:c r="M174" s="32" t="n">
        <x:v>5.77457127</x:v>
      </x:c>
      <x:c r="N174" s="30" t="str">
        <x:v>WGS84 / EPSG:4326</x:v>
      </x:c>
      <x:c r="O174" s="30" t="str">
        <x:v>Verified BAG address point via PDOK</x:v>
      </x:c>
      <x:c r="P174" s="30" t="str">
        <x:v>2026-08-15</x:v>
      </x:c>
      <x:c r="Q174" s="33" t="n">
        <x:f>IF(R174="","",ROUND(R174/0.9144,0))</x:f>
        <x:v>926</x:v>
      </x:c>
      <x:c r="R174" s="33" t="n">
        <x:v>847</x:v>
      </x:c>
      <x:c r="S174" s="33" t="n">
        <x:v>9</x:v>
      </x:c>
      <x:c r="T174" s="33" t="n">
        <x:v>27</x:v>
      </x:c>
      <x:c r="U174" s="30" t="str">
        <x:v>Par-3 course</x:v>
      </x:c>
      <x:c r="V174" s="30"/>
      <x:c r="W174" s="30"/>
      <x:c r="X174" s="30"/>
      <x:c r="Y174" s="30" t="str">
        <x:v>https://golfbaanhetwoold.nl/</x:v>
      </x:c>
      <x:c r="Z174" s="30" t="b">
        <x:f>IF(AND(F174="Netherlands",ISNUMBER(L174),ISNUMBER(M174),L174&gt;=50.7,L174&lt;=53.7,M174&gt;=3.2,M174&lt;=7.3,AC174&lt;&gt;"Closed"),TRUE,FALSE)</x:f>
        <x:v>1</x:v>
      </x:c>
      <x:c r="AA174" s="30" t="b">
        <x:f>Z174</x:f>
        <x:v>1</x:v>
      </x:c>
      <x:c r="AB174" s="30" t="str">
        <x:f>IF(Z174,"verified_coordinate_and_open","not_map_ready")</x:f>
        <x:v>verified_coordinate_and_open</x:v>
      </x:c>
      <x:c r="AC174" s="30" t="str">
        <x:v>Open</x:v>
      </x:c>
      <x:c r="AD174" s="30" t="str">
        <x:v>Public — NGF course permission</x:v>
      </x:c>
      <x:c r="AE174" s="31" t="b">
        <x:v>1</x:v>
      </x:c>
      <x:c r="AF174" s="31" t="b">
        <x:v>0</x:v>
      </x:c>
      <x:c r="AG174" s="30"/>
      <x:c r="AH174" s="30"/>
      <x:c r="AI174" s="30"/>
      <x:c r="AJ174" s="31" t="b">
        <x:v>0</x:v>
      </x:c>
      <x:c r="AK174" s="31" t="b">
        <x:v>0</x:v>
      </x:c>
      <x:c r="AL174" s="30" t="str">
        <x:v>Verified — national register and exact BAG address</x:v>
      </x:c>
      <x:c r="AM174" s="30" t="str">
        <x:v>https://www.golf.nl/de-baan-op/banenzoeker/overzicht</x:v>
      </x:c>
      <x:c r="AN174" s="30" t="str">
        <x:v>2026-08-15</x:v>
      </x:c>
      <x:c r="AO174" s="30" t="str">
        <x:v>+31 493-560462</x:v>
      </x:c>
      <x:c r="AP174" s="30" t="str">
        <x:v>Current NGF/GOLF.NL listing: 9 holes, par 27, 847 metres. Listed as qualifying.</x:v>
      </x:c>
    </x:row>
    <x:row r="175">
      <x:c r="A175" s="30" t="str">
        <x:v>NL-C0110</x:v>
      </x:c>
      <x:c r="B175" s="30" t="str">
        <x:v>NL-0174</x:v>
      </x:c>
      <x:c r="C175" s="30" t="str">
        <x:v>Golfbaan Het Woold — Vier Eijckenbaan</x:v>
      </x:c>
      <x:c r="D175" s="30" t="str">
        <x:v>Golfbaan Het Woold</x:v>
      </x:c>
      <x:c r="E175" s="30" t="str">
        <x:v>Vier Eijckenbaan</x:v>
      </x:c>
      <x:c r="F175" s="30" t="str">
        <x:v>Netherlands</x:v>
      </x:c>
      <x:c r="G175" s="30" t="str">
        <x:v>Noord-Brabant</x:v>
      </x:c>
      <x:c r="H175" s="30" t="str">
        <x:v>Asten</x:v>
      </x:c>
      <x:c r="I175" s="30" t="str">
        <x:v>Heusden</x:v>
      </x:c>
      <x:c r="J175" s="30" t="str">
        <x:v>Gezandebaan 46a</x:v>
      </x:c>
      <x:c r="K175" s="30" t="str">
        <x:v>5725 TN</x:v>
      </x:c>
      <x:c r="L175" s="32" t="n">
        <x:v>51.36558068</x:v>
      </x:c>
      <x:c r="M175" s="32" t="n">
        <x:v>5.77457127</x:v>
      </x:c>
      <x:c r="N175" s="30" t="str">
        <x:v>WGS84 / EPSG:4326</x:v>
      </x:c>
      <x:c r="O175" s="30" t="str">
        <x:v>Verified BAG address point via PDOK</x:v>
      </x:c>
      <x:c r="P175" s="30" t="str">
        <x:v>2026-08-15</x:v>
      </x:c>
      <x:c r="Q175" s="33" t="n">
        <x:f>IF(R175="","",ROUND(R175/0.9144,0))</x:f>
        <x:v>6819</x:v>
      </x:c>
      <x:c r="R175" s="33" t="n">
        <x:v>6235</x:v>
      </x:c>
      <x:c r="S175" s="33" t="n">
        <x:v>18</x:v>
      </x:c>
      <x:c r="T175" s="33" t="n">
        <x:v>72</x:v>
      </x:c>
      <x:c r="U175" s="30" t="str">
        <x:v>Full-length course</x:v>
      </x:c>
      <x:c r="V175" s="30"/>
      <x:c r="W175" s="30"/>
      <x:c r="X175" s="30"/>
      <x:c r="Y175" s="30" t="str">
        <x:v>https://golfbaanhetwoold.nl/</x:v>
      </x:c>
      <x:c r="Z175" s="30" t="b">
        <x:f>IF(AND(F175="Netherlands",ISNUMBER(L175),ISNUMBER(M175),L175&gt;=50.7,L175&lt;=53.7,M175&gt;=3.2,M175&lt;=7.3,AC175&lt;&gt;"Closed"),TRUE,FALSE)</x:f>
        <x:v>1</x:v>
      </x:c>
      <x:c r="AA175" s="30" t="b">
        <x:f>Z175</x:f>
        <x:v>1</x:v>
      </x:c>
      <x:c r="AB175" s="30" t="str">
        <x:f>IF(Z175,"verified_coordinate_and_open","not_map_ready")</x:f>
        <x:v>verified_coordinate_and_open</x:v>
      </x:c>
      <x:c r="AC175" s="30" t="str">
        <x:v>Open</x:v>
      </x:c>
      <x:c r="AD175" s="30" t="str">
        <x:v>Public — handicap 54 or lower</x:v>
      </x:c>
      <x:c r="AE175" s="31" t="b">
        <x:v>1</x:v>
      </x:c>
      <x:c r="AF175" s="31" t="b">
        <x:v>0</x:v>
      </x:c>
      <x:c r="AG175" s="30"/>
      <x:c r="AH175" s="30"/>
      <x:c r="AI175" s="30"/>
      <x:c r="AJ175" s="31" t="b">
        <x:v>0</x:v>
      </x:c>
      <x:c r="AK175" s="31" t="b">
        <x:v>0</x:v>
      </x:c>
      <x:c r="AL175" s="30" t="str">
        <x:v>Verified — national register and exact BAG address</x:v>
      </x:c>
      <x:c r="AM175" s="30" t="str">
        <x:v>https://www.golf.nl/de-baan-op/banenzoeker/overzicht</x:v>
      </x:c>
      <x:c r="AN175" s="30" t="str">
        <x:v>2026-08-15</x:v>
      </x:c>
      <x:c r="AO175" s="30" t="str">
        <x:v>+31 493-560462</x:v>
      </x:c>
      <x:c r="AP175" s="30" t="str">
        <x:v>Current NGF/GOLF.NL listing: 18 holes, par 72, 6235 metres. Combined from exact NGF-listed constituent nine-hole loops: Vier Eijckenbaan 1ste negen (9 holes, par 36, 3169 m); Vier Eijckenbaan 2de negen (9 holes, par 36, 3066 m) Listed as qualifying.</x:v>
      </x:c>
    </x:row>
    <x:row r="176">
      <x:c r="A176" s="30" t="str">
        <x:v>NL-C0111</x:v>
      </x:c>
      <x:c r="B176" s="30" t="str">
        <x:v>NL-0175</x:v>
      </x:c>
      <x:c r="C176" s="30" t="str">
        <x:v>Golfbaan Hof van Heden — Shortgolf / Pitch &amp; Putt Course</x:v>
      </x:c>
      <x:c r="D176" s="30" t="str">
        <x:v>Golfbaan Hof van Heden</x:v>
      </x:c>
      <x:c r="E176" s="30" t="str">
        <x:v>Shortgolf / Pitch &amp; Putt Course</x:v>
      </x:c>
      <x:c r="F176" s="30" t="str">
        <x:v>Netherlands</x:v>
      </x:c>
      <x:c r="G176" s="30" t="str">
        <x:v>Noord-Brabant</x:v>
      </x:c>
      <x:c r="H176" s="30" t="str">
        <x:v>Bergeijk</x:v>
      </x:c>
      <x:c r="I176" s="30" t="str">
        <x:v>Bergeijk</x:v>
      </x:c>
      <x:c r="J176" s="30" t="str">
        <x:v>Witrijt 10</x:v>
      </x:c>
      <x:c r="K176" s="30" t="str">
        <x:v>5571 XH</x:v>
      </x:c>
      <x:c r="L176" s="32" t="n">
        <x:v>51.31172431</x:v>
      </x:c>
      <x:c r="M176" s="32" t="n">
        <x:v>5.26229913</x:v>
      </x:c>
      <x:c r="N176" s="30" t="str">
        <x:v>WGS84 / EPSG:4326</x:v>
      </x:c>
      <x:c r="O176" s="30" t="str">
        <x:v>Verified BAG address point via PDOK</x:v>
      </x:c>
      <x:c r="P176" s="30" t="str">
        <x:v>2026-08-15</x:v>
      </x:c>
      <x:c r="Q176" s="33" t="n">
        <x:f>IF(R176="","",ROUND(R176/0.9144,0))</x:f>
        <x:v>948</x:v>
      </x:c>
      <x:c r="R176" s="33" t="n">
        <x:v>867</x:v>
      </x:c>
      <x:c r="S176" s="33" t="n">
        <x:v>18</x:v>
      </x:c>
      <x:c r="T176" s="33" t="n">
        <x:v>54</x:v>
      </x:c>
      <x:c r="U176" s="30" t="str">
        <x:v>Shortgolf / Pitch &amp; Putt</x:v>
      </x:c>
      <x:c r="V176" s="30"/>
      <x:c r="W176" s="30"/>
      <x:c r="X176" s="30"/>
      <x:c r="Y176" s="30" t="str">
        <x:v>https://hofvanheden.nl/</x:v>
      </x:c>
      <x:c r="Z176" s="30" t="b">
        <x:f>IF(AND(F176="Netherlands",ISNUMBER(L176),ISNUMBER(M176),L176&gt;=50.7,L176&lt;=53.7,M176&gt;=3.2,M176&lt;=7.3,AC176&lt;&gt;"Closed"),TRUE,FALSE)</x:f>
        <x:v>1</x:v>
      </x:c>
      <x:c r="AA176" s="30" t="b">
        <x:f>Z176</x:f>
        <x:v>1</x:v>
      </x:c>
      <x:c r="AB176" s="30" t="str">
        <x:f>IF(Z176,"verified_coordinate_and_open","not_map_ready")</x:f>
        <x:v>verified_coordinate_and_open</x:v>
      </x:c>
      <x:c r="AC176" s="30" t="str">
        <x:v>Open</x:v>
      </x:c>
      <x:c r="AD176" s="30" t="str">
        <x:v>Public — no playing requirement</x:v>
      </x:c>
      <x:c r="AE176" s="31" t="b">
        <x:v>0</x:v>
      </x:c>
      <x:c r="AF176" s="31" t="b">
        <x:v>0</x:v>
      </x:c>
      <x:c r="AG176" s="30"/>
      <x:c r="AH176" s="30"/>
      <x:c r="AI176" s="30"/>
      <x:c r="AJ176" s="31" t="b">
        <x:v>0</x:v>
      </x:c>
      <x:c r="AK176" s="31" t="b">
        <x:v>0</x:v>
      </x:c>
      <x:c r="AL176" s="30" t="str">
        <x:v>Verified — national register and exact BAG address</x:v>
      </x:c>
      <x:c r="AM176" s="30" t="str">
        <x:v>https://www.golf.nl/de-baan-op/banenzoeker/overzicht</x:v>
      </x:c>
      <x:c r="AN176" s="30" t="str">
        <x:v>2026-08-15</x:v>
      </x:c>
      <x:c r="AO176" s="30" t="str">
        <x:v>+31 49-7367371</x:v>
      </x:c>
      <x:c r="AP176" s="30" t="str">
        <x:v>Current NGF/GOLF.NL listing: 18 holes, par 54, 867 metres. Combined from exact NGF-listed constituent nine-hole loops: 1ste negen (9 holes, par 27, 424 m); 2de negen (9 holes, par 27, 443 m) Listed as non-qualifying.</x:v>
      </x:c>
    </x:row>
    <x:row r="177">
      <x:c r="A177" s="30" t="str">
        <x:v>NL-C0112</x:v>
      </x:c>
      <x:c r="B177" s="30" t="str">
        <x:v>NL-0176</x:v>
      </x:c>
      <x:c r="C177" s="30" t="str">
        <x:v>Golfbaan Landgoed Bergvliet — Lus A</x:v>
      </x:c>
      <x:c r="D177" s="30" t="str">
        <x:v>Golfbaan Landgoed Bergvliet</x:v>
      </x:c>
      <x:c r="E177" s="30" t="str">
        <x:v>Lus A</x:v>
      </x:c>
      <x:c r="F177" s="30" t="str">
        <x:v>Netherlands</x:v>
      </x:c>
      <x:c r="G177" s="30" t="str">
        <x:v>Noord-Brabant</x:v>
      </x:c>
      <x:c r="H177" s="30" t="str">
        <x:v>Oosterhout</x:v>
      </x:c>
      <x:c r="I177" s="30" t="str">
        <x:v>Oosterhout</x:v>
      </x:c>
      <x:c r="J177" s="30" t="str">
        <x:v>Salesdreef 2</x:v>
      </x:c>
      <x:c r="K177" s="30" t="str">
        <x:v>4904 SW</x:v>
      </x:c>
      <x:c r="L177" s="32" t="n">
        <x:v>51.63550295</x:v>
      </x:c>
      <x:c r="M177" s="32" t="n">
        <x:v>4.79484345</x:v>
      </x:c>
      <x:c r="N177" s="30" t="str">
        <x:v>WGS84 / EPSG:4326</x:v>
      </x:c>
      <x:c r="O177" s="30" t="str">
        <x:v>Verified BAG address point via PDOK</x:v>
      </x:c>
      <x:c r="P177" s="30" t="str">
        <x:v>2026-08-15</x:v>
      </x:c>
      <x:c r="Q177" s="33" t="n">
        <x:f>IF(R177="","",ROUND(R177/0.9144,0))</x:f>
        <x:v>3348</x:v>
      </x:c>
      <x:c r="R177" s="33" t="n">
        <x:v>3061</x:v>
      </x:c>
      <x:c r="S177" s="33" t="n">
        <x:v>9</x:v>
      </x:c>
      <x:c r="T177" s="33" t="n">
        <x:v>36</x:v>
      </x:c>
      <x:c r="U177" s="30" t="str">
        <x:v>Full-length course</x:v>
      </x:c>
      <x:c r="V177" s="30"/>
      <x:c r="W177" s="30"/>
      <x:c r="X177" s="30"/>
      <x:c r="Y177" s="30" t="str">
        <x:v>https://www.landgoedbergvliet.nl/</x:v>
      </x:c>
      <x:c r="Z177" s="30" t="b">
        <x:f>IF(AND(F177="Netherlands",ISNUMBER(L177),ISNUMBER(M177),L177&gt;=50.7,L177&lt;=53.7,M177&gt;=3.2,M177&lt;=7.3,AC177&lt;&gt;"Closed"),TRUE,FALSE)</x:f>
        <x:v>1</x:v>
      </x:c>
      <x:c r="AA177" s="30" t="b">
        <x:f>Z177</x:f>
        <x:v>1</x:v>
      </x:c>
      <x:c r="AB177" s="30" t="str">
        <x:f>IF(Z177,"verified_coordinate_and_open","not_map_ready")</x:f>
        <x:v>verified_coordinate_and_open</x:v>
      </x:c>
      <x:c r="AC177" s="30" t="str">
        <x:v>Open</x:v>
      </x:c>
      <x:c r="AD177" s="30" t="str">
        <x:v>Public — handicap 54 or lower</x:v>
      </x:c>
      <x:c r="AE177" s="31" t="b">
        <x:v>1</x:v>
      </x:c>
      <x:c r="AF177" s="31" t="b">
        <x:v>0</x:v>
      </x:c>
      <x:c r="AG177" s="30"/>
      <x:c r="AH177" s="30"/>
      <x:c r="AI177" s="30"/>
      <x:c r="AJ177" s="31" t="b">
        <x:v>0</x:v>
      </x:c>
      <x:c r="AK177" s="31" t="b">
        <x:v>0</x:v>
      </x:c>
      <x:c r="AL177" s="30" t="str">
        <x:v>Verified — national register and exact BAG address</x:v>
      </x:c>
      <x:c r="AM177" s="30" t="str">
        <x:v>https://www.golf.nl/de-baan-op/banenzoeker/overzicht</x:v>
      </x:c>
      <x:c r="AN177" s="30" t="str">
        <x:v>2026-08-15</x:v>
      </x:c>
      <x:c r="AO177" s="30" t="str">
        <x:v>+31 76-5795666</x:v>
      </x:c>
      <x:c r="AP177" s="30" t="str">
        <x:v>Current NGF/GOLF.NL listing: 9 holes, par 36, 3061 metres. Listed as qualifying.</x:v>
      </x:c>
    </x:row>
    <x:row r="178">
      <x:c r="A178" s="30" t="str">
        <x:v>NL-C0112</x:v>
      </x:c>
      <x:c r="B178" s="30" t="str">
        <x:v>NL-0177</x:v>
      </x:c>
      <x:c r="C178" s="30" t="str">
        <x:v>Golfbaan Landgoed Bergvliet — Lus B</x:v>
      </x:c>
      <x:c r="D178" s="30" t="str">
        <x:v>Golfbaan Landgoed Bergvliet</x:v>
      </x:c>
      <x:c r="E178" s="30" t="str">
        <x:v>Lus B</x:v>
      </x:c>
      <x:c r="F178" s="30" t="str">
        <x:v>Netherlands</x:v>
      </x:c>
      <x:c r="G178" s="30" t="str">
        <x:v>Noord-Brabant</x:v>
      </x:c>
      <x:c r="H178" s="30" t="str">
        <x:v>Oosterhout</x:v>
      </x:c>
      <x:c r="I178" s="30" t="str">
        <x:v>Oosterhout</x:v>
      </x:c>
      <x:c r="J178" s="30" t="str">
        <x:v>Salesdreef 2</x:v>
      </x:c>
      <x:c r="K178" s="30" t="str">
        <x:v>4904 SW</x:v>
      </x:c>
      <x:c r="L178" s="32" t="n">
        <x:v>51.63550295</x:v>
      </x:c>
      <x:c r="M178" s="32" t="n">
        <x:v>4.79484345</x:v>
      </x:c>
      <x:c r="N178" s="30" t="str">
        <x:v>WGS84 / EPSG:4326</x:v>
      </x:c>
      <x:c r="O178" s="30" t="str">
        <x:v>Verified BAG address point via PDOK</x:v>
      </x:c>
      <x:c r="P178" s="30" t="str">
        <x:v>2026-08-15</x:v>
      </x:c>
      <x:c r="Q178" s="33" t="n">
        <x:f>IF(R178="","",ROUND(R178/0.9144,0))</x:f>
        <x:v>3135</x:v>
      </x:c>
      <x:c r="R178" s="33" t="n">
        <x:v>2867</x:v>
      </x:c>
      <x:c r="S178" s="33" t="n">
        <x:v>9</x:v>
      </x:c>
      <x:c r="T178" s="33" t="n">
        <x:v>35</x:v>
      </x:c>
      <x:c r="U178" s="30" t="str">
        <x:v>Full-length course</x:v>
      </x:c>
      <x:c r="V178" s="30"/>
      <x:c r="W178" s="30"/>
      <x:c r="X178" s="30"/>
      <x:c r="Y178" s="30" t="str">
        <x:v>https://www.landgoedbergvliet.nl/</x:v>
      </x:c>
      <x:c r="Z178" s="30" t="b">
        <x:f>IF(AND(F178="Netherlands",ISNUMBER(L178),ISNUMBER(M178),L178&gt;=50.7,L178&lt;=53.7,M178&gt;=3.2,M178&lt;=7.3,AC178&lt;&gt;"Closed"),TRUE,FALSE)</x:f>
        <x:v>1</x:v>
      </x:c>
      <x:c r="AA178" s="30" t="b">
        <x:f>Z178</x:f>
        <x:v>1</x:v>
      </x:c>
      <x:c r="AB178" s="30" t="str">
        <x:f>IF(Z178,"verified_coordinate_and_open","not_map_ready")</x:f>
        <x:v>verified_coordinate_and_open</x:v>
      </x:c>
      <x:c r="AC178" s="30" t="str">
        <x:v>Open</x:v>
      </x:c>
      <x:c r="AD178" s="30" t="str">
        <x:v>Public — handicap 54 or lower</x:v>
      </x:c>
      <x:c r="AE178" s="31" t="b">
        <x:v>1</x:v>
      </x:c>
      <x:c r="AF178" s="31" t="b">
        <x:v>0</x:v>
      </x:c>
      <x:c r="AG178" s="30"/>
      <x:c r="AH178" s="30"/>
      <x:c r="AI178" s="30"/>
      <x:c r="AJ178" s="31" t="b">
        <x:v>0</x:v>
      </x:c>
      <x:c r="AK178" s="31" t="b">
        <x:v>0</x:v>
      </x:c>
      <x:c r="AL178" s="30" t="str">
        <x:v>Verified — national register and exact BAG address</x:v>
      </x:c>
      <x:c r="AM178" s="30" t="str">
        <x:v>https://18birdies.com/golf-courses/club/d0fdd330-86ac-11e4-8c28-020000005b00/landgoed-bergvliet</x:v>
      </x:c>
      <x:c r="AN178" s="30" t="str">
        <x:v>2026-08-15</x:v>
      </x:c>
      <x:c r="AO178" s="30" t="str">
        <x:v>+31 76-5795666</x:v>
      </x:c>
      <x:c r="AP178" s="30" t="str">
        <x:v>Current NGF/GOLF.NL listing: 9 holes, par 35, 2867 metres. Exact published scorecard totals the back nine at par 35. The national overview's par-45 value was not retained. Listed as qualifying.</x:v>
      </x:c>
    </x:row>
    <x:row r="179">
      <x:c r="A179" s="30" t="str">
        <x:v>NL-C0112</x:v>
      </x:c>
      <x:c r="B179" s="30" t="str">
        <x:v>NL-0178</x:v>
      </x:c>
      <x:c r="C179" s="30" t="str">
        <x:v>Golfbaan Landgoed Bergvliet — Par-3 Course</x:v>
      </x:c>
      <x:c r="D179" s="30" t="str">
        <x:v>Golfbaan Landgoed Bergvliet</x:v>
      </x:c>
      <x:c r="E179" s="30" t="str">
        <x:v>Par-3 Course</x:v>
      </x:c>
      <x:c r="F179" s="30" t="str">
        <x:v>Netherlands</x:v>
      </x:c>
      <x:c r="G179" s="30" t="str">
        <x:v>Noord-Brabant</x:v>
      </x:c>
      <x:c r="H179" s="30" t="str">
        <x:v>Oosterhout</x:v>
      </x:c>
      <x:c r="I179" s="30" t="str">
        <x:v>Oosterhout</x:v>
      </x:c>
      <x:c r="J179" s="30" t="str">
        <x:v>Salesdreef 2</x:v>
      </x:c>
      <x:c r="K179" s="30" t="str">
        <x:v>4904 SW</x:v>
      </x:c>
      <x:c r="L179" s="32" t="n">
        <x:v>51.63550295</x:v>
      </x:c>
      <x:c r="M179" s="32" t="n">
        <x:v>4.79484345</x:v>
      </x:c>
      <x:c r="N179" s="30" t="str">
        <x:v>WGS84 / EPSG:4326</x:v>
      </x:c>
      <x:c r="O179" s="30" t="str">
        <x:v>Verified BAG address point via PDOK</x:v>
      </x:c>
      <x:c r="P179" s="30" t="str">
        <x:v>2026-08-15</x:v>
      </x:c>
      <x:c r="Q179" s="33" t="n">
        <x:f>IF(R179="","",ROUND(R179/0.9144,0))</x:f>
        <x:v>1009</x:v>
      </x:c>
      <x:c r="R179" s="33" t="n">
        <x:v>923</x:v>
      </x:c>
      <x:c r="S179" s="33" t="n">
        <x:v>9</x:v>
      </x:c>
      <x:c r="T179" s="33" t="n">
        <x:v>27</x:v>
      </x:c>
      <x:c r="U179" s="30" t="str">
        <x:v>Par-3 course</x:v>
      </x:c>
      <x:c r="V179" s="30"/>
      <x:c r="W179" s="30"/>
      <x:c r="X179" s="30"/>
      <x:c r="Y179" s="30" t="str">
        <x:v>https://www.landgoedbergvliet.nl/</x:v>
      </x:c>
      <x:c r="Z179" s="30" t="b">
        <x:f>IF(AND(F179="Netherlands",ISNUMBER(L179),ISNUMBER(M179),L179&gt;=50.7,L179&lt;=53.7,M179&gt;=3.2,M179&lt;=7.3,AC179&lt;&gt;"Closed"),TRUE,FALSE)</x:f>
        <x:v>1</x:v>
      </x:c>
      <x:c r="AA179" s="30" t="b">
        <x:f>Z179</x:f>
        <x:v>1</x:v>
      </x:c>
      <x:c r="AB179" s="30" t="str">
        <x:f>IF(Z179,"verified_coordinate_and_open","not_map_ready")</x:f>
        <x:v>verified_coordinate_and_open</x:v>
      </x:c>
      <x:c r="AC179" s="30" t="str">
        <x:v>Open</x:v>
      </x:c>
      <x:c r="AD179" s="30" t="str">
        <x:v>Public — NGF course permission</x:v>
      </x:c>
      <x:c r="AE179" s="31" t="b">
        <x:v>1</x:v>
      </x:c>
      <x:c r="AF179" s="31" t="b">
        <x:v>0</x:v>
      </x:c>
      <x:c r="AG179" s="30"/>
      <x:c r="AH179" s="30"/>
      <x:c r="AI179" s="30"/>
      <x:c r="AJ179" s="31" t="b">
        <x:v>0</x:v>
      </x:c>
      <x:c r="AK179" s="31" t="b">
        <x:v>0</x:v>
      </x:c>
      <x:c r="AL179" s="30" t="str">
        <x:v>Verified — national register and exact BAG address</x:v>
      </x:c>
      <x:c r="AM179" s="30" t="str">
        <x:v>https://www.golf.nl/de-baan-op/banenzoeker/overzicht</x:v>
      </x:c>
      <x:c r="AN179" s="30" t="str">
        <x:v>2026-08-15</x:v>
      </x:c>
      <x:c r="AO179" s="30" t="str">
        <x:v>+31 76-5795666</x:v>
      </x:c>
      <x:c r="AP179" s="30" t="str">
        <x:v>Current NGF/GOLF.NL listing: 9 holes, par 27, 923 metres. Listed as qualifying.</x:v>
      </x:c>
    </x:row>
    <x:row r="180">
      <x:c r="A180" s="30" t="str">
        <x:v>NL-C0113</x:v>
      </x:c>
      <x:c r="B180" s="30" t="str">
        <x:v>NL-0179</x:v>
      </x:c>
      <x:c r="C180" s="30" t="str">
        <x:v>Golfbaan Oijense Zij</x:v>
      </x:c>
      <x:c r="D180" s="30" t="str">
        <x:v>Golfbaan Oijense Zij</x:v>
      </x:c>
      <x:c r="E180" s="30" t="str">
        <x:v>Course</x:v>
      </x:c>
      <x:c r="F180" s="30" t="str">
        <x:v>Netherlands</x:v>
      </x:c>
      <x:c r="G180" s="30" t="str">
        <x:v>Noord-Brabant</x:v>
      </x:c>
      <x:c r="H180" s="30" t="str">
        <x:v>Oss</x:v>
      </x:c>
      <x:c r="I180" s="30" t="str">
        <x:v>Oss</x:v>
      </x:c>
      <x:c r="J180" s="30" t="str">
        <x:v>Oijenseweg 272</x:v>
      </x:c>
      <x:c r="K180" s="30" t="str">
        <x:v>5346 JG</x:v>
      </x:c>
      <x:c r="L180" s="32" t="n">
        <x:v>51.78416945</x:v>
      </x:c>
      <x:c r="M180" s="32" t="n">
        <x:v>5.51824429</x:v>
      </x:c>
      <x:c r="N180" s="30" t="str">
        <x:v>WGS84 / EPSG:4326</x:v>
      </x:c>
      <x:c r="O180" s="30" t="str">
        <x:v>Verified BAG address point via PDOK</x:v>
      </x:c>
      <x:c r="P180" s="30" t="str">
        <x:v>2026-08-15</x:v>
      </x:c>
      <x:c r="Q180" s="33" t="n">
        <x:f>IF(R180="","",ROUND(R180/0.9144,0))</x:f>
        <x:v>797</x:v>
      </x:c>
      <x:c r="R180" s="33" t="n">
        <x:v>729</x:v>
      </x:c>
      <x:c r="S180" s="33" t="n">
        <x:v>9</x:v>
      </x:c>
      <x:c r="T180" s="33" t="n">
        <x:v>27</x:v>
      </x:c>
      <x:c r="U180" s="30" t="str">
        <x:v>Par-3 course</x:v>
      </x:c>
      <x:c r="V180" s="30"/>
      <x:c r="W180" s="30"/>
      <x:c r="X180" s="30"/>
      <x:c r="Y180" s="30" t="str">
        <x:v>https://oijensezij.nl/</x:v>
      </x:c>
      <x:c r="Z180" s="30" t="b">
        <x:f>IF(AND(F180="Netherlands",ISNUMBER(L180),ISNUMBER(M180),L180&gt;=50.7,L180&lt;=53.7,M180&gt;=3.2,M180&lt;=7.3,AC180&lt;&gt;"Closed"),TRUE,FALSE)</x:f>
        <x:v>1</x:v>
      </x:c>
      <x:c r="AA180" s="30" t="b">
        <x:f>Z180</x:f>
        <x:v>1</x:v>
      </x:c>
      <x:c r="AB180" s="30" t="str">
        <x:f>IF(Z180,"verified_coordinate_and_open","not_map_ready")</x:f>
        <x:v>verified_coordinate_and_open</x:v>
      </x:c>
      <x:c r="AC180" s="30" t="str">
        <x:v>Open</x:v>
      </x:c>
      <x:c r="AD180" s="30" t="str">
        <x:v>Public — NGF course permission</x:v>
      </x:c>
      <x:c r="AE180" s="31" t="b">
        <x:v>1</x:v>
      </x:c>
      <x:c r="AF180" s="31" t="b">
        <x:v>0</x:v>
      </x:c>
      <x:c r="AG180" s="30"/>
      <x:c r="AH180" s="30"/>
      <x:c r="AI180" s="30"/>
      <x:c r="AJ180" s="31" t="b">
        <x:v>0</x:v>
      </x:c>
      <x:c r="AK180" s="31" t="b">
        <x:v>0</x:v>
      </x:c>
      <x:c r="AL180" s="30" t="str">
        <x:v>Verified — national register and exact BAG address</x:v>
      </x:c>
      <x:c r="AM180" s="30" t="str">
        <x:v>https://www.golf.nl/de-baan-op/banenzoeker/overzicht</x:v>
      </x:c>
      <x:c r="AN180" s="30" t="str">
        <x:v>2026-08-15</x:v>
      </x:c>
      <x:c r="AO180" s="30" t="str">
        <x:v>+31 412-690217</x:v>
      </x:c>
      <x:c r="AP180" s="30" t="str">
        <x:v>Current NGF/GOLF.NL listing: 9 holes, par 27, 729 metres. Listed as qualifying.</x:v>
      </x:c>
    </x:row>
    <x:row r="181">
      <x:c r="A181" s="30" t="str">
        <x:v>NL-C0114</x:v>
      </x:c>
      <x:c r="B181" s="30" t="str">
        <x:v>NL-0180</x:v>
      </x:c>
      <x:c r="C181" s="30" t="str">
        <x:v>Golfbaan Stippelberg — Main Course</x:v>
      </x:c>
      <x:c r="D181" s="30" t="str">
        <x:v>Golfbaan Stippelberg</x:v>
      </x:c>
      <x:c r="E181" s="30" t="str">
        <x:v>Main Course</x:v>
      </x:c>
      <x:c r="F181" s="30" t="str">
        <x:v>Netherlands</x:v>
      </x:c>
      <x:c r="G181" s="30" t="str">
        <x:v>Noord-Brabant</x:v>
      </x:c>
      <x:c r="H181" s="30" t="str">
        <x:v>Gemert-Bakel</x:v>
      </x:c>
      <x:c r="I181" s="30" t="str">
        <x:v>Bakel</x:v>
      </x:c>
      <x:c r="J181" s="30" t="str">
        <x:v>Hooizak 7</x:v>
      </x:c>
      <x:c r="K181" s="30" t="str">
        <x:v>5761 RZ</x:v>
      </x:c>
      <x:c r="L181" s="32" t="n">
        <x:v>51.51366115</x:v>
      </x:c>
      <x:c r="M181" s="32" t="n">
        <x:v>5.75899028</x:v>
      </x:c>
      <x:c r="N181" s="30" t="str">
        <x:v>WGS84 / EPSG:4326</x:v>
      </x:c>
      <x:c r="O181" s="30" t="str">
        <x:v>Verified BAG address point via PDOK</x:v>
      </x:c>
      <x:c r="P181" s="30" t="str">
        <x:v>2026-08-15</x:v>
      </x:c>
      <x:c r="Q181" s="33" t="n">
        <x:f>IF(R181="","",ROUND(R181/0.9144,0))</x:f>
        <x:v>6705</x:v>
      </x:c>
      <x:c r="R181" s="33" t="n">
        <x:v>6131</x:v>
      </x:c>
      <x:c r="S181" s="33" t="n">
        <x:v>18</x:v>
      </x:c>
      <x:c r="T181" s="33" t="n">
        <x:v>71</x:v>
      </x:c>
      <x:c r="U181" s="30" t="str">
        <x:v>Full-length course</x:v>
      </x:c>
      <x:c r="V181" s="30"/>
      <x:c r="W181" s="30"/>
      <x:c r="X181" s="30"/>
      <x:c r="Y181" s="30" t="str">
        <x:v>https://golfbaan-stippelberg.com/</x:v>
      </x:c>
      <x:c r="Z181" s="30" t="b">
        <x:f>IF(AND(F181="Netherlands",ISNUMBER(L181),ISNUMBER(M181),L181&gt;=50.7,L181&lt;=53.7,M181&gt;=3.2,M181&lt;=7.3,AC181&lt;&gt;"Closed"),TRUE,FALSE)</x:f>
        <x:v>1</x:v>
      </x:c>
      <x:c r="AA181" s="30" t="b">
        <x:f>Z181</x:f>
        <x:v>1</x:v>
      </x:c>
      <x:c r="AB181" s="30" t="str">
        <x:f>IF(Z181,"verified_coordinate_and_open","not_map_ready")</x:f>
        <x:v>verified_coordinate_and_open</x:v>
      </x:c>
      <x:c r="AC181" s="30" t="str">
        <x:v>Open</x:v>
      </x:c>
      <x:c r="AD181" s="30" t="str">
        <x:v>Public — handicap 54 or lower</x:v>
      </x:c>
      <x:c r="AE181" s="31" t="b">
        <x:v>1</x:v>
      </x:c>
      <x:c r="AF181" s="31" t="b">
        <x:v>0</x:v>
      </x:c>
      <x:c r="AG181" s="30"/>
      <x:c r="AH181" s="30"/>
      <x:c r="AI181" s="30"/>
      <x:c r="AJ181" s="31" t="b">
        <x:v>0</x:v>
      </x:c>
      <x:c r="AK181" s="31" t="b">
        <x:v>0</x:v>
      </x:c>
      <x:c r="AL181" s="30" t="str">
        <x:v>Verified — national register and exact BAG address</x:v>
      </x:c>
      <x:c r="AM181" s="30" t="str">
        <x:v>https://www.golf.nl/de-baan-op/banenzoeker/overzicht</x:v>
      </x:c>
      <x:c r="AN181" s="30" t="str">
        <x:v>2026-08-15</x:v>
      </x:c>
      <x:c r="AO181" s="30" t="str">
        <x:v>+31 492-820020</x:v>
      </x:c>
      <x:c r="AP181" s="30" t="str">
        <x:v>Current NGF/GOLF.NL listing: 18 holes, par 71, 6131 metres. Combined from exact NGF-listed constituent nine-hole loops: 1ste negen (9 holes, par 35, 3005 m); 2de negen (9 holes, par 36, 3126 m) Listed as qualifying.</x:v>
      </x:c>
    </x:row>
    <x:row r="182">
      <x:c r="A182" s="30" t="str">
        <x:v>NL-C0115</x:v>
      </x:c>
      <x:c r="B182" s="30" t="str">
        <x:v>NL-0181</x:v>
      </x:c>
      <x:c r="C182" s="30" t="str">
        <x:v>Golfcentrum Dongen</x:v>
      </x:c>
      <x:c r="D182" s="30" t="str">
        <x:v>Golfcentrum Dongen</x:v>
      </x:c>
      <x:c r="E182" s="30" t="str">
        <x:v>Course</x:v>
      </x:c>
      <x:c r="F182" s="30" t="str">
        <x:v>Netherlands</x:v>
      </x:c>
      <x:c r="G182" s="30" t="str">
        <x:v>Noord-Brabant</x:v>
      </x:c>
      <x:c r="H182" s="30" t="str">
        <x:v>Dongen</x:v>
      </x:c>
      <x:c r="I182" s="30" t="str">
        <x:v>Dongen</x:v>
      </x:c>
      <x:c r="J182" s="30" t="str">
        <x:v>Zandeweg 2</x:v>
      </x:c>
      <x:c r="K182" s="30" t="str">
        <x:v>5107 NM</x:v>
      </x:c>
      <x:c r="L182" s="32" t="n">
        <x:v>51.61696098</x:v>
      </x:c>
      <x:c r="M182" s="32" t="n">
        <x:v>4.91534472</x:v>
      </x:c>
      <x:c r="N182" s="30" t="str">
        <x:v>WGS84 / EPSG:4326</x:v>
      </x:c>
      <x:c r="O182" s="30" t="str">
        <x:v>Verified BAG address point via PDOK</x:v>
      </x:c>
      <x:c r="P182" s="30" t="str">
        <x:v>2026-08-15</x:v>
      </x:c>
      <x:c r="Q182" s="33" t="n">
        <x:f>IF(R182="","",ROUND(R182/0.9144,0))</x:f>
        <x:v>3016</x:v>
      </x:c>
      <x:c r="R182" s="33" t="n">
        <x:v>2758</x:v>
      </x:c>
      <x:c r="S182" s="33" t="n">
        <x:v>9</x:v>
      </x:c>
      <x:c r="T182" s="33" t="n">
        <x:v>36</x:v>
      </x:c>
      <x:c r="U182" s="30" t="str">
        <x:v>Full-length course</x:v>
      </x:c>
      <x:c r="V182" s="30"/>
      <x:c r="W182" s="30"/>
      <x:c r="X182" s="30"/>
      <x:c r="Y182" s="30" t="str">
        <x:v>https://www.golfcentrumdongen.nl/</x:v>
      </x:c>
      <x:c r="Z182" s="30" t="b">
        <x:f>IF(AND(F182="Netherlands",ISNUMBER(L182),ISNUMBER(M182),L182&gt;=50.7,L182&lt;=53.7,M182&gt;=3.2,M182&lt;=7.3,AC182&lt;&gt;"Closed"),TRUE,FALSE)</x:f>
        <x:v>1</x:v>
      </x:c>
      <x:c r="AA182" s="30" t="b">
        <x:f>Z182</x:f>
        <x:v>1</x:v>
      </x:c>
      <x:c r="AB182" s="30" t="str">
        <x:f>IF(Z182,"verified_coordinate_and_open","not_map_ready")</x:f>
        <x:v>verified_coordinate_and_open</x:v>
      </x:c>
      <x:c r="AC182" s="30" t="str">
        <x:v>Open</x:v>
      </x:c>
      <x:c r="AD182" s="30" t="str">
        <x:v>Public — NGF course permission</x:v>
      </x:c>
      <x:c r="AE182" s="31" t="b">
        <x:v>1</x:v>
      </x:c>
      <x:c r="AF182" s="31" t="b">
        <x:v>0</x:v>
      </x:c>
      <x:c r="AG182" s="30"/>
      <x:c r="AH182" s="30"/>
      <x:c r="AI182" s="30"/>
      <x:c r="AJ182" s="31" t="b">
        <x:v>0</x:v>
      </x:c>
      <x:c r="AK182" s="31" t="b">
        <x:v>0</x:v>
      </x:c>
      <x:c r="AL182" s="30" t="str">
        <x:v>Verified — national register and exact BAG address</x:v>
      </x:c>
      <x:c r="AM182" s="30" t="str">
        <x:v>https://www.golf.nl/de-baan-op/banenzoeker/overzicht</x:v>
      </x:c>
      <x:c r="AN182" s="30" t="str">
        <x:v>2026-08-15</x:v>
      </x:c>
      <x:c r="AO182" s="30" t="str">
        <x:v>+31 162-320783</x:v>
      </x:c>
      <x:c r="AP182" s="30" t="str">
        <x:v>Current NGF/GOLF.NL listing: 9 holes, par 36, 2758 metres. Listed as qualifying.</x:v>
      </x:c>
    </x:row>
    <x:row r="183">
      <x:c r="A183" s="30" t="str">
        <x:v>NL-C0116</x:v>
      </x:c>
      <x:c r="B183" s="30" t="str">
        <x:v>NL-0182</x:v>
      </x:c>
      <x:c r="C183" s="30" t="str">
        <x:v>Golfcentrum Eindhoven</x:v>
      </x:c>
      <x:c r="D183" s="30" t="str">
        <x:v>Golfcentrum Eindhoven</x:v>
      </x:c>
      <x:c r="E183" s="30" t="str">
        <x:v>Course</x:v>
      </x:c>
      <x:c r="F183" s="30" t="str">
        <x:v>Netherlands</x:v>
      </x:c>
      <x:c r="G183" s="30" t="str">
        <x:v>Noord-Brabant</x:v>
      </x:c>
      <x:c r="H183" s="30" t="str">
        <x:v>Eindhoven</x:v>
      </x:c>
      <x:c r="I183" s="30" t="str">
        <x:v>Eindhoven</x:v>
      </x:c>
      <x:c r="J183" s="30" t="str">
        <x:v>J.C. Dirkxspad</x:v>
      </x:c>
      <x:c r="K183" s="30" t="str">
        <x:v>5631 BZ</x:v>
      </x:c>
      <x:c r="L183" s="32" t="n">
        <x:v>51.45701023</x:v>
      </x:c>
      <x:c r="M183" s="32" t="n">
        <x:v>5.49123951</x:v>
      </x:c>
      <x:c r="N183" s="30" t="str">
        <x:v>WGS84 / EPSG:4326</x:v>
      </x:c>
      <x:c r="O183" s="30" t="str">
        <x:v>Verified BAG address point via PDOK</x:v>
      </x:c>
      <x:c r="P183" s="30" t="str">
        <x:v>2026-08-15</x:v>
      </x:c>
      <x:c r="Q183" s="33" t="n">
        <x:f>IF(R183="","",ROUND(R183/0.9144,0))</x:f>
        <x:v>879</x:v>
      </x:c>
      <x:c r="R183" s="33" t="n">
        <x:v>804</x:v>
      </x:c>
      <x:c r="S183" s="33" t="n">
        <x:v>9</x:v>
      </x:c>
      <x:c r="T183" s="33" t="n">
        <x:v>27</x:v>
      </x:c>
      <x:c r="U183" s="30" t="str">
        <x:v>Par-3 course</x:v>
      </x:c>
      <x:c r="V183" s="30"/>
      <x:c r="W183" s="30"/>
      <x:c r="X183" s="30"/>
      <x:c r="Y183" s="30" t="str">
        <x:v>https://golfcentrumeindhoven.nl/</x:v>
      </x:c>
      <x:c r="Z183" s="30" t="b">
        <x:f>IF(AND(F183="Netherlands",ISNUMBER(L183),ISNUMBER(M183),L183&gt;=50.7,L183&lt;=53.7,M183&gt;=3.2,M183&lt;=7.3,AC183&lt;&gt;"Closed"),TRUE,FALSE)</x:f>
        <x:v>1</x:v>
      </x:c>
      <x:c r="AA183" s="30" t="b">
        <x:f>Z183</x:f>
        <x:v>1</x:v>
      </x:c>
      <x:c r="AB183" s="30" t="str">
        <x:f>IF(Z183,"verified_coordinate_and_open","not_map_ready")</x:f>
        <x:v>verified_coordinate_and_open</x:v>
      </x:c>
      <x:c r="AC183" s="30" t="str">
        <x:v>Open</x:v>
      </x:c>
      <x:c r="AD183" s="30" t="str">
        <x:v>Public — NGF course permission</x:v>
      </x:c>
      <x:c r="AE183" s="31" t="b">
        <x:v>1</x:v>
      </x:c>
      <x:c r="AF183" s="31" t="b">
        <x:v>0</x:v>
      </x:c>
      <x:c r="AG183" s="30"/>
      <x:c r="AH183" s="30"/>
      <x:c r="AI183" s="30"/>
      <x:c r="AJ183" s="31" t="b">
        <x:v>0</x:v>
      </x:c>
      <x:c r="AK183" s="31" t="b">
        <x:v>0</x:v>
      </x:c>
      <x:c r="AL183" s="30" t="str">
        <x:v>Verified — national register and exact BAG address</x:v>
      </x:c>
      <x:c r="AM183" s="30" t="str">
        <x:v>https://www.golf.nl/de-baan-op/banenzoeker/overzicht</x:v>
      </x:c>
      <x:c r="AN183" s="30" t="str">
        <x:v>2026-08-15</x:v>
      </x:c>
      <x:c r="AO183" s="30" t="str">
        <x:v>+31 40–2459551</x:v>
      </x:c>
      <x:c r="AP183" s="30" t="str">
        <x:v>Current NGF/GOLF.NL listing: 9 holes, par 27, 804 metres. Listed as qualifying.</x:v>
      </x:c>
    </x:row>
    <x:row r="184">
      <x:c r="A184" s="30" t="str">
        <x:v>NL-C0117</x:v>
      </x:c>
      <x:c r="B184" s="30" t="str">
        <x:v>NL-0183</x:v>
      </x:c>
      <x:c r="C184" s="30" t="str">
        <x:v>Golfcentrum Roosendaal</x:v>
      </x:c>
      <x:c r="D184" s="30" t="str">
        <x:v>Golfcentrum Roosendaal</x:v>
      </x:c>
      <x:c r="E184" s="30" t="str">
        <x:v>Course</x:v>
      </x:c>
      <x:c r="F184" s="30" t="str">
        <x:v>Netherlands</x:v>
      </x:c>
      <x:c r="G184" s="30" t="str">
        <x:v>Noord-Brabant</x:v>
      </x:c>
      <x:c r="H184" s="30" t="str">
        <x:v>Roosendaal</x:v>
      </x:c>
      <x:c r="I184" s="30" t="str">
        <x:v>Roosendaal</x:v>
      </x:c>
      <x:c r="J184" s="30" t="str">
        <x:v>De Stok 16</x:v>
      </x:c>
      <x:c r="K184" s="30" t="str">
        <x:v>4703 SZ</x:v>
      </x:c>
      <x:c r="L184" s="32" t="n">
        <x:v>51.53800478</x:v>
      </x:c>
      <x:c r="M184" s="32" t="n">
        <x:v>4.4354412</x:v>
      </x:c>
      <x:c r="N184" s="30" t="str">
        <x:v>WGS84 / EPSG:4326</x:v>
      </x:c>
      <x:c r="O184" s="30" t="str">
        <x:v>Verified BAG address point via PDOK</x:v>
      </x:c>
      <x:c r="P184" s="30" t="str">
        <x:v>2026-08-15</x:v>
      </x:c>
      <x:c r="Q184" s="33" t="n">
        <x:f>IF(R184="","",ROUND(R184/0.9144,0))</x:f>
        <x:v>2222</x:v>
      </x:c>
      <x:c r="R184" s="33" t="n">
        <x:v>2032</x:v>
      </x:c>
      <x:c r="S184" s="33" t="n">
        <x:v>9</x:v>
      </x:c>
      <x:c r="T184" s="33" t="n">
        <x:v>33</x:v>
      </x:c>
      <x:c r="U184" s="30" t="str">
        <x:v>Full-length course</x:v>
      </x:c>
      <x:c r="V184" s="30"/>
      <x:c r="W184" s="30"/>
      <x:c r="X184" s="30"/>
      <x:c r="Y184" s="30" t="str">
        <x:v>https://golfcentrumroosendaal.nl/</x:v>
      </x:c>
      <x:c r="Z184" s="30" t="b">
        <x:f>IF(AND(F184="Netherlands",ISNUMBER(L184),ISNUMBER(M184),L184&gt;=50.7,L184&lt;=53.7,M184&gt;=3.2,M184&lt;=7.3,AC184&lt;&gt;"Closed"),TRUE,FALSE)</x:f>
        <x:v>1</x:v>
      </x:c>
      <x:c r="AA184" s="30" t="b">
        <x:f>Z184</x:f>
        <x:v>1</x:v>
      </x:c>
      <x:c r="AB184" s="30" t="str">
        <x:f>IF(Z184,"verified_coordinate_and_open","not_map_ready")</x:f>
        <x:v>verified_coordinate_and_open</x:v>
      </x:c>
      <x:c r="AC184" s="30" t="str">
        <x:v>Open</x:v>
      </x:c>
      <x:c r="AD184" s="30" t="str">
        <x:v>Public — NGF course permission</x:v>
      </x:c>
      <x:c r="AE184" s="31" t="b">
        <x:v>1</x:v>
      </x:c>
      <x:c r="AF184" s="31" t="b">
        <x:v>0</x:v>
      </x:c>
      <x:c r="AG184" s="30"/>
      <x:c r="AH184" s="30"/>
      <x:c r="AI184" s="30"/>
      <x:c r="AJ184" s="31" t="b">
        <x:v>0</x:v>
      </x:c>
      <x:c r="AK184" s="31" t="b">
        <x:v>0</x:v>
      </x:c>
      <x:c r="AL184" s="30" t="str">
        <x:v>Verified — national register and exact BAG address</x:v>
      </x:c>
      <x:c r="AM184" s="30" t="str">
        <x:v>https://www.golf.nl/de-baan-op/banenzoeker/overzicht</x:v>
      </x:c>
      <x:c r="AN184" s="30" t="str">
        <x:v>2026-08-15</x:v>
      </x:c>
      <x:c r="AO184" s="30" t="str">
        <x:v>+31 165-544080</x:v>
      </x:c>
      <x:c r="AP184" s="30" t="str">
        <x:v>Current NGF/GOLF.NL listing: 9 holes, par 33, 2032 metres. Listed as qualifying.</x:v>
      </x:c>
    </x:row>
    <x:row r="185">
      <x:c r="A185" s="30" t="str">
        <x:v>NL-C0118</x:v>
      </x:c>
      <x:c r="B185" s="30" t="str">
        <x:v>NL-0184</x:v>
      </x:c>
      <x:c r="C185" s="30" t="str">
        <x:v>Golfclub De Dommel — Main Course</x:v>
      </x:c>
      <x:c r="D185" s="30" t="str">
        <x:v>Golfclub De Dommel</x:v>
      </x:c>
      <x:c r="E185" s="30" t="str">
        <x:v>Main Course</x:v>
      </x:c>
      <x:c r="F185" s="30" t="str">
        <x:v>Netherlands</x:v>
      </x:c>
      <x:c r="G185" s="30" t="str">
        <x:v>Noord-Brabant</x:v>
      </x:c>
      <x:c r="H185" s="30" t="str">
        <x:v>Sint-Michielsgestel</x:v>
      </x:c>
      <x:c r="I185" s="30" t="str">
        <x:v>Sint-Michielsgestel</x:v>
      </x:c>
      <x:c r="J185" s="30" t="str">
        <x:v>Zegenwerp 12</x:v>
      </x:c>
      <x:c r="K185" s="30" t="str">
        <x:v>5271 NC</x:v>
      </x:c>
      <x:c r="L185" s="32" t="n">
        <x:v>51.62562127</x:v>
      </x:c>
      <x:c r="M185" s="32" t="n">
        <x:v>5.33923524</x:v>
      </x:c>
      <x:c r="N185" s="30" t="str">
        <x:v>WGS84 / EPSG:4326</x:v>
      </x:c>
      <x:c r="O185" s="30" t="str">
        <x:v>Verified BAG address point via PDOK</x:v>
      </x:c>
      <x:c r="P185" s="30" t="str">
        <x:v>2026-08-15</x:v>
      </x:c>
      <x:c r="Q185" s="33" t="n">
        <x:f>IF(R185="","",ROUND(R185/0.9144,0))</x:f>
        <x:v>5967</x:v>
      </x:c>
      <x:c r="R185" s="33" t="n">
        <x:v>5456</x:v>
      </x:c>
      <x:c r="S185" s="33" t="n">
        <x:v>18</x:v>
      </x:c>
      <x:c r="T185" s="33" t="n">
        <x:v>70</x:v>
      </x:c>
      <x:c r="U185" s="30" t="str">
        <x:v>Full-length course</x:v>
      </x:c>
      <x:c r="V185" s="30"/>
      <x:c r="W185" s="30"/>
      <x:c r="X185" s="30"/>
      <x:c r="Y185" s="30" t="str">
        <x:v>https://gcdedommel.nl/</x:v>
      </x:c>
      <x:c r="Z185" s="30" t="b">
        <x:f>IF(AND(F185="Netherlands",ISNUMBER(L185),ISNUMBER(M185),L185&gt;=50.7,L185&lt;=53.7,M185&gt;=3.2,M185&lt;=7.3,AC185&lt;&gt;"Closed"),TRUE,FALSE)</x:f>
        <x:v>1</x:v>
      </x:c>
      <x:c r="AA185" s="30" t="b">
        <x:f>Z185</x:f>
        <x:v>1</x:v>
      </x:c>
      <x:c r="AB185" s="30" t="str">
        <x:f>IF(Z185,"verified_coordinate_and_open","not_map_ready")</x:f>
        <x:v>verified_coordinate_and_open</x:v>
      </x:c>
      <x:c r="AC185" s="30" t="str">
        <x:v>Open</x:v>
      </x:c>
      <x:c r="AD185" s="30" t="str">
        <x:v>Public — handicap 36 or lower</x:v>
      </x:c>
      <x:c r="AE185" s="31" t="b">
        <x:v>1</x:v>
      </x:c>
      <x:c r="AF185" s="31" t="b">
        <x:v>0</x:v>
      </x:c>
      <x:c r="AG185" s="30"/>
      <x:c r="AH185" s="30"/>
      <x:c r="AI185" s="30"/>
      <x:c r="AJ185" s="31" t="b">
        <x:v>0</x:v>
      </x:c>
      <x:c r="AK185" s="31" t="b">
        <x:v>0</x:v>
      </x:c>
      <x:c r="AL185" s="30" t="str">
        <x:v>Verified — national register and exact BAG address</x:v>
      </x:c>
      <x:c r="AM185" s="30" t="str">
        <x:v>https://www.golf.nl/de-baan-op/banenzoeker/overzicht</x:v>
      </x:c>
      <x:c r="AN185" s="30" t="str">
        <x:v>2026-08-15</x:v>
      </x:c>
      <x:c r="AO185" s="30" t="str">
        <x:v>+31 73-5519168</x:v>
      </x:c>
      <x:c r="AP185" s="30" t="str">
        <x:v>Current NGF/GOLF.NL listing: 18 holes, par 70, 5456 metres. Combined from exact NGF-listed constituent nine-hole loops: 1ste negen (9 holes, par 34, 2637 m); 2de negen (9 holes, par 36, 2819 m) Listed as qualifying.</x:v>
      </x:c>
    </x:row>
    <x:row r="186">
      <x:c r="A186" s="30" t="str">
        <x:v>NL-C0119</x:v>
      </x:c>
      <x:c r="B186" s="30" t="str">
        <x:v>NL-0185</x:v>
      </x:c>
      <x:c r="C186" s="30" t="str">
        <x:v>Golfclub Den Heikant</x:v>
      </x:c>
      <x:c r="D186" s="30" t="str">
        <x:v>Golfclub Den Heikant</x:v>
      </x:c>
      <x:c r="E186" s="30" t="str">
        <x:v>Course</x:v>
      </x:c>
      <x:c r="F186" s="30" t="str">
        <x:v>Netherlands</x:v>
      </x:c>
      <x:c r="G186" s="30" t="str">
        <x:v>Noord-Brabant</x:v>
      </x:c>
      <x:c r="H186" s="30" t="str">
        <x:v>Laarbeek</x:v>
      </x:c>
      <x:c r="I186" s="30" t="str">
        <x:v>Aarle-Rixtel</x:v>
      </x:c>
      <x:c r="J186" s="30" t="str">
        <x:v>Asdonkseweg 6</x:v>
      </x:c>
      <x:c r="K186" s="30" t="str">
        <x:v>5735 SP</x:v>
      </x:c>
      <x:c r="L186" s="32" t="n">
        <x:v>51.51229503</x:v>
      </x:c>
      <x:c r="M186" s="32" t="n">
        <x:v>5.68250056</x:v>
      </x:c>
      <x:c r="N186" s="30" t="str">
        <x:v>WGS84 / EPSG:4326</x:v>
      </x:c>
      <x:c r="O186" s="30" t="str">
        <x:v>Verified BAG address point via PDOK</x:v>
      </x:c>
      <x:c r="P186" s="30" t="str">
        <x:v>2026-08-15</x:v>
      </x:c>
      <x:c r="Q186" s="33" t="n">
        <x:f>IF(R186="","",ROUND(R186/0.9144,0))</x:f>
        <x:v>1077</x:v>
      </x:c>
      <x:c r="R186" s="33" t="n">
        <x:v>985</x:v>
      </x:c>
      <x:c r="S186" s="33" t="n">
        <x:v>9</x:v>
      </x:c>
      <x:c r="T186" s="33" t="n">
        <x:v>27</x:v>
      </x:c>
      <x:c r="U186" s="30" t="str">
        <x:v>Par-3 course</x:v>
      </x:c>
      <x:c r="V186" s="30"/>
      <x:c r="W186" s="30"/>
      <x:c r="X186" s="30"/>
      <x:c r="Y186" s="30" t="str">
        <x:v>https://golfclubdenheikant.nl/</x:v>
      </x:c>
      <x:c r="Z186" s="30" t="b">
        <x:f>IF(AND(F186="Netherlands",ISNUMBER(L186),ISNUMBER(M186),L186&gt;=50.7,L186&lt;=53.7,M186&gt;=3.2,M186&lt;=7.3,AC186&lt;&gt;"Closed"),TRUE,FALSE)</x:f>
        <x:v>1</x:v>
      </x:c>
      <x:c r="AA186" s="30" t="b">
        <x:f>Z186</x:f>
        <x:v>1</x:v>
      </x:c>
      <x:c r="AB186" s="30" t="str">
        <x:f>IF(Z186,"verified_coordinate_and_open","not_map_ready")</x:f>
        <x:v>verified_coordinate_and_open</x:v>
      </x:c>
      <x:c r="AC186" s="30" t="str">
        <x:v>Open</x:v>
      </x:c>
      <x:c r="AD186" s="30" t="str">
        <x:v>Public — NGF course permission</x:v>
      </x:c>
      <x:c r="AE186" s="31" t="b">
        <x:v>1</x:v>
      </x:c>
      <x:c r="AF186" s="31" t="b">
        <x:v>0</x:v>
      </x:c>
      <x:c r="AG186" s="30"/>
      <x:c r="AH186" s="30"/>
      <x:c r="AI186" s="30"/>
      <x:c r="AJ186" s="31" t="b">
        <x:v>0</x:v>
      </x:c>
      <x:c r="AK186" s="31" t="b">
        <x:v>0</x:v>
      </x:c>
      <x:c r="AL186" s="30" t="str">
        <x:v>Verified — national register and exact BAG address</x:v>
      </x:c>
      <x:c r="AM186" s="30" t="str">
        <x:v>https://www.golf.nl/de-baan-op/banenzoeker/overzicht</x:v>
      </x:c>
      <x:c r="AN186" s="30" t="str">
        <x:v>2026-08-15</x:v>
      </x:c>
      <x:c r="AO186" s="30" t="str">
        <x:v>+31 492-550871</x:v>
      </x:c>
      <x:c r="AP186" s="30" t="str">
        <x:v>Current NGF/GOLF.NL listing: 9 holes, par 27, 985 metres. Listed as qualifying.</x:v>
      </x:c>
    </x:row>
    <x:row r="187">
      <x:c r="A187" s="30" t="str">
        <x:v>NL-C0120</x:v>
      </x:c>
      <x:c r="B187" s="30" t="str">
        <x:v>NL-0186</x:v>
      </x:c>
      <x:c r="C187" s="30" t="str">
        <x:v>Golfclub Landgoed Coudewater</x:v>
      </x:c>
      <x:c r="D187" s="30" t="str">
        <x:v>Golfclub Landgoed Coudewater</x:v>
      </x:c>
      <x:c r="E187" s="30" t="str">
        <x:v>Course</x:v>
      </x:c>
      <x:c r="F187" s="30" t="str">
        <x:v>Netherlands</x:v>
      </x:c>
      <x:c r="G187" s="30" t="str">
        <x:v>Noord-Brabant</x:v>
      </x:c>
      <x:c r="H187" s="30" t="str">
        <x:v>'s-Hertogenbosch</x:v>
      </x:c>
      <x:c r="I187" s="30" t="str">
        <x:v>Rosmalen</x:v>
      </x:c>
      <x:c r="J187" s="30" t="str">
        <x:v>Peter de Gorterstraat 11</x:v>
      </x:c>
      <x:c r="K187" s="30" t="str">
        <x:v>5248 NS</x:v>
      </x:c>
      <x:c r="L187" s="32" t="n">
        <x:v>51.70268626</x:v>
      </x:c>
      <x:c r="M187" s="32" t="n">
        <x:v>5.37505616</x:v>
      </x:c>
      <x:c r="N187" s="30" t="str">
        <x:v>WGS84 / EPSG:4326</x:v>
      </x:c>
      <x:c r="O187" s="30" t="str">
        <x:v>Verified BAG address point via PDOK</x:v>
      </x:c>
      <x:c r="P187" s="30" t="str">
        <x:v>2026-08-15</x:v>
      </x:c>
      <x:c r="Q187" s="33" t="n">
        <x:f>IF(R187="","",ROUND(R187/0.9144,0))</x:f>
        <x:v>2902</x:v>
      </x:c>
      <x:c r="R187" s="33" t="n">
        <x:v>2654</x:v>
      </x:c>
      <x:c r="S187" s="33" t="n">
        <x:v>9</x:v>
      </x:c>
      <x:c r="T187" s="33" t="n">
        <x:v>35</x:v>
      </x:c>
      <x:c r="U187" s="30" t="str">
        <x:v>Full-length course</x:v>
      </x:c>
      <x:c r="V187" s="30"/>
      <x:c r="W187" s="30"/>
      <x:c r="X187" s="30"/>
      <x:c r="Y187" s="30" t="str">
        <x:v>https://www.glc2020.nl/</x:v>
      </x:c>
      <x:c r="Z187" s="30" t="b">
        <x:f>IF(AND(F187="Netherlands",ISNUMBER(L187),ISNUMBER(M187),L187&gt;=50.7,L187&lt;=53.7,M187&gt;=3.2,M187&lt;=7.3,AC187&lt;&gt;"Closed"),TRUE,FALSE)</x:f>
        <x:v>1</x:v>
      </x:c>
      <x:c r="AA187" s="30" t="b">
        <x:f>Z187</x:f>
        <x:v>1</x:v>
      </x:c>
      <x:c r="AB187" s="30" t="str">
        <x:f>IF(Z187,"verified_coordinate_and_open","not_map_ready")</x:f>
        <x:v>verified_coordinate_and_open</x:v>
      </x:c>
      <x:c r="AC187" s="30" t="str">
        <x:v>Open</x:v>
      </x:c>
      <x:c r="AD187" s="30" t="str">
        <x:v>Public — handicap 54 or lower</x:v>
      </x:c>
      <x:c r="AE187" s="31" t="b">
        <x:v>1</x:v>
      </x:c>
      <x:c r="AF187" s="31" t="b">
        <x:v>0</x:v>
      </x:c>
      <x:c r="AG187" s="30"/>
      <x:c r="AH187" s="30"/>
      <x:c r="AI187" s="30"/>
      <x:c r="AJ187" s="31" t="b">
        <x:v>0</x:v>
      </x:c>
      <x:c r="AK187" s="31" t="b">
        <x:v>0</x:v>
      </x:c>
      <x:c r="AL187" s="30" t="str">
        <x:v>Verified — national register and exact BAG address</x:v>
      </x:c>
      <x:c r="AM187" s="30" t="str">
        <x:v>https://www.golf.nl/de-baan-op/banenzoeker/overzicht</x:v>
      </x:c>
      <x:c r="AN187" s="30" t="str">
        <x:v>2026-08-15</x:v>
      </x:c>
      <x:c r="AO187" s="30" t="str">
        <x:v>+31 73-5995901</x:v>
      </x:c>
      <x:c r="AP187" s="30" t="str">
        <x:v>Current NGF/GOLF.NL listing: 9 holes, par 35, 2654 metres. Listed as qualifying.</x:v>
      </x:c>
    </x:row>
    <x:row r="188">
      <x:c r="A188" s="30" t="str">
        <x:v>NL-C0121</x:v>
      </x:c>
      <x:c r="B188" s="30" t="str">
        <x:v>NL-0187</x:v>
      </x:c>
      <x:c r="C188" s="30" t="str">
        <x:v>Golfclub Landgoed Nieuwkerk</x:v>
      </x:c>
      <x:c r="D188" s="30" t="str">
        <x:v>Golfclub Landgoed Nieuwkerk</x:v>
      </x:c>
      <x:c r="E188" s="30" t="str">
        <x:v>Course</x:v>
      </x:c>
      <x:c r="F188" s="30" t="str">
        <x:v>Netherlands</x:v>
      </x:c>
      <x:c r="G188" s="30" t="str">
        <x:v>Noord-Brabant</x:v>
      </x:c>
      <x:c r="H188" s="30" t="str">
        <x:v>Goirle</x:v>
      </x:c>
      <x:c r="I188" s="30" t="str">
        <x:v>Goirle</x:v>
      </x:c>
      <x:c r="J188" s="30" t="str">
        <x:v>Nieuwkerksedijk Zuid 50</x:v>
      </x:c>
      <x:c r="K188" s="30" t="str">
        <x:v>5051 DW</x:v>
      </x:c>
      <x:c r="L188" s="32" t="n">
        <x:v>51.493946</x:v>
      </x:c>
      <x:c r="M188" s="32" t="n">
        <x:v>5.03531436</x:v>
      </x:c>
      <x:c r="N188" s="30" t="str">
        <x:v>WGS84 / EPSG:4326</x:v>
      </x:c>
      <x:c r="O188" s="30" t="str">
        <x:v>Verified BAG address point via PDOK</x:v>
      </x:c>
      <x:c r="P188" s="30" t="str">
        <x:v>2026-08-15</x:v>
      </x:c>
      <x:c r="Q188" s="33" t="n">
        <x:f>IF(R188="","",ROUND(R188/0.9144,0))</x:f>
        <x:v>2978</x:v>
      </x:c>
      <x:c r="R188" s="33" t="n">
        <x:v>2723</x:v>
      </x:c>
      <x:c r="S188" s="33" t="n">
        <x:v>9</x:v>
      </x:c>
      <x:c r="T188" s="33" t="n">
        <x:v>36</x:v>
      </x:c>
      <x:c r="U188" s="30" t="str">
        <x:v>Full-length course</x:v>
      </x:c>
      <x:c r="V188" s="30"/>
      <x:c r="W188" s="30"/>
      <x:c r="X188" s="30"/>
      <x:c r="Y188" s="30" t="str">
        <x:v>https://golfclublandgoednieuwkerk.nl/</x:v>
      </x:c>
      <x:c r="Z188" s="30" t="b">
        <x:f>IF(AND(F188="Netherlands",ISNUMBER(L188),ISNUMBER(M188),L188&gt;=50.7,L188&lt;=53.7,M188&gt;=3.2,M188&lt;=7.3,AC188&lt;&gt;"Closed"),TRUE,FALSE)</x:f>
        <x:v>1</x:v>
      </x:c>
      <x:c r="AA188" s="30" t="b">
        <x:f>Z188</x:f>
        <x:v>1</x:v>
      </x:c>
      <x:c r="AB188" s="30" t="str">
        <x:f>IF(Z188,"verified_coordinate_and_open","not_map_ready")</x:f>
        <x:v>verified_coordinate_and_open</x:v>
      </x:c>
      <x:c r="AC188" s="30" t="str">
        <x:v>Open</x:v>
      </x:c>
      <x:c r="AD188" s="30" t="str">
        <x:v>Public — handicap 54 or lower</x:v>
      </x:c>
      <x:c r="AE188" s="31" t="b">
        <x:v>1</x:v>
      </x:c>
      <x:c r="AF188" s="31" t="b">
        <x:v>0</x:v>
      </x:c>
      <x:c r="AG188" s="30"/>
      <x:c r="AH188" s="30"/>
      <x:c r="AI188" s="30"/>
      <x:c r="AJ188" s="31" t="b">
        <x:v>0</x:v>
      </x:c>
      <x:c r="AK188" s="31" t="b">
        <x:v>0</x:v>
      </x:c>
      <x:c r="AL188" s="30" t="str">
        <x:v>Verified — national register and exact BAG address</x:v>
      </x:c>
      <x:c r="AM188" s="30" t="str">
        <x:v>https://www.golf.nl/de-baan-op/banenzoeker/overzicht</x:v>
      </x:c>
      <x:c r="AN188" s="30" t="str">
        <x:v>2026-08-15</x:v>
      </x:c>
      <x:c r="AO188" s="30" t="str">
        <x:v>+31 13-5342029</x:v>
      </x:c>
      <x:c r="AP188" s="30" t="str">
        <x:v>Current NGF/GOLF.NL listing: 9 holes, par 36, 2723 metres. Listed as qualifying.</x:v>
      </x:c>
    </x:row>
    <x:row r="189">
      <x:c r="A189" s="30" t="str">
        <x:v>NL-C0122</x:v>
      </x:c>
      <x:c r="B189" s="30" t="str">
        <x:v>NL-0188</x:v>
      </x:c>
      <x:c r="C189" s="30" t="str">
        <x:v>Golfclub Midden-Brabant — Main Course</x:v>
      </x:c>
      <x:c r="D189" s="30" t="str">
        <x:v>Golfclub Midden-Brabant</x:v>
      </x:c>
      <x:c r="E189" s="30" t="str">
        <x:v>Main Course</x:v>
      </x:c>
      <x:c r="F189" s="30" t="str">
        <x:v>Netherlands</x:v>
      </x:c>
      <x:c r="G189" s="30" t="str">
        <x:v>Noord-Brabant</x:v>
      </x:c>
      <x:c r="H189" s="30" t="str">
        <x:v>Hilvarenbeek</x:v>
      </x:c>
      <x:c r="I189" s="30" t="str">
        <x:v>Esbeek</x:v>
      </x:c>
      <x:c r="J189" s="30" t="str">
        <x:v>Dunsedijk 1</x:v>
      </x:c>
      <x:c r="K189" s="30" t="str">
        <x:v>5085 ND</x:v>
      </x:c>
      <x:c r="L189" s="32" t="n">
        <x:v>51.44818499</x:v>
      </x:c>
      <x:c r="M189" s="32" t="n">
        <x:v>5.14268216</x:v>
      </x:c>
      <x:c r="N189" s="30" t="str">
        <x:v>WGS84 / EPSG:4326</x:v>
      </x:c>
      <x:c r="O189" s="30" t="str">
        <x:v>Verified BAG address point via PDOK</x:v>
      </x:c>
      <x:c r="P189" s="30" t="str">
        <x:v>2026-08-15</x:v>
      </x:c>
      <x:c r="Q189" s="33" t="n">
        <x:f>IF(R189="","",ROUND(R189/0.9144,0))</x:f>
        <x:v>6425</x:v>
      </x:c>
      <x:c r="R189" s="33" t="n">
        <x:v>5875</x:v>
      </x:c>
      <x:c r="S189" s="33" t="n">
        <x:v>18</x:v>
      </x:c>
      <x:c r="T189" s="33" t="n">
        <x:v>72</x:v>
      </x:c>
      <x:c r="U189" s="30" t="str">
        <x:v>Full-length course</x:v>
      </x:c>
      <x:c r="V189" s="30"/>
      <x:c r="W189" s="30"/>
      <x:c r="X189" s="30"/>
      <x:c r="Y189" s="30" t="str">
        <x:v>https://www.golfmiddenbrabant.nl/</x:v>
      </x:c>
      <x:c r="Z189" s="30" t="b">
        <x:f>IF(AND(F189="Netherlands",ISNUMBER(L189),ISNUMBER(M189),L189&gt;=50.7,L189&lt;=53.7,M189&gt;=3.2,M189&lt;=7.3,AC189&lt;&gt;"Closed"),TRUE,FALSE)</x:f>
        <x:v>1</x:v>
      </x:c>
      <x:c r="AA189" s="30" t="b">
        <x:f>Z189</x:f>
        <x:v>1</x:v>
      </x:c>
      <x:c r="AB189" s="30" t="str">
        <x:f>IF(Z189,"verified_coordinate_and_open","not_map_ready")</x:f>
        <x:v>verified_coordinate_and_open</x:v>
      </x:c>
      <x:c r="AC189" s="30" t="str">
        <x:v>Open</x:v>
      </x:c>
      <x:c r="AD189" s="30" t="str">
        <x:v>Public — NGF course permission</x:v>
      </x:c>
      <x:c r="AE189" s="31" t="b">
        <x:v>1</x:v>
      </x:c>
      <x:c r="AF189" s="31" t="b">
        <x:v>0</x:v>
      </x:c>
      <x:c r="AG189" s="30"/>
      <x:c r="AH189" s="30"/>
      <x:c r="AI189" s="30"/>
      <x:c r="AJ189" s="31" t="b">
        <x:v>0</x:v>
      </x:c>
      <x:c r="AK189" s="31" t="b">
        <x:v>0</x:v>
      </x:c>
      <x:c r="AL189" s="30" t="str">
        <x:v>Verified — national register and exact BAG address</x:v>
      </x:c>
      <x:c r="AM189" s="30" t="str">
        <x:v>https://www.golf.nl/de-baan-op/banenzoeker/overzicht</x:v>
      </x:c>
      <x:c r="AN189" s="30" t="str">
        <x:v>2026-08-15</x:v>
      </x:c>
      <x:c r="AO189" s="30" t="str">
        <x:v>+31 13-5169966</x:v>
      </x:c>
      <x:c r="AP189" s="30" t="str">
        <x:v>Current NGF/GOLF.NL listing: 18 holes, par 72, 5875 metres. Combined from exact NGF-listed constituent nine-hole loops: 1ste negen (9 holes, par 36, 2972 m); 2de negen (9 holes, par 36, 2903 m) Listed as qualifying.</x:v>
      </x:c>
    </x:row>
    <x:row r="190">
      <x:c r="A190" s="30" t="str">
        <x:v>NL-C0123</x:v>
      </x:c>
      <x:c r="B190" s="30" t="str">
        <x:v>NL-0189</x:v>
      </x:c>
      <x:c r="C190" s="30" t="str">
        <x:v>Golfclub Princenbosch — A</x:v>
      </x:c>
      <x:c r="D190" s="30" t="str">
        <x:v>Golfclub Princenbosch</x:v>
      </x:c>
      <x:c r="E190" s="30" t="str">
        <x:v>A</x:v>
      </x:c>
      <x:c r="F190" s="30" t="str">
        <x:v>Netherlands</x:v>
      </x:c>
      <x:c r="G190" s="30" t="str">
        <x:v>Noord-Brabant</x:v>
      </x:c>
      <x:c r="H190" s="30" t="str">
        <x:v>Gilze en Rijen</x:v>
      </x:c>
      <x:c r="I190" s="30" t="str">
        <x:v>Molenschot</x:v>
      </x:c>
      <x:c r="J190" s="30" t="str">
        <x:v>Bavelseweg 153</x:v>
      </x:c>
      <x:c r="K190" s="30" t="str">
        <x:v>5124 PX</x:v>
      </x:c>
      <x:c r="L190" s="32" t="n">
        <x:v>51.54807386</x:v>
      </x:c>
      <x:c r="M190" s="32" t="n">
        <x:v>4.87355936</x:v>
      </x:c>
      <x:c r="N190" s="30" t="str">
        <x:v>WGS84 / EPSG:4326</x:v>
      </x:c>
      <x:c r="O190" s="30" t="str">
        <x:v>Verified BAG address point via PDOK</x:v>
      </x:c>
      <x:c r="P190" s="30" t="str">
        <x:v>2026-08-15</x:v>
      </x:c>
      <x:c r="Q190" s="33" t="n">
        <x:f>IF(R190="","",ROUND(R190/0.9144,0))</x:f>
        <x:v>3065</x:v>
      </x:c>
      <x:c r="R190" s="33" t="n">
        <x:v>2803</x:v>
      </x:c>
      <x:c r="S190" s="33" t="n">
        <x:v>9</x:v>
      </x:c>
      <x:c r="T190" s="33" t="n">
        <x:v>35</x:v>
      </x:c>
      <x:c r="U190" s="30" t="str">
        <x:v>Full-length course</x:v>
      </x:c>
      <x:c r="V190" s="30"/>
      <x:c r="W190" s="30"/>
      <x:c r="X190" s="30"/>
      <x:c r="Y190" s="30" t="str">
        <x:v>https://princenbosch.nl/</x:v>
      </x:c>
      <x:c r="Z190" s="30" t="b">
        <x:f>IF(AND(F190="Netherlands",ISNUMBER(L190),ISNUMBER(M190),L190&gt;=50.7,L190&lt;=53.7,M190&gt;=3.2,M190&lt;=7.3,AC190&lt;&gt;"Closed"),TRUE,FALSE)</x:f>
        <x:v>1</x:v>
      </x:c>
      <x:c r="AA190" s="30" t="b">
        <x:f>Z190</x:f>
        <x:v>1</x:v>
      </x:c>
      <x:c r="AB190" s="30" t="str">
        <x:f>IF(Z190,"verified_coordinate_and_open","not_map_ready")</x:f>
        <x:v>verified_coordinate_and_open</x:v>
      </x:c>
      <x:c r="AC190" s="30" t="str">
        <x:v>Open</x:v>
      </x:c>
      <x:c r="AD190" s="30" t="str">
        <x:v>Public — handicap 54 or lower</x:v>
      </x:c>
      <x:c r="AE190" s="31" t="b">
        <x:v>1</x:v>
      </x:c>
      <x:c r="AF190" s="31" t="b">
        <x:v>0</x:v>
      </x:c>
      <x:c r="AG190" s="30"/>
      <x:c r="AH190" s="30"/>
      <x:c r="AI190" s="30"/>
      <x:c r="AJ190" s="31" t="b">
        <x:v>0</x:v>
      </x:c>
      <x:c r="AK190" s="31" t="b">
        <x:v>0</x:v>
      </x:c>
      <x:c r="AL190" s="30" t="str">
        <x:v>Verified — national register and exact BAG address</x:v>
      </x:c>
      <x:c r="AM190" s="30" t="str">
        <x:v>https://www.golf.nl/de-baan-op/banenzoeker/overzicht</x:v>
      </x:c>
      <x:c r="AN190" s="30" t="str">
        <x:v>2026-08-15</x:v>
      </x:c>
      <x:c r="AO190" s="30" t="str">
        <x:v>+31 161-431531</x:v>
      </x:c>
      <x:c r="AP190" s="30" t="str">
        <x:v>Current NGF/GOLF.NL listing: 9 holes, par 35, 2803 metres. Listed as qualifying.</x:v>
      </x:c>
    </x:row>
    <x:row r="191">
      <x:c r="A191" s="30" t="str">
        <x:v>NL-C0123</x:v>
      </x:c>
      <x:c r="B191" s="30" t="str">
        <x:v>NL-0190</x:v>
      </x:c>
      <x:c r="C191" s="30" t="str">
        <x:v>Golfclub Princenbosch — B</x:v>
      </x:c>
      <x:c r="D191" s="30" t="str">
        <x:v>Golfclub Princenbosch</x:v>
      </x:c>
      <x:c r="E191" s="30" t="str">
        <x:v>B</x:v>
      </x:c>
      <x:c r="F191" s="30" t="str">
        <x:v>Netherlands</x:v>
      </x:c>
      <x:c r="G191" s="30" t="str">
        <x:v>Noord-Brabant</x:v>
      </x:c>
      <x:c r="H191" s="30" t="str">
        <x:v>Gilze en Rijen</x:v>
      </x:c>
      <x:c r="I191" s="30" t="str">
        <x:v>Molenschot</x:v>
      </x:c>
      <x:c r="J191" s="30" t="str">
        <x:v>Bavelseweg 153</x:v>
      </x:c>
      <x:c r="K191" s="30" t="str">
        <x:v>5124 PX</x:v>
      </x:c>
      <x:c r="L191" s="32" t="n">
        <x:v>51.54807386</x:v>
      </x:c>
      <x:c r="M191" s="32" t="n">
        <x:v>4.87355936</x:v>
      </x:c>
      <x:c r="N191" s="30" t="str">
        <x:v>WGS84 / EPSG:4326</x:v>
      </x:c>
      <x:c r="O191" s="30" t="str">
        <x:v>Verified BAG address point via PDOK</x:v>
      </x:c>
      <x:c r="P191" s="30" t="str">
        <x:v>2026-08-15</x:v>
      </x:c>
      <x:c r="Q191" s="33" t="n">
        <x:f>IF(R191="","",ROUND(R191/0.9144,0))</x:f>
        <x:v>2987</x:v>
      </x:c>
      <x:c r="R191" s="33" t="n">
        <x:v>2731</x:v>
      </x:c>
      <x:c r="S191" s="33" t="n">
        <x:v>9</x:v>
      </x:c>
      <x:c r="T191" s="33" t="n">
        <x:v>35</x:v>
      </x:c>
      <x:c r="U191" s="30" t="str">
        <x:v>Full-length course</x:v>
      </x:c>
      <x:c r="V191" s="30"/>
      <x:c r="W191" s="30"/>
      <x:c r="X191" s="30"/>
      <x:c r="Y191" s="30" t="str">
        <x:v>https://princenbosch.nl/</x:v>
      </x:c>
      <x:c r="Z191" s="30" t="b">
        <x:f>IF(AND(F191="Netherlands",ISNUMBER(L191),ISNUMBER(M191),L191&gt;=50.7,L191&lt;=53.7,M191&gt;=3.2,M191&lt;=7.3,AC191&lt;&gt;"Closed"),TRUE,FALSE)</x:f>
        <x:v>1</x:v>
      </x:c>
      <x:c r="AA191" s="30" t="b">
        <x:f>Z191</x:f>
        <x:v>1</x:v>
      </x:c>
      <x:c r="AB191" s="30" t="str">
        <x:f>IF(Z191,"verified_coordinate_and_open","not_map_ready")</x:f>
        <x:v>verified_coordinate_and_open</x:v>
      </x:c>
      <x:c r="AC191" s="30" t="str">
        <x:v>Open</x:v>
      </x:c>
      <x:c r="AD191" s="30" t="str">
        <x:v>Public — handicap 54 or lower</x:v>
      </x:c>
      <x:c r="AE191" s="31" t="b">
        <x:v>1</x:v>
      </x:c>
      <x:c r="AF191" s="31" t="b">
        <x:v>0</x:v>
      </x:c>
      <x:c r="AG191" s="30"/>
      <x:c r="AH191" s="30"/>
      <x:c r="AI191" s="30"/>
      <x:c r="AJ191" s="31" t="b">
        <x:v>0</x:v>
      </x:c>
      <x:c r="AK191" s="31" t="b">
        <x:v>0</x:v>
      </x:c>
      <x:c r="AL191" s="30" t="str">
        <x:v>Verified — national register and exact BAG address</x:v>
      </x:c>
      <x:c r="AM191" s="30" t="str">
        <x:v>https://www.golf.nl/de-baan-op/banenzoeker/overzicht</x:v>
      </x:c>
      <x:c r="AN191" s="30" t="str">
        <x:v>2026-08-15</x:v>
      </x:c>
      <x:c r="AO191" s="30" t="str">
        <x:v>+31 161-431531</x:v>
      </x:c>
      <x:c r="AP191" s="30" t="str">
        <x:v>Current NGF/GOLF.NL listing: 9 holes, par 35, 2731 metres. Listed as qualifying.</x:v>
      </x:c>
    </x:row>
    <x:row r="192">
      <x:c r="A192" s="30" t="str">
        <x:v>NL-C0123</x:v>
      </x:c>
      <x:c r="B192" s="30" t="str">
        <x:v>NL-0191</x:v>
      </x:c>
      <x:c r="C192" s="30" t="str">
        <x:v>Golfclub Princenbosch — C</x:v>
      </x:c>
      <x:c r="D192" s="30" t="str">
        <x:v>Golfclub Princenbosch</x:v>
      </x:c>
      <x:c r="E192" s="30" t="str">
        <x:v>C</x:v>
      </x:c>
      <x:c r="F192" s="30" t="str">
        <x:v>Netherlands</x:v>
      </x:c>
      <x:c r="G192" s="30" t="str">
        <x:v>Noord-Brabant</x:v>
      </x:c>
      <x:c r="H192" s="30" t="str">
        <x:v>Gilze en Rijen</x:v>
      </x:c>
      <x:c r="I192" s="30" t="str">
        <x:v>Molenschot</x:v>
      </x:c>
      <x:c r="J192" s="30" t="str">
        <x:v>Bavelseweg 153</x:v>
      </x:c>
      <x:c r="K192" s="30" t="str">
        <x:v>5124 PX</x:v>
      </x:c>
      <x:c r="L192" s="32" t="n">
        <x:v>51.54807386</x:v>
      </x:c>
      <x:c r="M192" s="32" t="n">
        <x:v>4.87355936</x:v>
      </x:c>
      <x:c r="N192" s="30" t="str">
        <x:v>WGS84 / EPSG:4326</x:v>
      </x:c>
      <x:c r="O192" s="30" t="str">
        <x:v>Verified BAG address point via PDOK</x:v>
      </x:c>
      <x:c r="P192" s="30" t="str">
        <x:v>2026-08-15</x:v>
      </x:c>
      <x:c r="Q192" s="33" t="n">
        <x:f>IF(R192="","",ROUND(R192/0.9144,0))</x:f>
        <x:v>3473</x:v>
      </x:c>
      <x:c r="R192" s="33" t="n">
        <x:v>3176</x:v>
      </x:c>
      <x:c r="S192" s="33" t="n">
        <x:v>9</x:v>
      </x:c>
      <x:c r="T192" s="33" t="n">
        <x:v>37</x:v>
      </x:c>
      <x:c r="U192" s="30" t="str">
        <x:v>Full-length course</x:v>
      </x:c>
      <x:c r="V192" s="30"/>
      <x:c r="W192" s="30"/>
      <x:c r="X192" s="30"/>
      <x:c r="Y192" s="30" t="str">
        <x:v>https://princenbosch.nl/</x:v>
      </x:c>
      <x:c r="Z192" s="30" t="b">
        <x:f>IF(AND(F192="Netherlands",ISNUMBER(L192),ISNUMBER(M192),L192&gt;=50.7,L192&lt;=53.7,M192&gt;=3.2,M192&lt;=7.3,AC192&lt;&gt;"Closed"),TRUE,FALSE)</x:f>
        <x:v>1</x:v>
      </x:c>
      <x:c r="AA192" s="30" t="b">
        <x:f>Z192</x:f>
        <x:v>1</x:v>
      </x:c>
      <x:c r="AB192" s="30" t="str">
        <x:f>IF(Z192,"verified_coordinate_and_open","not_map_ready")</x:f>
        <x:v>verified_coordinate_and_open</x:v>
      </x:c>
      <x:c r="AC192" s="30" t="str">
        <x:v>Open</x:v>
      </x:c>
      <x:c r="AD192" s="30" t="str">
        <x:v>Public — handicap 54 or lower</x:v>
      </x:c>
      <x:c r="AE192" s="31" t="b">
        <x:v>1</x:v>
      </x:c>
      <x:c r="AF192" s="31" t="b">
        <x:v>0</x:v>
      </x:c>
      <x:c r="AG192" s="30"/>
      <x:c r="AH192" s="30"/>
      <x:c r="AI192" s="30"/>
      <x:c r="AJ192" s="31" t="b">
        <x:v>0</x:v>
      </x:c>
      <x:c r="AK192" s="31" t="b">
        <x:v>0</x:v>
      </x:c>
      <x:c r="AL192" s="30" t="str">
        <x:v>Verified — national register and exact BAG address</x:v>
      </x:c>
      <x:c r="AM192" s="30" t="str">
        <x:v>https://www.golf.nl/de-baan-op/banenzoeker/overzicht</x:v>
      </x:c>
      <x:c r="AN192" s="30" t="str">
        <x:v>2026-08-15</x:v>
      </x:c>
      <x:c r="AO192" s="30" t="str">
        <x:v>+31 161-431531</x:v>
      </x:c>
      <x:c r="AP192" s="30" t="str">
        <x:v>Current NGF/GOLF.NL listing: 9 holes, par 37, 3176 metres. Listed as qualifying.</x:v>
      </x:c>
    </x:row>
    <x:row r="193">
      <x:c r="A193" s="30" t="str">
        <x:v>NL-C0123</x:v>
      </x:c>
      <x:c r="B193" s="30" t="str">
        <x:v>NL-0192</x:v>
      </x:c>
      <x:c r="C193" s="30" t="str">
        <x:v>Golfclub Princenbosch — Par-3 Course</x:v>
      </x:c>
      <x:c r="D193" s="30" t="str">
        <x:v>Golfclub Princenbosch</x:v>
      </x:c>
      <x:c r="E193" s="30" t="str">
        <x:v>Par-3 Course</x:v>
      </x:c>
      <x:c r="F193" s="30" t="str">
        <x:v>Netherlands</x:v>
      </x:c>
      <x:c r="G193" s="30" t="str">
        <x:v>Noord-Brabant</x:v>
      </x:c>
      <x:c r="H193" s="30" t="str">
        <x:v>Gilze en Rijen</x:v>
      </x:c>
      <x:c r="I193" s="30" t="str">
        <x:v>Molenschot</x:v>
      </x:c>
      <x:c r="J193" s="30" t="str">
        <x:v>Bavelseweg 153</x:v>
      </x:c>
      <x:c r="K193" s="30" t="str">
        <x:v>5124 PX</x:v>
      </x:c>
      <x:c r="L193" s="32" t="n">
        <x:v>51.54807386</x:v>
      </x:c>
      <x:c r="M193" s="32" t="n">
        <x:v>4.87355936</x:v>
      </x:c>
      <x:c r="N193" s="30" t="str">
        <x:v>WGS84 / EPSG:4326</x:v>
      </x:c>
      <x:c r="O193" s="30" t="str">
        <x:v>Verified BAG address point via PDOK</x:v>
      </x:c>
      <x:c r="P193" s="30" t="str">
        <x:v>2026-08-15</x:v>
      </x:c>
      <x:c r="Q193" s="33" t="n">
        <x:f>IF(R193="","",ROUND(R193/0.9144,0))</x:f>
        <x:v>1016</x:v>
      </x:c>
      <x:c r="R193" s="33" t="n">
        <x:v>929</x:v>
      </x:c>
      <x:c r="S193" s="33" t="n">
        <x:v>9</x:v>
      </x:c>
      <x:c r="T193" s="33" t="n">
        <x:v>27</x:v>
      </x:c>
      <x:c r="U193" s="30" t="str">
        <x:v>Par-3 course</x:v>
      </x:c>
      <x:c r="V193" s="30"/>
      <x:c r="W193" s="30"/>
      <x:c r="X193" s="30"/>
      <x:c r="Y193" s="30" t="str">
        <x:v>https://princenbosch.nl/</x:v>
      </x:c>
      <x:c r="Z193" s="30" t="b">
        <x:f>IF(AND(F193="Netherlands",ISNUMBER(L193),ISNUMBER(M193),L193&gt;=50.7,L193&lt;=53.7,M193&gt;=3.2,M193&lt;=7.3,AC193&lt;&gt;"Closed"),TRUE,FALSE)</x:f>
        <x:v>1</x:v>
      </x:c>
      <x:c r="AA193" s="30" t="b">
        <x:f>Z193</x:f>
        <x:v>1</x:v>
      </x:c>
      <x:c r="AB193" s="30" t="str">
        <x:f>IF(Z193,"verified_coordinate_and_open","not_map_ready")</x:f>
        <x:v>verified_coordinate_and_open</x:v>
      </x:c>
      <x:c r="AC193" s="30" t="str">
        <x:v>Open</x:v>
      </x:c>
      <x:c r="AD193" s="30" t="str">
        <x:v>Public — NGF course permission</x:v>
      </x:c>
      <x:c r="AE193" s="31" t="b">
        <x:v>1</x:v>
      </x:c>
      <x:c r="AF193" s="31" t="b">
        <x:v>0</x:v>
      </x:c>
      <x:c r="AG193" s="30"/>
      <x:c r="AH193" s="30"/>
      <x:c r="AI193" s="30"/>
      <x:c r="AJ193" s="31" t="b">
        <x:v>0</x:v>
      </x:c>
      <x:c r="AK193" s="31" t="b">
        <x:v>0</x:v>
      </x:c>
      <x:c r="AL193" s="30" t="str">
        <x:v>Verified — national register and exact BAG address</x:v>
      </x:c>
      <x:c r="AM193" s="30" t="str">
        <x:v>https://www.golf.nl/de-baan-op/banenzoeker/overzicht</x:v>
      </x:c>
      <x:c r="AN193" s="30" t="str">
        <x:v>2026-08-15</x:v>
      </x:c>
      <x:c r="AO193" s="30" t="str">
        <x:v>+31 161-431531</x:v>
      </x:c>
      <x:c r="AP193" s="30" t="str">
        <x:v>Current NGF/GOLF.NL listing: 9 holes, par 27, 929 metres. Listed as qualifying.</x:v>
      </x:c>
    </x:row>
    <x:row r="194">
      <x:c r="A194" s="30" t="str">
        <x:v>NL-C0124</x:v>
      </x:c>
      <x:c r="B194" s="30" t="str">
        <x:v>NL-0193</x:v>
      </x:c>
      <x:c r="C194" s="30" t="str">
        <x:v>Golfclub Riel</x:v>
      </x:c>
      <x:c r="D194" s="30" t="str">
        <x:v>Golfclub Riel</x:v>
      </x:c>
      <x:c r="E194" s="30" t="str">
        <x:v>Course</x:v>
      </x:c>
      <x:c r="F194" s="30" t="str">
        <x:v>Netherlands</x:v>
      </x:c>
      <x:c r="G194" s="30" t="str">
        <x:v>Noord-Brabant</x:v>
      </x:c>
      <x:c r="H194" s="30" t="str">
        <x:v>Geldrop-Mierlo</x:v>
      </x:c>
      <x:c r="I194" s="30" t="str">
        <x:v>Geldrop</x:v>
      </x:c>
      <x:c r="J194" s="30" t="str">
        <x:v>Gijzenrooiseweg 23</x:v>
      </x:c>
      <x:c r="K194" s="30" t="str">
        <x:v>5661 MA</x:v>
      </x:c>
      <x:c r="L194" s="32" t="n">
        <x:v>51.42271273</x:v>
      </x:c>
      <x:c r="M194" s="32" t="n">
        <x:v>5.53525734</x:v>
      </x:c>
      <x:c r="N194" s="30" t="str">
        <x:v>WGS84 / EPSG:4326</x:v>
      </x:c>
      <x:c r="O194" s="30" t="str">
        <x:v>Verified BAG address point via PDOK</x:v>
      </x:c>
      <x:c r="P194" s="30" t="str">
        <x:v>2026-08-15</x:v>
      </x:c>
      <x:c r="Q194" s="33" t="n">
        <x:f>IF(R194="","",ROUND(R194/0.9144,0))</x:f>
        <x:v>2002</x:v>
      </x:c>
      <x:c r="R194" s="33" t="n">
        <x:v>1831</x:v>
      </x:c>
      <x:c r="S194" s="33" t="n">
        <x:v>9</x:v>
      </x:c>
      <x:c r="T194" s="33" t="n">
        <x:v>31</x:v>
      </x:c>
      <x:c r="U194" s="30" t="str">
        <x:v>Par-3/4 course</x:v>
      </x:c>
      <x:c r="V194" s="30"/>
      <x:c r="W194" s="30"/>
      <x:c r="X194" s="30"/>
      <x:c r="Y194" s="30" t="str">
        <x:v>https://gcriel.nl/</x:v>
      </x:c>
      <x:c r="Z194" s="30" t="b">
        <x:f>IF(AND(F194="Netherlands",ISNUMBER(L194),ISNUMBER(M194),L194&gt;=50.7,L194&lt;=53.7,M194&gt;=3.2,M194&lt;=7.3,AC194&lt;&gt;"Closed"),TRUE,FALSE)</x:f>
        <x:v>1</x:v>
      </x:c>
      <x:c r="AA194" s="30" t="b">
        <x:f>Z194</x:f>
        <x:v>1</x:v>
      </x:c>
      <x:c r="AB194" s="30" t="str">
        <x:f>IF(Z194,"verified_coordinate_and_open","not_map_ready")</x:f>
        <x:v>verified_coordinate_and_open</x:v>
      </x:c>
      <x:c r="AC194" s="30" t="str">
        <x:v>Open</x:v>
      </x:c>
      <x:c r="AD194" s="30" t="str">
        <x:v>Public — handicap 54 or lower</x:v>
      </x:c>
      <x:c r="AE194" s="31" t="b">
        <x:v>1</x:v>
      </x:c>
      <x:c r="AF194" s="31" t="b">
        <x:v>0</x:v>
      </x:c>
      <x:c r="AG194" s="30"/>
      <x:c r="AH194" s="30"/>
      <x:c r="AI194" s="30"/>
      <x:c r="AJ194" s="31" t="b">
        <x:v>0</x:v>
      </x:c>
      <x:c r="AK194" s="31" t="b">
        <x:v>0</x:v>
      </x:c>
      <x:c r="AL194" s="30" t="str">
        <x:v>Verified — national register and exact BAG address</x:v>
      </x:c>
      <x:c r="AM194" s="30" t="str">
        <x:v>https://www.golf.nl/de-baan-op/banenzoeker/overzicht</x:v>
      </x:c>
      <x:c r="AN194" s="30" t="str">
        <x:v>2026-08-15</x:v>
      </x:c>
      <x:c r="AO194" s="30" t="str">
        <x:v>+31 40-2855401</x:v>
      </x:c>
      <x:c r="AP194" s="30" t="str">
        <x:v>Current NGF/GOLF.NL listing: 9 holes, par 31, 1831 metres. Listed as qualifying.</x:v>
      </x:c>
    </x:row>
    <x:row r="195">
      <x:c r="A195" s="30" t="str">
        <x:v>NL-C0125</x:v>
      </x:c>
      <x:c r="B195" s="30" t="str">
        <x:v>NL-0194</x:v>
      </x:c>
      <x:c r="C195" s="30" t="str">
        <x:v>Golfclub Son</x:v>
      </x:c>
      <x:c r="D195" s="30" t="str">
        <x:v>Golfclub Son</x:v>
      </x:c>
      <x:c r="E195" s="30" t="str">
        <x:v>Course</x:v>
      </x:c>
      <x:c r="F195" s="30" t="str">
        <x:v>Netherlands</x:v>
      </x:c>
      <x:c r="G195" s="30" t="str">
        <x:v>Noord-Brabant</x:v>
      </x:c>
      <x:c r="H195" s="30" t="str">
        <x:v>Son en Breugel</x:v>
      </x:c>
      <x:c r="I195" s="30" t="str">
        <x:v>Son en Breugel</x:v>
      </x:c>
      <x:c r="J195" s="30" t="str">
        <x:v>Sportpark de Gentiaan, Rooijseweg 11</x:v>
      </x:c>
      <x:c r="K195" s="30" t="str">
        <x:v>5691 PA</x:v>
      </x:c>
      <x:c r="L195" s="32" t="n">
        <x:v>51.52391144</x:v>
      </x:c>
      <x:c r="M195" s="32" t="n">
        <x:v>5.4884411</x:v>
      </x:c>
      <x:c r="N195" s="30" t="str">
        <x:v>WGS84 / EPSG:4326</x:v>
      </x:c>
      <x:c r="O195" s="30" t="str">
        <x:v>Verified BAG address point via PDOK</x:v>
      </x:c>
      <x:c r="P195" s="30" t="str">
        <x:v>2026-08-15</x:v>
      </x:c>
      <x:c r="Q195" s="33" t="n">
        <x:f>IF(R195="","",ROUND(R195/0.9144,0))</x:f>
        <x:v>1287</x:v>
      </x:c>
      <x:c r="R195" s="33" t="n">
        <x:v>1177</x:v>
      </x:c>
      <x:c r="S195" s="33" t="n">
        <x:v>9</x:v>
      </x:c>
      <x:c r="T195" s="33" t="n">
        <x:v>28</x:v>
      </x:c>
      <x:c r="U195" s="30" t="str">
        <x:v>Par-3/4 course</x:v>
      </x:c>
      <x:c r="V195" s="30"/>
      <x:c r="W195" s="30"/>
      <x:c r="X195" s="30"/>
      <x:c r="Y195" s="30" t="str">
        <x:v>https://www.golfson.nl/</x:v>
      </x:c>
      <x:c r="Z195" s="30" t="b">
        <x:f>IF(AND(F195="Netherlands",ISNUMBER(L195),ISNUMBER(M195),L195&gt;=50.7,L195&lt;=53.7,M195&gt;=3.2,M195&lt;=7.3,AC195&lt;&gt;"Closed"),TRUE,FALSE)</x:f>
        <x:v>1</x:v>
      </x:c>
      <x:c r="AA195" s="30" t="b">
        <x:f>Z195</x:f>
        <x:v>1</x:v>
      </x:c>
      <x:c r="AB195" s="30" t="str">
        <x:f>IF(Z195,"verified_coordinate_and_open","not_map_ready")</x:f>
        <x:v>verified_coordinate_and_open</x:v>
      </x:c>
      <x:c r="AC195" s="30" t="str">
        <x:v>Open</x:v>
      </x:c>
      <x:c r="AD195" s="30" t="str">
        <x:v>Public — NGF course permission</x:v>
      </x:c>
      <x:c r="AE195" s="31" t="b">
        <x:v>1</x:v>
      </x:c>
      <x:c r="AF195" s="31" t="b">
        <x:v>0</x:v>
      </x:c>
      <x:c r="AG195" s="30"/>
      <x:c r="AH195" s="30"/>
      <x:c r="AI195" s="30"/>
      <x:c r="AJ195" s="31" t="b">
        <x:v>0</x:v>
      </x:c>
      <x:c r="AK195" s="31" t="b">
        <x:v>0</x:v>
      </x:c>
      <x:c r="AL195" s="30" t="str">
        <x:v>Verified — national register and exact BAG address</x:v>
      </x:c>
      <x:c r="AM195" s="30" t="str">
        <x:v>https://www.golf.nl/de-baan-op/banenzoeker/overzicht</x:v>
      </x:c>
      <x:c r="AN195" s="30" t="str">
        <x:v>2026-08-15</x:v>
      </x:c>
      <x:c r="AO195" s="30" t="str">
        <x:v>+31 499-842581</x:v>
      </x:c>
      <x:c r="AP195" s="30" t="str">
        <x:v>Current NGF/GOLF.NL listing: 9 holes, par 28, 1177 metres. Listed as qualifying.</x:v>
      </x:c>
    </x:row>
    <x:row r="196">
      <x:c r="A196" s="30" t="str">
        <x:v>NL-C0126</x:v>
      </x:c>
      <x:c r="B196" s="30" t="str">
        <x:v>NL-0195</x:v>
      </x:c>
      <x:c r="C196" s="30" t="str">
        <x:v>Golfclub Vught</x:v>
      </x:c>
      <x:c r="D196" s="30" t="str">
        <x:v>Golfclub Vught</x:v>
      </x:c>
      <x:c r="E196" s="30" t="str">
        <x:v>Course</x:v>
      </x:c>
      <x:c r="F196" s="30" t="str">
        <x:v>Netherlands</x:v>
      </x:c>
      <x:c r="G196" s="30" t="str">
        <x:v>Noord-Brabant</x:v>
      </x:c>
      <x:c r="H196" s="30" t="str">
        <x:v>Vught</x:v>
      </x:c>
      <x:c r="I196" s="30" t="str">
        <x:v>Vught</x:v>
      </x:c>
      <x:c r="J196" s="30" t="str">
        <x:v>Sportpark Bergenshuizen, De Bus 2</x:v>
      </x:c>
      <x:c r="K196" s="30" t="str">
        <x:v>5262 LV</x:v>
      </x:c>
      <x:c r="L196" s="32" t="n">
        <x:v>51.62910979</x:v>
      </x:c>
      <x:c r="M196" s="32" t="n">
        <x:v>5.27135856</x:v>
      </x:c>
      <x:c r="N196" s="30" t="str">
        <x:v>WGS84 / EPSG:4326</x:v>
      </x:c>
      <x:c r="O196" s="30" t="str">
        <x:v>Verified BAG address point via PDOK</x:v>
      </x:c>
      <x:c r="P196" s="30" t="str">
        <x:v>2026-08-15</x:v>
      </x:c>
      <x:c r="Q196" s="33" t="n">
        <x:f>IF(R196="","",ROUND(R196/0.9144,0))</x:f>
        <x:v>1001</x:v>
      </x:c>
      <x:c r="R196" s="33" t="n">
        <x:v>915</x:v>
      </x:c>
      <x:c r="S196" s="33" t="n">
        <x:v>9</x:v>
      </x:c>
      <x:c r="T196" s="33" t="n">
        <x:v>27</x:v>
      </x:c>
      <x:c r="U196" s="30" t="str">
        <x:v>Par-3 course</x:v>
      </x:c>
      <x:c r="V196" s="30"/>
      <x:c r="W196" s="30"/>
      <x:c r="X196" s="30"/>
      <x:c r="Y196" s="30" t="str">
        <x:v>https://www.golfclubvught.nl/</x:v>
      </x:c>
      <x:c r="Z196" s="30" t="b">
        <x:f>IF(AND(F196="Netherlands",ISNUMBER(L196),ISNUMBER(M196),L196&gt;=50.7,L196&lt;=53.7,M196&gt;=3.2,M196&lt;=7.3,AC196&lt;&gt;"Closed"),TRUE,FALSE)</x:f>
        <x:v>1</x:v>
      </x:c>
      <x:c r="AA196" s="30" t="b">
        <x:f>Z196</x:f>
        <x:v>1</x:v>
      </x:c>
      <x:c r="AB196" s="30" t="str">
        <x:f>IF(Z196,"verified_coordinate_and_open","not_map_ready")</x:f>
        <x:v>verified_coordinate_and_open</x:v>
      </x:c>
      <x:c r="AC196" s="30" t="str">
        <x:v>Open</x:v>
      </x:c>
      <x:c r="AD196" s="30" t="str">
        <x:v>Public — handicap 54 or lower</x:v>
      </x:c>
      <x:c r="AE196" s="31" t="b">
        <x:v>1</x:v>
      </x:c>
      <x:c r="AF196" s="31" t="b">
        <x:v>0</x:v>
      </x:c>
      <x:c r="AG196" s="30"/>
      <x:c r="AH196" s="30"/>
      <x:c r="AI196" s="30"/>
      <x:c r="AJ196" s="31" t="b">
        <x:v>0</x:v>
      </x:c>
      <x:c r="AK196" s="31" t="b">
        <x:v>0</x:v>
      </x:c>
      <x:c r="AL196" s="30" t="str">
        <x:v>Verified — national register and exact BAG address</x:v>
      </x:c>
      <x:c r="AM196" s="30" t="str">
        <x:v>https://www.golf.nl/de-baan-op/banenzoeker/overzicht</x:v>
      </x:c>
      <x:c r="AN196" s="30" t="str">
        <x:v>2026-08-15</x:v>
      </x:c>
      <x:c r="AO196" s="30" t="str">
        <x:v>+31 6-53706981</x:v>
      </x:c>
      <x:c r="AP196" s="30" t="str">
        <x:v>Current NGF/GOLF.NL listing: 9 holes, par 27, 915 metres. Listed as qualifying.</x:v>
      </x:c>
    </x:row>
    <x:row r="197">
      <x:c r="A197" s="30" t="str">
        <x:v>NL-C0127</x:v>
      </x:c>
      <x:c r="B197" s="30" t="str">
        <x:v>NL-0196</x:v>
      </x:c>
      <x:c r="C197" s="30" t="str">
        <x:v>Golfclub Wouwse Plantage — Main Course</x:v>
      </x:c>
      <x:c r="D197" s="30" t="str">
        <x:v>Golfclub Wouwse Plantage</x:v>
      </x:c>
      <x:c r="E197" s="30" t="str">
        <x:v>Main Course</x:v>
      </x:c>
      <x:c r="F197" s="30" t="str">
        <x:v>Netherlands</x:v>
      </x:c>
      <x:c r="G197" s="30" t="str">
        <x:v>Noord-Brabant</x:v>
      </x:c>
      <x:c r="H197" s="30" t="str">
        <x:v>Bergen op Zoom</x:v>
      </x:c>
      <x:c r="I197" s="30" t="str">
        <x:v>Bergen op Zoom</x:v>
      </x:c>
      <x:c r="J197" s="30" t="str">
        <x:v>Zoomvlietweg 66</x:v>
      </x:c>
      <x:c r="K197" s="30" t="str">
        <x:v>4624 RP</x:v>
      </x:c>
      <x:c r="L197" s="32" t="n">
        <x:v>51.47607229</x:v>
      </x:c>
      <x:c r="M197" s="32" t="n">
        <x:v>4.36129009</x:v>
      </x:c>
      <x:c r="N197" s="30" t="str">
        <x:v>WGS84 / EPSG:4326</x:v>
      </x:c>
      <x:c r="O197" s="30" t="str">
        <x:v>Verified BAG address point via PDOK</x:v>
      </x:c>
      <x:c r="P197" s="30" t="str">
        <x:v>2026-08-15</x:v>
      </x:c>
      <x:c r="Q197" s="33" t="n">
        <x:f>IF(R197="","",ROUND(R197/0.9144,0))</x:f>
        <x:v>6903</x:v>
      </x:c>
      <x:c r="R197" s="33" t="n">
        <x:v>6312</x:v>
      </x:c>
      <x:c r="S197" s="33" t="n">
        <x:v>18</x:v>
      </x:c>
      <x:c r="T197" s="33" t="n">
        <x:v>72</x:v>
      </x:c>
      <x:c r="U197" s="30" t="str">
        <x:v>Full-length course</x:v>
      </x:c>
      <x:c r="V197" s="30"/>
      <x:c r="W197" s="30"/>
      <x:c r="X197" s="30"/>
      <x:c r="Y197" s="30" t="str">
        <x:v>https://www.golfwouwseplantage.nl/</x:v>
      </x:c>
      <x:c r="Z197" s="30" t="b">
        <x:f>IF(AND(F197="Netherlands",ISNUMBER(L197),ISNUMBER(M197),L197&gt;=50.7,L197&lt;=53.7,M197&gt;=3.2,M197&lt;=7.3,AC197&lt;&gt;"Closed"),TRUE,FALSE)</x:f>
        <x:v>1</x:v>
      </x:c>
      <x:c r="AA197" s="30" t="b">
        <x:f>Z197</x:f>
        <x:v>1</x:v>
      </x:c>
      <x:c r="AB197" s="30" t="str">
        <x:f>IF(Z197,"verified_coordinate_and_open","not_map_ready")</x:f>
        <x:v>verified_coordinate_and_open</x:v>
      </x:c>
      <x:c r="AC197" s="30" t="str">
        <x:v>Open</x:v>
      </x:c>
      <x:c r="AD197" s="30" t="str">
        <x:v>Public — handicap 54 or lower</x:v>
      </x:c>
      <x:c r="AE197" s="31" t="b">
        <x:v>1</x:v>
      </x:c>
      <x:c r="AF197" s="31" t="b">
        <x:v>0</x:v>
      </x:c>
      <x:c r="AG197" s="30"/>
      <x:c r="AH197" s="30"/>
      <x:c r="AI197" s="30"/>
      <x:c r="AJ197" s="31" t="b">
        <x:v>0</x:v>
      </x:c>
      <x:c r="AK197" s="31" t="b">
        <x:v>0</x:v>
      </x:c>
      <x:c r="AL197" s="30" t="str">
        <x:v>Verified — national register and exact BAG address</x:v>
      </x:c>
      <x:c r="AM197" s="30" t="str">
        <x:v>https://www.golf.nl/de-baan-op/banenzoeker/overzicht</x:v>
      </x:c>
      <x:c r="AN197" s="30" t="str">
        <x:v>2026-08-15</x:v>
      </x:c>
      <x:c r="AO197" s="30" t="str">
        <x:v>+31 165-377100</x:v>
      </x:c>
      <x:c r="AP197" s="30" t="str">
        <x:v>Current NGF/GOLF.NL listing: 18 holes, par 72, 6312 metres. Combined from exact NGF-listed constituent nine-hole loops: 1ste negen (9 holes, par 36, 3054 m); 2de negen (9 holes, par 36, 3258 m) Listed as qualifying.</x:v>
      </x:c>
    </x:row>
    <x:row r="198">
      <x:c r="A198" s="30" t="str">
        <x:v>NL-C0128</x:v>
      </x:c>
      <x:c r="B198" s="30" t="str">
        <x:v>NL-0197</x:v>
      </x:c>
      <x:c r="C198" s="30" t="str">
        <x:v>Golfpark Almkreek — Main Course</x:v>
      </x:c>
      <x:c r="D198" s="30" t="str">
        <x:v>Golfpark Almkreek</x:v>
      </x:c>
      <x:c r="E198" s="30" t="str">
        <x:v>Main Course</x:v>
      </x:c>
      <x:c r="F198" s="30" t="str">
        <x:v>Netherlands</x:v>
      </x:c>
      <x:c r="G198" s="30" t="str">
        <x:v>Noord-Brabant</x:v>
      </x:c>
      <x:c r="H198" s="30" t="str">
        <x:v>Altena</x:v>
      </x:c>
      <x:c r="I198" s="30" t="str">
        <x:v>Almkerk</x:v>
      </x:c>
      <x:c r="J198" s="30" t="str">
        <x:v>Hoekje 7b</x:v>
      </x:c>
      <x:c r="K198" s="30" t="str">
        <x:v>4286 LN</x:v>
      </x:c>
      <x:c r="L198" s="32" t="n">
        <x:v>51.77166231</x:v>
      </x:c>
      <x:c r="M198" s="32" t="n">
        <x:v>4.97199169</x:v>
      </x:c>
      <x:c r="N198" s="30" t="str">
        <x:v>WGS84 / EPSG:4326</x:v>
      </x:c>
      <x:c r="O198" s="30" t="str">
        <x:v>Verified BAG address point via PDOK</x:v>
      </x:c>
      <x:c r="P198" s="30" t="str">
        <x:v>2026-08-15</x:v>
      </x:c>
      <x:c r="Q198" s="33" t="n">
        <x:f>IF(R198="","",ROUND(R198/0.9144,0))</x:f>
        <x:v>6432</x:v>
      </x:c>
      <x:c r="R198" s="33" t="n">
        <x:v>5881</x:v>
      </x:c>
      <x:c r="S198" s="33" t="n">
        <x:v>18</x:v>
      </x:c>
      <x:c r="T198" s="33" t="n">
        <x:v>72</x:v>
      </x:c>
      <x:c r="U198" s="30" t="str">
        <x:v>Full-length course</x:v>
      </x:c>
      <x:c r="V198" s="30"/>
      <x:c r="W198" s="30"/>
      <x:c r="X198" s="30"/>
      <x:c r="Y198" s="30" t="str">
        <x:v>https://www.hollandschegolfclub.nl/golfpark/almkreek/</x:v>
      </x:c>
      <x:c r="Z198" s="30" t="b">
        <x:f>IF(AND(F198="Netherlands",ISNUMBER(L198),ISNUMBER(M198),L198&gt;=50.7,L198&lt;=53.7,M198&gt;=3.2,M198&lt;=7.3,AC198&lt;&gt;"Closed"),TRUE,FALSE)</x:f>
        <x:v>1</x:v>
      </x:c>
      <x:c r="AA198" s="30" t="b">
        <x:f>Z198</x:f>
        <x:v>1</x:v>
      </x:c>
      <x:c r="AB198" s="30" t="str">
        <x:f>IF(Z198,"verified_coordinate_and_open","not_map_ready")</x:f>
        <x:v>verified_coordinate_and_open</x:v>
      </x:c>
      <x:c r="AC198" s="30" t="str">
        <x:v>Open</x:v>
      </x:c>
      <x:c r="AD198" s="30" t="str">
        <x:v>Public — handicap 54 or lower</x:v>
      </x:c>
      <x:c r="AE198" s="31" t="b">
        <x:v>1</x:v>
      </x:c>
      <x:c r="AF198" s="31" t="b">
        <x:v>0</x:v>
      </x:c>
      <x:c r="AG198" s="30"/>
      <x:c r="AH198" s="30"/>
      <x:c r="AI198" s="30"/>
      <x:c r="AJ198" s="31" t="b">
        <x:v>0</x:v>
      </x:c>
      <x:c r="AK198" s="31" t="b">
        <x:v>0</x:v>
      </x:c>
      <x:c r="AL198" s="30" t="str">
        <x:v>Verified — national register and exact BAG address</x:v>
      </x:c>
      <x:c r="AM198" s="30" t="str">
        <x:v>https://www.golf.nl/de-baan-op/banenzoeker/overzicht</x:v>
      </x:c>
      <x:c r="AN198" s="30" t="str">
        <x:v>2026-08-15</x:v>
      </x:c>
      <x:c r="AO198" s="30" t="str">
        <x:v>+31 183-403592</x:v>
      </x:c>
      <x:c r="AP198" s="30" t="str">
        <x:v>Current NGF/GOLF.NL listing: 18 holes, par 72, 5881 metres. Combined from exact NGF-listed constituent nine-hole loops: 1ste negen (9 holes, par 36, 3086 m); 2de negen (9 holes, par 36, 2795 m) Listed as qualifying.</x:v>
      </x:c>
    </x:row>
    <x:row r="199">
      <x:c r="A199" s="30" t="str">
        <x:v>NL-C0128</x:v>
      </x:c>
      <x:c r="B199" s="30" t="str">
        <x:v>NL-0198</x:v>
      </x:c>
      <x:c r="C199" s="30" t="str">
        <x:v>Golfpark Almkreek — Par-3 Course</x:v>
      </x:c>
      <x:c r="D199" s="30" t="str">
        <x:v>Golfpark Almkreek</x:v>
      </x:c>
      <x:c r="E199" s="30" t="str">
        <x:v>Par-3 Course</x:v>
      </x:c>
      <x:c r="F199" s="30" t="str">
        <x:v>Netherlands</x:v>
      </x:c>
      <x:c r="G199" s="30" t="str">
        <x:v>Noord-Brabant</x:v>
      </x:c>
      <x:c r="H199" s="30" t="str">
        <x:v>Altena</x:v>
      </x:c>
      <x:c r="I199" s="30" t="str">
        <x:v>Almkerk</x:v>
      </x:c>
      <x:c r="J199" s="30" t="str">
        <x:v>Hoekje 7b</x:v>
      </x:c>
      <x:c r="K199" s="30" t="str">
        <x:v>4286 LN</x:v>
      </x:c>
      <x:c r="L199" s="32" t="n">
        <x:v>51.77166231</x:v>
      </x:c>
      <x:c r="M199" s="32" t="n">
        <x:v>4.97199169</x:v>
      </x:c>
      <x:c r="N199" s="30" t="str">
        <x:v>WGS84 / EPSG:4326</x:v>
      </x:c>
      <x:c r="O199" s="30" t="str">
        <x:v>Verified BAG address point via PDOK</x:v>
      </x:c>
      <x:c r="P199" s="30" t="str">
        <x:v>2026-08-15</x:v>
      </x:c>
      <x:c r="Q199" s="33" t="n">
        <x:f>IF(R199="","",ROUND(R199/0.9144,0))</x:f>
        <x:v>755</x:v>
      </x:c>
      <x:c r="R199" s="33" t="n">
        <x:v>690</x:v>
      </x:c>
      <x:c r="S199" s="33" t="n">
        <x:v>9</x:v>
      </x:c>
      <x:c r="T199" s="33" t="n">
        <x:v>27</x:v>
      </x:c>
      <x:c r="U199" s="30" t="str">
        <x:v>Par-3 course</x:v>
      </x:c>
      <x:c r="V199" s="30"/>
      <x:c r="W199" s="30"/>
      <x:c r="X199" s="30"/>
      <x:c r="Y199" s="30" t="str">
        <x:v>https://www.hollandschegolfclub.nl/golfpark/almkreek/</x:v>
      </x:c>
      <x:c r="Z199" s="30" t="b">
        <x:f>IF(AND(F199="Netherlands",ISNUMBER(L199),ISNUMBER(M199),L199&gt;=50.7,L199&lt;=53.7,M199&gt;=3.2,M199&lt;=7.3,AC199&lt;&gt;"Closed"),TRUE,FALSE)</x:f>
        <x:v>1</x:v>
      </x:c>
      <x:c r="AA199" s="30" t="b">
        <x:f>Z199</x:f>
        <x:v>1</x:v>
      </x:c>
      <x:c r="AB199" s="30" t="str">
        <x:f>IF(Z199,"verified_coordinate_and_open","not_map_ready")</x:f>
        <x:v>verified_coordinate_and_open</x:v>
      </x:c>
      <x:c r="AC199" s="30" t="str">
        <x:v>Open</x:v>
      </x:c>
      <x:c r="AD199" s="30" t="str">
        <x:v>Public — no playing requirement</x:v>
      </x:c>
      <x:c r="AE199" s="31" t="b">
        <x:v>0</x:v>
      </x:c>
      <x:c r="AF199" s="31" t="b">
        <x:v>0</x:v>
      </x:c>
      <x:c r="AG199" s="30"/>
      <x:c r="AH199" s="30"/>
      <x:c r="AI199" s="30"/>
      <x:c r="AJ199" s="31" t="b">
        <x:v>0</x:v>
      </x:c>
      <x:c r="AK199" s="31" t="b">
        <x:v>0</x:v>
      </x:c>
      <x:c r="AL199" s="30" t="str">
        <x:v>Verified — national register and exact BAG address</x:v>
      </x:c>
      <x:c r="AM199" s="30" t="str">
        <x:v>https://www.golf.nl/de-baan-op/banenzoeker/overzicht</x:v>
      </x:c>
      <x:c r="AN199" s="30" t="str">
        <x:v>2026-08-15</x:v>
      </x:c>
      <x:c r="AO199" s="30" t="str">
        <x:v>+31 183-403592</x:v>
      </x:c>
      <x:c r="AP199" s="30" t="str">
        <x:v>Current NGF/GOLF.NL listing: 9 holes, par 27, 690 metres. Listed as non-qualifying.</x:v>
      </x:c>
    </x:row>
    <x:row r="200">
      <x:c r="A200" s="30" t="str">
        <x:v>NL-C0128</x:v>
      </x:c>
      <x:c r="B200" s="30" t="str">
        <x:v>NL-0199</x:v>
      </x:c>
      <x:c r="C200" s="30" t="str">
        <x:v>Golfpark Almkreek — Par-3/4 Course</x:v>
      </x:c>
      <x:c r="D200" s="30" t="str">
        <x:v>Golfpark Almkreek</x:v>
      </x:c>
      <x:c r="E200" s="30" t="str">
        <x:v>Par-3/4 Course</x:v>
      </x:c>
      <x:c r="F200" s="30" t="str">
        <x:v>Netherlands</x:v>
      </x:c>
      <x:c r="G200" s="30" t="str">
        <x:v>Noord-Brabant</x:v>
      </x:c>
      <x:c r="H200" s="30" t="str">
        <x:v>Altena</x:v>
      </x:c>
      <x:c r="I200" s="30" t="str">
        <x:v>Almkerk</x:v>
      </x:c>
      <x:c r="J200" s="30" t="str">
        <x:v>Hoekje 7b</x:v>
      </x:c>
      <x:c r="K200" s="30" t="str">
        <x:v>4286 LN</x:v>
      </x:c>
      <x:c r="L200" s="32" t="n">
        <x:v>51.77166231</x:v>
      </x:c>
      <x:c r="M200" s="32" t="n">
        <x:v>4.97199169</x:v>
      </x:c>
      <x:c r="N200" s="30" t="str">
        <x:v>WGS84 / EPSG:4326</x:v>
      </x:c>
      <x:c r="O200" s="30" t="str">
        <x:v>Verified BAG address point via PDOK</x:v>
      </x:c>
      <x:c r="P200" s="30" t="str">
        <x:v>2026-08-15</x:v>
      </x:c>
      <x:c r="Q200" s="33" t="n">
        <x:f>IF(R200="","",ROUND(R200/0.9144,0))</x:f>
        <x:v>1555</x:v>
      </x:c>
      <x:c r="R200" s="33" t="n">
        <x:v>1422</x:v>
      </x:c>
      <x:c r="S200" s="33" t="n">
        <x:v>14</x:v>
      </x:c>
      <x:c r="T200" s="33" t="n">
        <x:v>44</x:v>
      </x:c>
      <x:c r="U200" s="30" t="str">
        <x:v>Par-3/4 course</x:v>
      </x:c>
      <x:c r="V200" s="30"/>
      <x:c r="W200" s="30"/>
      <x:c r="X200" s="30"/>
      <x:c r="Y200" s="30" t="str">
        <x:v>https://www.hollandschegolfclub.nl/golfpark/almkreek/</x:v>
      </x:c>
      <x:c r="Z200" s="30" t="b">
        <x:f>IF(AND(F200="Netherlands",ISNUMBER(L200),ISNUMBER(M200),L200&gt;=50.7,L200&lt;=53.7,M200&gt;=3.2,M200&lt;=7.3,AC200&lt;&gt;"Closed"),TRUE,FALSE)</x:f>
        <x:v>1</x:v>
      </x:c>
      <x:c r="AA200" s="30" t="b">
        <x:f>Z200</x:f>
        <x:v>1</x:v>
      </x:c>
      <x:c r="AB200" s="30" t="str">
        <x:f>IF(Z200,"verified_coordinate_and_open","not_map_ready")</x:f>
        <x:v>verified_coordinate_and_open</x:v>
      </x:c>
      <x:c r="AC200" s="30" t="str">
        <x:v>Open</x:v>
      </x:c>
      <x:c r="AD200" s="30" t="str">
        <x:v>Public — NGF course permission</x:v>
      </x:c>
      <x:c r="AE200" s="31" t="b">
        <x:v>1</x:v>
      </x:c>
      <x:c r="AF200" s="31" t="b">
        <x:v>0</x:v>
      </x:c>
      <x:c r="AG200" s="30"/>
      <x:c r="AH200" s="30"/>
      <x:c r="AI200" s="30"/>
      <x:c r="AJ200" s="31" t="b">
        <x:v>0</x:v>
      </x:c>
      <x:c r="AK200" s="31" t="b">
        <x:v>0</x:v>
      </x:c>
      <x:c r="AL200" s="30" t="str">
        <x:v>Verified — national register and exact BAG address</x:v>
      </x:c>
      <x:c r="AM200" s="30" t="str">
        <x:v>https://www.golf.nl/de-baan-op/banenzoeker/overzicht</x:v>
      </x:c>
      <x:c r="AN200" s="30" t="str">
        <x:v>2026-08-15</x:v>
      </x:c>
      <x:c r="AO200" s="30" t="str">
        <x:v>+31 183-403592</x:v>
      </x:c>
      <x:c r="AP200" s="30" t="str">
        <x:v>Current NGF/GOLF.NL listing: 14 holes, par 44, 1422 metres. Listed as qualifying.</x:v>
      </x:c>
    </x:row>
    <x:row r="201">
      <x:c r="A201" s="30" t="str">
        <x:v>NL-C0129</x:v>
      </x:c>
      <x:c r="B201" s="30" t="str">
        <x:v>NL-0200</x:v>
      </x:c>
      <x:c r="C201" s="30" t="str">
        <x:v>Golfpark De Bonte Bij</x:v>
      </x:c>
      <x:c r="D201" s="30" t="str">
        <x:v>Golfpark De Bonte Bij</x:v>
      </x:c>
      <x:c r="E201" s="30" t="str">
        <x:v>Course</x:v>
      </x:c>
      <x:c r="F201" s="30" t="str">
        <x:v>Netherlands</x:v>
      </x:c>
      <x:c r="G201" s="30" t="str">
        <x:v>Noord-Brabant</x:v>
      </x:c>
      <x:c r="H201" s="30" t="str">
        <x:v>Maashorst</x:v>
      </x:c>
      <x:c r="I201" s="30" t="str">
        <x:v>Uden</x:v>
      </x:c>
      <x:c r="J201" s="30" t="str">
        <x:v>Doelenweg 1</x:v>
      </x:c>
      <x:c r="K201" s="30" t="str">
        <x:v>5406 XK</x:v>
      </x:c>
      <x:c r="L201" s="32" t="n">
        <x:v>51.67890237</x:v>
      </x:c>
      <x:c r="M201" s="32" t="n">
        <x:v>5.59906648</x:v>
      </x:c>
      <x:c r="N201" s="30" t="str">
        <x:v>WGS84 / EPSG:4326</x:v>
      </x:c>
      <x:c r="O201" s="30" t="str">
        <x:v>Verified BAG address point via PDOK</x:v>
      </x:c>
      <x:c r="P201" s="30" t="str">
        <x:v>2026-08-15</x:v>
      </x:c>
      <x:c r="Q201" s="33" t="n">
        <x:f>IF(R201="","",ROUND(R201/0.9144,0))</x:f>
        <x:v>1187</x:v>
      </x:c>
      <x:c r="R201" s="33" t="n">
        <x:v>1085</x:v>
      </x:c>
      <x:c r="S201" s="33" t="n">
        <x:v>9</x:v>
      </x:c>
      <x:c r="T201" s="33" t="n">
        <x:v>27</x:v>
      </x:c>
      <x:c r="U201" s="30" t="str">
        <x:v>Par-3 course</x:v>
      </x:c>
      <x:c r="V201" s="30"/>
      <x:c r="W201" s="30"/>
      <x:c r="X201" s="30"/>
      <x:c r="Y201" s="30" t="str">
        <x:v>https://golfparkdebontebij.nl/</x:v>
      </x:c>
      <x:c r="Z201" s="30" t="b">
        <x:f>IF(AND(F201="Netherlands",ISNUMBER(L201),ISNUMBER(M201),L201&gt;=50.7,L201&lt;=53.7,M201&gt;=3.2,M201&lt;=7.3,AC201&lt;&gt;"Closed"),TRUE,FALSE)</x:f>
        <x:v>1</x:v>
      </x:c>
      <x:c r="AA201" s="30" t="b">
        <x:f>Z201</x:f>
        <x:v>1</x:v>
      </x:c>
      <x:c r="AB201" s="30" t="str">
        <x:f>IF(Z201,"verified_coordinate_and_open","not_map_ready")</x:f>
        <x:v>verified_coordinate_and_open</x:v>
      </x:c>
      <x:c r="AC201" s="30" t="str">
        <x:v>Open</x:v>
      </x:c>
      <x:c r="AD201" s="30" t="str">
        <x:v>Public — handicap 54 or lower</x:v>
      </x:c>
      <x:c r="AE201" s="31" t="b">
        <x:v>1</x:v>
      </x:c>
      <x:c r="AF201" s="31" t="b">
        <x:v>0</x:v>
      </x:c>
      <x:c r="AG201" s="30"/>
      <x:c r="AH201" s="30"/>
      <x:c r="AI201" s="30"/>
      <x:c r="AJ201" s="31" t="b">
        <x:v>0</x:v>
      </x:c>
      <x:c r="AK201" s="31" t="b">
        <x:v>0</x:v>
      </x:c>
      <x:c r="AL201" s="30" t="str">
        <x:v>Verified — national register and exact BAG address</x:v>
      </x:c>
      <x:c r="AM201" s="30" t="str">
        <x:v>https://www.golf.nl/de-baan-op/banenzoeker/overzicht</x:v>
      </x:c>
      <x:c r="AN201" s="30" t="str">
        <x:v>2026-08-15</x:v>
      </x:c>
      <x:c r="AO201" s="30" t="str">
        <x:v>+31 413-257701</x:v>
      </x:c>
      <x:c r="AP201" s="30" t="str">
        <x:v>Current NGF/GOLF.NL listing: 9 holes, par 27, 1085 metres. Listed as qualifying.</x:v>
      </x:c>
    </x:row>
    <x:row r="202">
      <x:c r="A202" s="30" t="str">
        <x:v>NL-C0130</x:v>
      </x:c>
      <x:c r="B202" s="30" t="str">
        <x:v>NL-0201</x:v>
      </x:c>
      <x:c r="C202" s="30" t="str">
        <x:v>Golfpark De Haenen — Academy Course</x:v>
      </x:c>
      <x:c r="D202" s="30" t="str">
        <x:v>Golfpark De Haenen</x:v>
      </x:c>
      <x:c r="E202" s="30" t="str">
        <x:v>Academy Course</x:v>
      </x:c>
      <x:c r="F202" s="30" t="str">
        <x:v>Netherlands</x:v>
      </x:c>
      <x:c r="G202" s="30" t="str">
        <x:v>Noord-Brabant</x:v>
      </x:c>
      <x:c r="H202" s="30" t="str">
        <x:v>Breda</x:v>
      </x:c>
      <x:c r="I202" s="30" t="str">
        <x:v>Teteringen</x:v>
      </x:c>
      <x:c r="J202" s="30" t="str">
        <x:v>Laan der Continenten 70</x:v>
      </x:c>
      <x:c r="K202" s="30" t="str">
        <x:v>4847 DG</x:v>
      </x:c>
      <x:c r="L202" s="32" t="n">
        <x:v>51.61598149</x:v>
      </x:c>
      <x:c r="M202" s="32" t="n">
        <x:v>4.83433293</x:v>
      </x:c>
      <x:c r="N202" s="30" t="str">
        <x:v>WGS84 / EPSG:4326</x:v>
      </x:c>
      <x:c r="O202" s="30" t="str">
        <x:v>Verified BAG address point via PDOK</x:v>
      </x:c>
      <x:c r="P202" s="30" t="str">
        <x:v>2026-08-15</x:v>
      </x:c>
      <x:c r="Q202" s="33" t="n">
        <x:f>IF(R202="","",ROUND(R202/0.9144,0))</x:f>
        <x:v>328</x:v>
      </x:c>
      <x:c r="R202" s="33" t="n">
        <x:v>300</x:v>
      </x:c>
      <x:c r="S202" s="33" t="n">
        <x:v>6</x:v>
      </x:c>
      <x:c r="T202" s="33" t="n">
        <x:v>18</x:v>
      </x:c>
      <x:c r="U202" s="30" t="str">
        <x:v>Par-3 course</x:v>
      </x:c>
      <x:c r="V202" s="30"/>
      <x:c r="W202" s="30"/>
      <x:c r="X202" s="30"/>
      <x:c r="Y202" s="30" t="str">
        <x:v>https://www.dehaenen.nl/</x:v>
      </x:c>
      <x:c r="Z202" s="30" t="b">
        <x:f>IF(AND(F202="Netherlands",ISNUMBER(L202),ISNUMBER(M202),L202&gt;=50.7,L202&lt;=53.7,M202&gt;=3.2,M202&lt;=7.3,AC202&lt;&gt;"Closed"),TRUE,FALSE)</x:f>
        <x:v>1</x:v>
      </x:c>
      <x:c r="AA202" s="30" t="b">
        <x:f>Z202</x:f>
        <x:v>1</x:v>
      </x:c>
      <x:c r="AB202" s="30" t="str">
        <x:f>IF(Z202,"verified_coordinate_and_open","not_map_ready")</x:f>
        <x:v>verified_coordinate_and_open</x:v>
      </x:c>
      <x:c r="AC202" s="30" t="str">
        <x:v>Open</x:v>
      </x:c>
      <x:c r="AD202" s="30" t="str">
        <x:v>Public — handicap 54 or lower</x:v>
      </x:c>
      <x:c r="AE202" s="31" t="b">
        <x:v>0</x:v>
      </x:c>
      <x:c r="AF202" s="31" t="b">
        <x:v>0</x:v>
      </x:c>
      <x:c r="AG202" s="30"/>
      <x:c r="AH202" s="30"/>
      <x:c r="AI202" s="30"/>
      <x:c r="AJ202" s="31" t="b">
        <x:v>0</x:v>
      </x:c>
      <x:c r="AK202" s="31" t="b">
        <x:v>0</x:v>
      </x:c>
      <x:c r="AL202" s="30" t="str">
        <x:v>Verified — national register and exact BAG address</x:v>
      </x:c>
      <x:c r="AM202" s="30" t="str">
        <x:v>https://www.golf.nl/de-baan-op/banenzoeker/overzicht</x:v>
      </x:c>
      <x:c r="AN202" s="30" t="str">
        <x:v>2026-08-15</x:v>
      </x:c>
      <x:c r="AO202" s="30" t="str">
        <x:v>+31 76-5783950</x:v>
      </x:c>
      <x:c r="AP202" s="30" t="str">
        <x:v>Current NGF/GOLF.NL listing: 6 holes, par 18, 300 metres. The current official facility contact page and BAG address replace the postcode typo in the NGF overview (Laan der Continenten 70, 4847 DE Teteringen). Listed as non-qualifying.</x:v>
      </x:c>
    </x:row>
    <x:row r="203">
      <x:c r="A203" s="30" t="str">
        <x:v>NL-C0130</x:v>
      </x:c>
      <x:c r="B203" s="30" t="str">
        <x:v>NL-0202</x:v>
      </x:c>
      <x:c r="C203" s="30" t="str">
        <x:v>Golfpark De Haenen — Main Course</x:v>
      </x:c>
      <x:c r="D203" s="30" t="str">
        <x:v>Golfpark De Haenen</x:v>
      </x:c>
      <x:c r="E203" s="30" t="str">
        <x:v>Main Course</x:v>
      </x:c>
      <x:c r="F203" s="30" t="str">
        <x:v>Netherlands</x:v>
      </x:c>
      <x:c r="G203" s="30" t="str">
        <x:v>Noord-Brabant</x:v>
      </x:c>
      <x:c r="H203" s="30" t="str">
        <x:v>Breda</x:v>
      </x:c>
      <x:c r="I203" s="30" t="str">
        <x:v>Teteringen</x:v>
      </x:c>
      <x:c r="J203" s="30" t="str">
        <x:v>Laan der Continenten 70</x:v>
      </x:c>
      <x:c r="K203" s="30" t="str">
        <x:v>4847 DG</x:v>
      </x:c>
      <x:c r="L203" s="32" t="n">
        <x:v>51.61598149</x:v>
      </x:c>
      <x:c r="M203" s="32" t="n">
        <x:v>4.83433293</x:v>
      </x:c>
      <x:c r="N203" s="30" t="str">
        <x:v>WGS84 / EPSG:4326</x:v>
      </x:c>
      <x:c r="O203" s="30" t="str">
        <x:v>Verified BAG address point via PDOK</x:v>
      </x:c>
      <x:c r="P203" s="30" t="str">
        <x:v>2026-08-15</x:v>
      </x:c>
      <x:c r="Q203" s="33" t="n">
        <x:f>IF(R203="","",ROUND(R203/0.9144,0))</x:f>
        <x:v>6270</x:v>
      </x:c>
      <x:c r="R203" s="33" t="n">
        <x:v>5733</x:v>
      </x:c>
      <x:c r="S203" s="33" t="n">
        <x:v>18</x:v>
      </x:c>
      <x:c r="T203" s="33" t="n">
        <x:v>70</x:v>
      </x:c>
      <x:c r="U203" s="30" t="str">
        <x:v>Full-length course</x:v>
      </x:c>
      <x:c r="V203" s="30"/>
      <x:c r="W203" s="30"/>
      <x:c r="X203" s="30"/>
      <x:c r="Y203" s="30" t="str">
        <x:v>https://www.dehaenen.nl/</x:v>
      </x:c>
      <x:c r="Z203" s="30" t="b">
        <x:f>IF(AND(F203="Netherlands",ISNUMBER(L203),ISNUMBER(M203),L203&gt;=50.7,L203&lt;=53.7,M203&gt;=3.2,M203&lt;=7.3,AC203&lt;&gt;"Closed"),TRUE,FALSE)</x:f>
        <x:v>1</x:v>
      </x:c>
      <x:c r="AA203" s="30" t="b">
        <x:f>Z203</x:f>
        <x:v>1</x:v>
      </x:c>
      <x:c r="AB203" s="30" t="str">
        <x:f>IF(Z203,"verified_coordinate_and_open","not_map_ready")</x:f>
        <x:v>verified_coordinate_and_open</x:v>
      </x:c>
      <x:c r="AC203" s="30" t="str">
        <x:v>Open</x:v>
      </x:c>
      <x:c r="AD203" s="30" t="str">
        <x:v>Public — handicap 54 or lower</x:v>
      </x:c>
      <x:c r="AE203" s="31" t="b">
        <x:v>1</x:v>
      </x:c>
      <x:c r="AF203" s="31" t="b">
        <x:v>0</x:v>
      </x:c>
      <x:c r="AG203" s="30"/>
      <x:c r="AH203" s="30"/>
      <x:c r="AI203" s="30"/>
      <x:c r="AJ203" s="31" t="b">
        <x:v>0</x:v>
      </x:c>
      <x:c r="AK203" s="31" t="b">
        <x:v>0</x:v>
      </x:c>
      <x:c r="AL203" s="30" t="str">
        <x:v>Verified — national register and exact BAG address</x:v>
      </x:c>
      <x:c r="AM203" s="30" t="str">
        <x:v>https://www.golf.nl/de-baan-op/banenzoeker/overzicht</x:v>
      </x:c>
      <x:c r="AN203" s="30" t="str">
        <x:v>2026-08-15</x:v>
      </x:c>
      <x:c r="AO203" s="30" t="str">
        <x:v>+31 76-5783950</x:v>
      </x:c>
      <x:c r="AP203" s="30" t="str">
        <x:v>Current NGF/GOLF.NL listing: 18 holes, par 70, 5733 metres. Combined from exact NGF-listed constituent nine-hole loops: 1ste negen (9 holes, par 35, 2919 m); 2de negen (9 holes, par 35, 2814 m) The current official facility contact page and BAG address replace the postcode typo in the NGF overview (Laan der Continenten 70, 4847 DE Teteringen). Listed as qualifying.</x:v>
      </x:c>
    </x:row>
    <x:row r="204">
      <x:c r="A204" s="30" t="str">
        <x:v>NL-C0131</x:v>
      </x:c>
      <x:c r="B204" s="30" t="str">
        <x:v>NL-0203</x:v>
      </x:c>
      <x:c r="C204" s="30" t="str">
        <x:v>Golfpark De Haverleij — Main Course</x:v>
      </x:c>
      <x:c r="D204" s="30" t="str">
        <x:v>Golfpark De Haverleij</x:v>
      </x:c>
      <x:c r="E204" s="30" t="str">
        <x:v>Main Course</x:v>
      </x:c>
      <x:c r="F204" s="30" t="str">
        <x:v>Netherlands</x:v>
      </x:c>
      <x:c r="G204" s="30" t="str">
        <x:v>Noord-Brabant</x:v>
      </x:c>
      <x:c r="H204" s="30" t="str">
        <x:v>'s-Hertogenbosch</x:v>
      </x:c>
      <x:c r="I204" s="30" t="str">
        <x:v>'s-Hertogenbosch</x:v>
      </x:c>
      <x:c r="J204" s="30" t="str">
        <x:v>Leunweg 40</x:v>
      </x:c>
      <x:c r="K204" s="30" t="str">
        <x:v>5221 BC</x:v>
      </x:c>
      <x:c r="L204" s="32" t="n">
        <x:v>51.72455793</x:v>
      </x:c>
      <x:c r="M204" s="32" t="n">
        <x:v>5.2550748</x:v>
      </x:c>
      <x:c r="N204" s="30" t="str">
        <x:v>WGS84 / EPSG:4326</x:v>
      </x:c>
      <x:c r="O204" s="30" t="str">
        <x:v>Verified BAG address point via PDOK</x:v>
      </x:c>
      <x:c r="P204" s="30" t="str">
        <x:v>2026-08-15</x:v>
      </x:c>
      <x:c r="Q204" s="33" t="n">
        <x:f>IF(R204="","",ROUND(R204/0.9144,0))</x:f>
        <x:v>6359</x:v>
      </x:c>
      <x:c r="R204" s="33" t="n">
        <x:v>5815</x:v>
      </x:c>
      <x:c r="S204" s="33" t="n">
        <x:v>18</x:v>
      </x:c>
      <x:c r="T204" s="33" t="n">
        <x:v>72</x:v>
      </x:c>
      <x:c r="U204" s="30" t="str">
        <x:v>Full-length course</x:v>
      </x:c>
      <x:c r="V204" s="30"/>
      <x:c r="W204" s="30"/>
      <x:c r="X204" s="30"/>
      <x:c r="Y204" s="30" t="str">
        <x:v>https://www.hollandschegolfclub.nl/golfpark/de-haverleij/</x:v>
      </x:c>
      <x:c r="Z204" s="30" t="b">
        <x:f>IF(AND(F204="Netherlands",ISNUMBER(L204),ISNUMBER(M204),L204&gt;=50.7,L204&lt;=53.7,M204&gt;=3.2,M204&lt;=7.3,AC204&lt;&gt;"Closed"),TRUE,FALSE)</x:f>
        <x:v>1</x:v>
      </x:c>
      <x:c r="AA204" s="30" t="b">
        <x:f>Z204</x:f>
        <x:v>1</x:v>
      </x:c>
      <x:c r="AB204" s="30" t="str">
        <x:f>IF(Z204,"verified_coordinate_and_open","not_map_ready")</x:f>
        <x:v>verified_coordinate_and_open</x:v>
      </x:c>
      <x:c r="AC204" s="30" t="str">
        <x:v>Open</x:v>
      </x:c>
      <x:c r="AD204" s="30" t="str">
        <x:v>Public — handicap 54 or lower</x:v>
      </x:c>
      <x:c r="AE204" s="31" t="b">
        <x:v>1</x:v>
      </x:c>
      <x:c r="AF204" s="31" t="b">
        <x:v>0</x:v>
      </x:c>
      <x:c r="AG204" s="30"/>
      <x:c r="AH204" s="30"/>
      <x:c r="AI204" s="30"/>
      <x:c r="AJ204" s="31" t="b">
        <x:v>0</x:v>
      </x:c>
      <x:c r="AK204" s="31" t="b">
        <x:v>0</x:v>
      </x:c>
      <x:c r="AL204" s="30" t="str">
        <x:v>Verified — national register and exact BAG address</x:v>
      </x:c>
      <x:c r="AM204" s="30" t="str">
        <x:v>https://www.golf.nl/de-baan-op/banenzoeker/overzicht</x:v>
      </x:c>
      <x:c r="AN204" s="30" t="str">
        <x:v>2026-08-15</x:v>
      </x:c>
      <x:c r="AO204" s="30" t="str">
        <x:v>+31 73-6390101</x:v>
      </x:c>
      <x:c r="AP204" s="30" t="str">
        <x:v>Current NGF/GOLF.NL listing: 18 holes, par 72, 5815 metres. Combined from exact NGF-listed constituent nine-hole loops: 1ste negen (9 holes, par 36, 2972 m); 2de negen (9 holes, par 36, 2843 m) Listed as qualifying.</x:v>
      </x:c>
    </x:row>
    <x:row r="205">
      <x:c r="A205" s="30" t="str">
        <x:v>NL-C0131</x:v>
      </x:c>
      <x:c r="B205" s="30" t="str">
        <x:v>NL-0204</x:v>
      </x:c>
      <x:c r="C205" s="30" t="str">
        <x:v>Golfpark De Haverleij — Par-3 Course</x:v>
      </x:c>
      <x:c r="D205" s="30" t="str">
        <x:v>Golfpark De Haverleij</x:v>
      </x:c>
      <x:c r="E205" s="30" t="str">
        <x:v>Par-3 Course</x:v>
      </x:c>
      <x:c r="F205" s="30" t="str">
        <x:v>Netherlands</x:v>
      </x:c>
      <x:c r="G205" s="30" t="str">
        <x:v>Noord-Brabant</x:v>
      </x:c>
      <x:c r="H205" s="30" t="str">
        <x:v>'s-Hertogenbosch</x:v>
      </x:c>
      <x:c r="I205" s="30" t="str">
        <x:v>'s-Hertogenbosch</x:v>
      </x:c>
      <x:c r="J205" s="30" t="str">
        <x:v>Leunweg 40</x:v>
      </x:c>
      <x:c r="K205" s="30" t="str">
        <x:v>5221 BC</x:v>
      </x:c>
      <x:c r="L205" s="32" t="n">
        <x:v>51.72455793</x:v>
      </x:c>
      <x:c r="M205" s="32" t="n">
        <x:v>5.2550748</x:v>
      </x:c>
      <x:c r="N205" s="30" t="str">
        <x:v>WGS84 / EPSG:4326</x:v>
      </x:c>
      <x:c r="O205" s="30" t="str">
        <x:v>Verified BAG address point via PDOK</x:v>
      </x:c>
      <x:c r="P205" s="30" t="str">
        <x:v>2026-08-15</x:v>
      </x:c>
      <x:c r="Q205" s="33" t="n">
        <x:f>IF(R205="","",ROUND(R205/0.9144,0))</x:f>
        <x:v>855</x:v>
      </x:c>
      <x:c r="R205" s="33" t="n">
        <x:v>782</x:v>
      </x:c>
      <x:c r="S205" s="33" t="n">
        <x:v>9</x:v>
      </x:c>
      <x:c r="T205" s="33" t="n">
        <x:v>27</x:v>
      </x:c>
      <x:c r="U205" s="30" t="str">
        <x:v>Par-3 course</x:v>
      </x:c>
      <x:c r="V205" s="30"/>
      <x:c r="W205" s="30"/>
      <x:c r="X205" s="30"/>
      <x:c r="Y205" s="30" t="str">
        <x:v>https://www.hollandschegolfclub.nl/golfpark/de-haverleij/</x:v>
      </x:c>
      <x:c r="Z205" s="30" t="b">
        <x:f>IF(AND(F205="Netherlands",ISNUMBER(L205),ISNUMBER(M205),L205&gt;=50.7,L205&lt;=53.7,M205&gt;=3.2,M205&lt;=7.3,AC205&lt;&gt;"Closed"),TRUE,FALSE)</x:f>
        <x:v>1</x:v>
      </x:c>
      <x:c r="AA205" s="30" t="b">
        <x:f>Z205</x:f>
        <x:v>1</x:v>
      </x:c>
      <x:c r="AB205" s="30" t="str">
        <x:f>IF(Z205,"verified_coordinate_and_open","not_map_ready")</x:f>
        <x:v>verified_coordinate_and_open</x:v>
      </x:c>
      <x:c r="AC205" s="30" t="str">
        <x:v>Open</x:v>
      </x:c>
      <x:c r="AD205" s="30" t="str">
        <x:v>Public — no playing requirement</x:v>
      </x:c>
      <x:c r="AE205" s="31" t="b">
        <x:v>1</x:v>
      </x:c>
      <x:c r="AF205" s="31" t="b">
        <x:v>0</x:v>
      </x:c>
      <x:c r="AG205" s="30"/>
      <x:c r="AH205" s="30"/>
      <x:c r="AI205" s="30"/>
      <x:c r="AJ205" s="31" t="b">
        <x:v>0</x:v>
      </x:c>
      <x:c r="AK205" s="31" t="b">
        <x:v>0</x:v>
      </x:c>
      <x:c r="AL205" s="30" t="str">
        <x:v>Verified — national register and exact BAG address</x:v>
      </x:c>
      <x:c r="AM205" s="30" t="str">
        <x:v>https://www.golf.nl/de-baan-op/banenzoeker/overzicht</x:v>
      </x:c>
      <x:c r="AN205" s="30" t="str">
        <x:v>2026-08-15</x:v>
      </x:c>
      <x:c r="AO205" s="30" t="str">
        <x:v>+31 73-6390101</x:v>
      </x:c>
      <x:c r="AP205" s="30" t="str">
        <x:v>Current NGF/GOLF.NL listing: 9 holes, par 27, 782 metres. Listed as qualifying.</x:v>
      </x:c>
    </x:row>
    <x:row r="206">
      <x:c r="A206" s="30" t="str">
        <x:v>NL-C0132</x:v>
      </x:c>
      <x:c r="B206" s="30" t="str">
        <x:v>NL-0205</x:v>
      </x:c>
      <x:c r="C206" s="30" t="str">
        <x:v>Golfpark De Kurenpolder — Main Course</x:v>
      </x:c>
      <x:c r="D206" s="30" t="str">
        <x:v>Golfpark De Kurenpolder</x:v>
      </x:c>
      <x:c r="E206" s="30" t="str">
        <x:v>Main Course</x:v>
      </x:c>
      <x:c r="F206" s="30" t="str">
        <x:v>Netherlands</x:v>
      </x:c>
      <x:c r="G206" s="30" t="str">
        <x:v>Noord-Brabant</x:v>
      </x:c>
      <x:c r="H206" s="30" t="str">
        <x:v>Altena</x:v>
      </x:c>
      <x:c r="I206" s="30" t="str">
        <x:v>Hank</x:v>
      </x:c>
      <x:c r="J206" s="30" t="str">
        <x:v>Kurenpolderweg 31</x:v>
      </x:c>
      <x:c r="K206" s="30" t="str">
        <x:v>4273 LA</x:v>
      </x:c>
      <x:c r="L206" s="32" t="n">
        <x:v>51.72849847</x:v>
      </x:c>
      <x:c r="M206" s="32" t="n">
        <x:v>4.88092784</x:v>
      </x:c>
      <x:c r="N206" s="30" t="str">
        <x:v>WGS84 / EPSG:4326</x:v>
      </x:c>
      <x:c r="O206" s="30" t="str">
        <x:v>Verified BAG address point via PDOK</x:v>
      </x:c>
      <x:c r="P206" s="30" t="str">
        <x:v>2026-08-15</x:v>
      </x:c>
      <x:c r="Q206" s="33" t="n">
        <x:f>IF(R206="","",ROUND(R206/0.9144,0))</x:f>
        <x:v>2894</x:v>
      </x:c>
      <x:c r="R206" s="33" t="n">
        <x:v>2646</x:v>
      </x:c>
      <x:c r="S206" s="33" t="n">
        <x:v>9</x:v>
      </x:c>
      <x:c r="T206" s="33" t="n">
        <x:v>34</x:v>
      </x:c>
      <x:c r="U206" s="30" t="str">
        <x:v>Full-length course</x:v>
      </x:c>
      <x:c r="V206" s="30"/>
      <x:c r="W206" s="30"/>
      <x:c r="X206" s="30"/>
      <x:c r="Y206" s="30" t="str">
        <x:v>https://www.hollandschegolfclub.nl/golfpark/de-kurenpolder/</x:v>
      </x:c>
      <x:c r="Z206" s="30" t="b">
        <x:f>IF(AND(F206="Netherlands",ISNUMBER(L206),ISNUMBER(M206),L206&gt;=50.7,L206&lt;=53.7,M206&gt;=3.2,M206&lt;=7.3,AC206&lt;&gt;"Closed"),TRUE,FALSE)</x:f>
        <x:v>1</x:v>
      </x:c>
      <x:c r="AA206" s="30" t="b">
        <x:f>Z206</x:f>
        <x:v>1</x:v>
      </x:c>
      <x:c r="AB206" s="30" t="str">
        <x:f>IF(Z206,"verified_coordinate_and_open","not_map_ready")</x:f>
        <x:v>verified_coordinate_and_open</x:v>
      </x:c>
      <x:c r="AC206" s="30" t="str">
        <x:v>Open</x:v>
      </x:c>
      <x:c r="AD206" s="30" t="str">
        <x:v>Public — handicap 54 or lower</x:v>
      </x:c>
      <x:c r="AE206" s="31" t="b">
        <x:v>1</x:v>
      </x:c>
      <x:c r="AF206" s="31" t="b">
        <x:v>0</x:v>
      </x:c>
      <x:c r="AG206" s="30"/>
      <x:c r="AH206" s="30"/>
      <x:c r="AI206" s="30"/>
      <x:c r="AJ206" s="31" t="b">
        <x:v>0</x:v>
      </x:c>
      <x:c r="AK206" s="31" t="b">
        <x:v>0</x:v>
      </x:c>
      <x:c r="AL206" s="30" t="str">
        <x:v>Verified — national register and exact BAG address</x:v>
      </x:c>
      <x:c r="AM206" s="30" t="str">
        <x:v>https://www.golf.nl/de-baan-op/banenzoeker/overzicht</x:v>
      </x:c>
      <x:c r="AN206" s="30" t="str">
        <x:v>2026-08-15</x:v>
      </x:c>
      <x:c r="AO206" s="30" t="str">
        <x:v>+31 162-402820</x:v>
      </x:c>
      <x:c r="AP206" s="30" t="str">
        <x:v>Current NGF/GOLF.NL listing: 9 holes, par 34, 2646 metres. Listed as qualifying.</x:v>
      </x:c>
    </x:row>
    <x:row r="207">
      <x:c r="A207" s="30" t="str">
        <x:v>NL-C0132</x:v>
      </x:c>
      <x:c r="B207" s="30" t="str">
        <x:v>NL-0206</x:v>
      </x:c>
      <x:c r="C207" s="30" t="str">
        <x:v>Golfpark De Kurenpolder — Par-3 Course</x:v>
      </x:c>
      <x:c r="D207" s="30" t="str">
        <x:v>Golfpark De Kurenpolder</x:v>
      </x:c>
      <x:c r="E207" s="30" t="str">
        <x:v>Par-3 Course</x:v>
      </x:c>
      <x:c r="F207" s="30" t="str">
        <x:v>Netherlands</x:v>
      </x:c>
      <x:c r="G207" s="30" t="str">
        <x:v>Noord-Brabant</x:v>
      </x:c>
      <x:c r="H207" s="30" t="str">
        <x:v>Altena</x:v>
      </x:c>
      <x:c r="I207" s="30" t="str">
        <x:v>Hank</x:v>
      </x:c>
      <x:c r="J207" s="30" t="str">
        <x:v>Kurenpolderweg 31</x:v>
      </x:c>
      <x:c r="K207" s="30" t="str">
        <x:v>4273 LA</x:v>
      </x:c>
      <x:c r="L207" s="32" t="n">
        <x:v>51.72849847</x:v>
      </x:c>
      <x:c r="M207" s="32" t="n">
        <x:v>4.88092784</x:v>
      </x:c>
      <x:c r="N207" s="30" t="str">
        <x:v>WGS84 / EPSG:4326</x:v>
      </x:c>
      <x:c r="O207" s="30" t="str">
        <x:v>Verified BAG address point via PDOK</x:v>
      </x:c>
      <x:c r="P207" s="30" t="str">
        <x:v>2026-08-15</x:v>
      </x:c>
      <x:c r="Q207" s="33" t="n">
        <x:f>IF(R207="","",ROUND(R207/0.9144,0))</x:f>
        <x:v>766</x:v>
      </x:c>
      <x:c r="R207" s="33" t="n">
        <x:v>700</x:v>
      </x:c>
      <x:c r="S207" s="33" t="n">
        <x:v>9</x:v>
      </x:c>
      <x:c r="T207" s="33" t="n">
        <x:v>27</x:v>
      </x:c>
      <x:c r="U207" s="30" t="str">
        <x:v>Par-3 course</x:v>
      </x:c>
      <x:c r="V207" s="30"/>
      <x:c r="W207" s="30"/>
      <x:c r="X207" s="30"/>
      <x:c r="Y207" s="30" t="str">
        <x:v>https://www.hollandschegolfclub.nl/golfpark/de-kurenpolder/</x:v>
      </x:c>
      <x:c r="Z207" s="30" t="b">
        <x:f>IF(AND(F207="Netherlands",ISNUMBER(L207),ISNUMBER(M207),L207&gt;=50.7,L207&lt;=53.7,M207&gt;=3.2,M207&lt;=7.3,AC207&lt;&gt;"Closed"),TRUE,FALSE)</x:f>
        <x:v>1</x:v>
      </x:c>
      <x:c r="AA207" s="30" t="b">
        <x:f>Z207</x:f>
        <x:v>1</x:v>
      </x:c>
      <x:c r="AB207" s="30" t="str">
        <x:f>IF(Z207,"verified_coordinate_and_open","not_map_ready")</x:f>
        <x:v>verified_coordinate_and_open</x:v>
      </x:c>
      <x:c r="AC207" s="30" t="str">
        <x:v>Open</x:v>
      </x:c>
      <x:c r="AD207" s="30" t="str">
        <x:v>Public — no playing requirement</x:v>
      </x:c>
      <x:c r="AE207" s="31" t="b">
        <x:v>1</x:v>
      </x:c>
      <x:c r="AF207" s="31" t="b">
        <x:v>0</x:v>
      </x:c>
      <x:c r="AG207" s="30"/>
      <x:c r="AH207" s="30"/>
      <x:c r="AI207" s="30"/>
      <x:c r="AJ207" s="31" t="b">
        <x:v>0</x:v>
      </x:c>
      <x:c r="AK207" s="31" t="b">
        <x:v>0</x:v>
      </x:c>
      <x:c r="AL207" s="30" t="str">
        <x:v>Verified — national register and exact BAG address</x:v>
      </x:c>
      <x:c r="AM207" s="30" t="str">
        <x:v>https://www.golf.nl/de-baan-op/banenzoeker/overzicht</x:v>
      </x:c>
      <x:c r="AN207" s="30" t="str">
        <x:v>2026-08-15</x:v>
      </x:c>
      <x:c r="AO207" s="30" t="str">
        <x:v>+31 162-402820</x:v>
      </x:c>
      <x:c r="AP207" s="30" t="str">
        <x:v>Current NGF/GOLF.NL listing: 9 holes, par 27, 700 metres. Listed as qualifying.</x:v>
      </x:c>
    </x:row>
    <x:row r="208">
      <x:c r="A208" s="30" t="str">
        <x:v>NL-C0133</x:v>
      </x:c>
      <x:c r="B208" s="30" t="str">
        <x:v>NL-0207</x:v>
      </x:c>
      <x:c r="C208" s="30" t="str">
        <x:v>Golfpark De Loonsche Duynen — Main Course</x:v>
      </x:c>
      <x:c r="D208" s="30" t="str">
        <x:v>Golfpark De Loonsche Duynen</x:v>
      </x:c>
      <x:c r="E208" s="30" t="str">
        <x:v>Main Course</x:v>
      </x:c>
      <x:c r="F208" s="30" t="str">
        <x:v>Netherlands</x:v>
      </x:c>
      <x:c r="G208" s="30" t="str">
        <x:v>Noord-Brabant</x:v>
      </x:c>
      <x:c r="H208" s="30" t="str">
        <x:v>Loon op Zand</x:v>
      </x:c>
      <x:c r="I208" s="30" t="str">
        <x:v>De Moer</x:v>
      </x:c>
      <x:c r="J208" s="30" t="str">
        <x:v>Veldstraat 6</x:v>
      </x:c>
      <x:c r="K208" s="30" t="str">
        <x:v>5176 NB</x:v>
      </x:c>
      <x:c r="L208" s="32" t="n">
        <x:v>51.63909512</x:v>
      </x:c>
      <x:c r="M208" s="32" t="n">
        <x:v>5.03174283</x:v>
      </x:c>
      <x:c r="N208" s="30" t="str">
        <x:v>WGS84 / EPSG:4326</x:v>
      </x:c>
      <x:c r="O208" s="30" t="str">
        <x:v>Verified BAG address point via PDOK</x:v>
      </x:c>
      <x:c r="P208" s="30" t="str">
        <x:v>2026-08-15</x:v>
      </x:c>
      <x:c r="Q208" s="33" t="n">
        <x:f>IF(R208="","",ROUND(R208/0.9144,0))</x:f>
        <x:v>6856</x:v>
      </x:c>
      <x:c r="R208" s="33" t="n">
        <x:v>6269</x:v>
      </x:c>
      <x:c r="S208" s="33" t="n">
        <x:v>18</x:v>
      </x:c>
      <x:c r="T208" s="33" t="n">
        <x:v>72</x:v>
      </x:c>
      <x:c r="U208" s="30" t="str">
        <x:v>Full-length course</x:v>
      </x:c>
      <x:c r="V208" s="30"/>
      <x:c r="W208" s="30"/>
      <x:c r="X208" s="30"/>
      <x:c r="Y208" s="30" t="str">
        <x:v>https://www.hollandschegolfclub.nl/golfpark/de-loonsche-duynen/</x:v>
      </x:c>
      <x:c r="Z208" s="30" t="b">
        <x:f>IF(AND(F208="Netherlands",ISNUMBER(L208),ISNUMBER(M208),L208&gt;=50.7,L208&lt;=53.7,M208&gt;=3.2,M208&lt;=7.3,AC208&lt;&gt;"Closed"),TRUE,FALSE)</x:f>
        <x:v>1</x:v>
      </x:c>
      <x:c r="AA208" s="30" t="b">
        <x:f>Z208</x:f>
        <x:v>1</x:v>
      </x:c>
      <x:c r="AB208" s="30" t="str">
        <x:f>IF(Z208,"verified_coordinate_and_open","not_map_ready")</x:f>
        <x:v>verified_coordinate_and_open</x:v>
      </x:c>
      <x:c r="AC208" s="30" t="str">
        <x:v>Open</x:v>
      </x:c>
      <x:c r="AD208" s="30" t="str">
        <x:v>Public — handicap 54 or lower</x:v>
      </x:c>
      <x:c r="AE208" s="31" t="b">
        <x:v>1</x:v>
      </x:c>
      <x:c r="AF208" s="31" t="b">
        <x:v>0</x:v>
      </x:c>
      <x:c r="AG208" s="30"/>
      <x:c r="AH208" s="30"/>
      <x:c r="AI208" s="30"/>
      <x:c r="AJ208" s="31" t="b">
        <x:v>0</x:v>
      </x:c>
      <x:c r="AK208" s="31" t="b">
        <x:v>0</x:v>
      </x:c>
      <x:c r="AL208" s="30" t="str">
        <x:v>Verified — national register and exact BAG address</x:v>
      </x:c>
      <x:c r="AM208" s="30" t="str">
        <x:v>https://www.golf.nl/de-baan-op/banenzoeker/overzicht</x:v>
      </x:c>
      <x:c r="AN208" s="30" t="str">
        <x:v>2026-08-15</x:v>
      </x:c>
      <x:c r="AO208" s="30" t="str">
        <x:v>+31 416-749800</x:v>
      </x:c>
      <x:c r="AP208" s="30" t="str">
        <x:v>Current NGF/GOLF.NL listing: 18 holes, par 72, 6269 metres. Combined from exact NGF-listed constituent nine-hole loops: 1ste negen (9 holes, par 36, 3217 m); 2de negen (9 holes, par 36, 3052 m) Listed as qualifying.</x:v>
      </x:c>
    </x:row>
    <x:row r="209">
      <x:c r="A209" s="30" t="str">
        <x:v>NL-C0133</x:v>
      </x:c>
      <x:c r="B209" s="30" t="str">
        <x:v>NL-0208</x:v>
      </x:c>
      <x:c r="C209" s="30" t="str">
        <x:v>Golfpark De Loonsche Duynen — Par-3/4 Course</x:v>
      </x:c>
      <x:c r="D209" s="30" t="str">
        <x:v>Golfpark De Loonsche Duynen</x:v>
      </x:c>
      <x:c r="E209" s="30" t="str">
        <x:v>Par-3/4 Course</x:v>
      </x:c>
      <x:c r="F209" s="30" t="str">
        <x:v>Netherlands</x:v>
      </x:c>
      <x:c r="G209" s="30" t="str">
        <x:v>Noord-Brabant</x:v>
      </x:c>
      <x:c r="H209" s="30" t="str">
        <x:v>Loon op Zand</x:v>
      </x:c>
      <x:c r="I209" s="30" t="str">
        <x:v>De Moer</x:v>
      </x:c>
      <x:c r="J209" s="30" t="str">
        <x:v>Veldstraat 6</x:v>
      </x:c>
      <x:c r="K209" s="30" t="str">
        <x:v>5176 NB</x:v>
      </x:c>
      <x:c r="L209" s="32" t="n">
        <x:v>51.63909512</x:v>
      </x:c>
      <x:c r="M209" s="32" t="n">
        <x:v>5.03174283</x:v>
      </x:c>
      <x:c r="N209" s="30" t="str">
        <x:v>WGS84 / EPSG:4326</x:v>
      </x:c>
      <x:c r="O209" s="30" t="str">
        <x:v>Verified BAG address point via PDOK</x:v>
      </x:c>
      <x:c r="P209" s="30" t="str">
        <x:v>2026-08-15</x:v>
      </x:c>
      <x:c r="Q209" s="33" t="n">
        <x:f>IF(R209="","",ROUND(R209/0.9144,0))</x:f>
        <x:v>1450</x:v>
      </x:c>
      <x:c r="R209" s="33" t="n">
        <x:v>1326</x:v>
      </x:c>
      <x:c r="S209" s="33" t="n">
        <x:v>9</x:v>
      </x:c>
      <x:c r="T209" s="33" t="n">
        <x:v>28</x:v>
      </x:c>
      <x:c r="U209" s="30" t="str">
        <x:v>Par-3/4 course</x:v>
      </x:c>
      <x:c r="V209" s="30"/>
      <x:c r="W209" s="30"/>
      <x:c r="X209" s="30"/>
      <x:c r="Y209" s="30" t="str">
        <x:v>https://www.hollandschegolfclub.nl/golfpark/de-loonsche-duynen/</x:v>
      </x:c>
      <x:c r="Z209" s="30" t="b">
        <x:f>IF(AND(F209="Netherlands",ISNUMBER(L209),ISNUMBER(M209),L209&gt;=50.7,L209&lt;=53.7,M209&gt;=3.2,M209&lt;=7.3,AC209&lt;&gt;"Closed"),TRUE,FALSE)</x:f>
        <x:v>1</x:v>
      </x:c>
      <x:c r="AA209" s="30" t="b">
        <x:f>Z209</x:f>
        <x:v>1</x:v>
      </x:c>
      <x:c r="AB209" s="30" t="str">
        <x:f>IF(Z209,"verified_coordinate_and_open","not_map_ready")</x:f>
        <x:v>verified_coordinate_and_open</x:v>
      </x:c>
      <x:c r="AC209" s="30" t="str">
        <x:v>Open</x:v>
      </x:c>
      <x:c r="AD209" s="30" t="str">
        <x:v>Public — no playing requirement</x:v>
      </x:c>
      <x:c r="AE209" s="31" t="b">
        <x:v>1</x:v>
      </x:c>
      <x:c r="AF209" s="31" t="b">
        <x:v>0</x:v>
      </x:c>
      <x:c r="AG209" s="30"/>
      <x:c r="AH209" s="30"/>
      <x:c r="AI209" s="30"/>
      <x:c r="AJ209" s="31" t="b">
        <x:v>0</x:v>
      </x:c>
      <x:c r="AK209" s="31" t="b">
        <x:v>0</x:v>
      </x:c>
      <x:c r="AL209" s="30" t="str">
        <x:v>Verified — national register and exact BAG address</x:v>
      </x:c>
      <x:c r="AM209" s="30" t="str">
        <x:v>https://www.golf.nl/de-baan-op/banenzoeker/overzicht</x:v>
      </x:c>
      <x:c r="AN209" s="30" t="str">
        <x:v>2026-08-15</x:v>
      </x:c>
      <x:c r="AO209" s="30" t="str">
        <x:v>+31 416-749800</x:v>
      </x:c>
      <x:c r="AP209" s="30" t="str">
        <x:v>Current NGF/GOLF.NL listing: 9 holes, par 28, 1326 metres. Listed as qualifying.</x:v>
      </x:c>
    </x:row>
    <x:row r="210">
      <x:c r="A210" s="30" t="str">
        <x:v>NL-C0134</x:v>
      </x:c>
      <x:c r="B210" s="30" t="str">
        <x:v>NL-0209</x:v>
      </x:c>
      <x:c r="C210" s="30" t="str">
        <x:v>Golfpark De Turfvaert — Main Course</x:v>
      </x:c>
      <x:c r="D210" s="30" t="str">
        <x:v>Golfpark De Turfvaert</x:v>
      </x:c>
      <x:c r="E210" s="30" t="str">
        <x:v>Main Course</x:v>
      </x:c>
      <x:c r="F210" s="30" t="str">
        <x:v>Netherlands</x:v>
      </x:c>
      <x:c r="G210" s="30" t="str">
        <x:v>Noord-Brabant</x:v>
      </x:c>
      <x:c r="H210" s="30" t="str">
        <x:v>Zundert</x:v>
      </x:c>
      <x:c r="I210" s="30" t="str">
        <x:v>Rijsbergen</x:v>
      </x:c>
      <x:c r="J210" s="30" t="str">
        <x:v>Zwart Moerken 12</x:v>
      </x:c>
      <x:c r="K210" s="30" t="str">
        <x:v>4891 TK</x:v>
      </x:c>
      <x:c r="L210" s="32" t="n">
        <x:v>51.53228913</x:v>
      </x:c>
      <x:c r="M210" s="32" t="n">
        <x:v>4.69778834</x:v>
      </x:c>
      <x:c r="N210" s="30" t="str">
        <x:v>WGS84 / EPSG:4326</x:v>
      </x:c>
      <x:c r="O210" s="30" t="str">
        <x:v>Verified BAG address point via PDOK</x:v>
      </x:c>
      <x:c r="P210" s="30" t="str">
        <x:v>2026-08-15</x:v>
      </x:c>
      <x:c r="Q210" s="33" t="n">
        <x:f>IF(R210="","",ROUND(R210/0.9144,0))</x:f>
        <x:v>6215</x:v>
      </x:c>
      <x:c r="R210" s="33" t="n">
        <x:v>5683</x:v>
      </x:c>
      <x:c r="S210" s="33" t="n">
        <x:v>18</x:v>
      </x:c>
      <x:c r="T210" s="33" t="n">
        <x:v>70</x:v>
      </x:c>
      <x:c r="U210" s="30" t="str">
        <x:v>Full-length course</x:v>
      </x:c>
      <x:c r="V210" s="30"/>
      <x:c r="W210" s="30"/>
      <x:c r="X210" s="30"/>
      <x:c r="Y210" s="30" t="str">
        <x:v>https://www.deturfvaert.nl/</x:v>
      </x:c>
      <x:c r="Z210" s="30" t="b">
        <x:f>IF(AND(F210="Netherlands",ISNUMBER(L210),ISNUMBER(M210),L210&gt;=50.7,L210&lt;=53.7,M210&gt;=3.2,M210&lt;=7.3,AC210&lt;&gt;"Closed"),TRUE,FALSE)</x:f>
        <x:v>1</x:v>
      </x:c>
      <x:c r="AA210" s="30" t="b">
        <x:f>Z210</x:f>
        <x:v>1</x:v>
      </x:c>
      <x:c r="AB210" s="30" t="str">
        <x:f>IF(Z210,"verified_coordinate_and_open","not_map_ready")</x:f>
        <x:v>verified_coordinate_and_open</x:v>
      </x:c>
      <x:c r="AC210" s="30" t="str">
        <x:v>Open</x:v>
      </x:c>
      <x:c r="AD210" s="30" t="str">
        <x:v>Public — NGF course permission</x:v>
      </x:c>
      <x:c r="AE210" s="31" t="b">
        <x:v>1</x:v>
      </x:c>
      <x:c r="AF210" s="31" t="b">
        <x:v>0</x:v>
      </x:c>
      <x:c r="AG210" s="30"/>
      <x:c r="AH210" s="30"/>
      <x:c r="AI210" s="30"/>
      <x:c r="AJ210" s="31" t="b">
        <x:v>0</x:v>
      </x:c>
      <x:c r="AK210" s="31" t="b">
        <x:v>0</x:v>
      </x:c>
      <x:c r="AL210" s="30" t="str">
        <x:v>Verified — national register and exact BAG address</x:v>
      </x:c>
      <x:c r="AM210" s="30" t="str">
        <x:v>https://www.golf.nl/de-baan-op/banenzoeker/overzicht</x:v>
      </x:c>
      <x:c r="AN210" s="30" t="str">
        <x:v>2026-08-15</x:v>
      </x:c>
      <x:c r="AO210" s="30" t="str">
        <x:v>+31 76-5968354</x:v>
      </x:c>
      <x:c r="AP210" s="30" t="str">
        <x:v>Current NGF/GOLF.NL listing: 18 holes, par 70, 5683 metres. Combined from exact NGF-listed constituent nine-hole loops: 1ste negen (9 holes, par 35, 2876 m); 2de negen (9 holes, par 35, 2807 m) Listed as qualifying.</x:v>
      </x:c>
    </x:row>
    <x:row r="211">
      <x:c r="A211" s="30" t="str">
        <x:v>NL-C0135</x:v>
      </x:c>
      <x:c r="B211" s="30" t="str">
        <x:v>NL-0210</x:v>
      </x:c>
      <x:c r="C211" s="30" t="str">
        <x:v>Golfpark Gendersteyn — Blauw</x:v>
      </x:c>
      <x:c r="D211" s="30" t="str">
        <x:v>Golfpark Gendersteyn</x:v>
      </x:c>
      <x:c r="E211" s="30" t="str">
        <x:v>Blauw</x:v>
      </x:c>
      <x:c r="F211" s="30" t="str">
        <x:v>Netherlands</x:v>
      </x:c>
      <x:c r="G211" s="30" t="str">
        <x:v>Noord-Brabant</x:v>
      </x:c>
      <x:c r="H211" s="30" t="str">
        <x:v>Veldhoven</x:v>
      </x:c>
      <x:c r="I211" s="30" t="str">
        <x:v>Veldhoven</x:v>
      </x:c>
      <x:c r="J211" s="30" t="str">
        <x:v>Locht 140</x:v>
      </x:c>
      <x:c r="K211" s="30" t="str">
        <x:v>5504 RP</x:v>
      </x:c>
      <x:c r="L211" s="32" t="n">
        <x:v>51.38717371</x:v>
      </x:c>
      <x:c r="M211" s="32" t="n">
        <x:v>5.37715294</x:v>
      </x:c>
      <x:c r="N211" s="30" t="str">
        <x:v>WGS84 / EPSG:4326</x:v>
      </x:c>
      <x:c r="O211" s="30" t="str">
        <x:v>Verified BAG address point via PDOK</x:v>
      </x:c>
      <x:c r="P211" s="30" t="str">
        <x:v>2026-08-15</x:v>
      </x:c>
      <x:c r="Q211" s="33" t="n">
        <x:f>IF(R211="","",ROUND(R211/0.9144,0))</x:f>
        <x:v>2456</x:v>
      </x:c>
      <x:c r="R211" s="33" t="n">
        <x:v>2246</x:v>
      </x:c>
      <x:c r="S211" s="33" t="n">
        <x:v>7</x:v>
      </x:c>
      <x:c r="T211" s="33" t="n">
        <x:v>28</x:v>
      </x:c>
      <x:c r="U211" s="30" t="str">
        <x:v>Full-length course</x:v>
      </x:c>
      <x:c r="V211" s="30"/>
      <x:c r="W211" s="30"/>
      <x:c r="X211" s="30"/>
      <x:c r="Y211" s="30" t="str">
        <x:v>https://www.hollandschegolfclub.nl/golfpark/gendersteyn/</x:v>
      </x:c>
      <x:c r="Z211" s="30" t="b">
        <x:f>IF(AND(F211="Netherlands",ISNUMBER(L211),ISNUMBER(M211),L211&gt;=50.7,L211&lt;=53.7,M211&gt;=3.2,M211&lt;=7.3,AC211&lt;&gt;"Closed"),TRUE,FALSE)</x:f>
        <x:v>1</x:v>
      </x:c>
      <x:c r="AA211" s="30" t="b">
        <x:f>Z211</x:f>
        <x:v>1</x:v>
      </x:c>
      <x:c r="AB211" s="30" t="str">
        <x:f>IF(Z211,"verified_coordinate_and_open","not_map_ready")</x:f>
        <x:v>verified_coordinate_and_open</x:v>
      </x:c>
      <x:c r="AC211" s="30" t="str">
        <x:v>Open</x:v>
      </x:c>
      <x:c r="AD211" s="30" t="str">
        <x:v>Public — no playing requirement</x:v>
      </x:c>
      <x:c r="AE211" s="31" t="b">
        <x:v>0</x:v>
      </x:c>
      <x:c r="AF211" s="31" t="b">
        <x:v>0</x:v>
      </x:c>
      <x:c r="AG211" s="30"/>
      <x:c r="AH211" s="30"/>
      <x:c r="AI211" s="30"/>
      <x:c r="AJ211" s="31" t="b">
        <x:v>0</x:v>
      </x:c>
      <x:c r="AK211" s="31" t="b">
        <x:v>0</x:v>
      </x:c>
      <x:c r="AL211" s="30" t="str">
        <x:v>Verified — national register and exact BAG address</x:v>
      </x:c>
      <x:c r="AM211" s="30" t="str">
        <x:v>https://www.golf.nl/de-baan-op/banenzoeker/overzicht</x:v>
      </x:c>
      <x:c r="AN211" s="30" t="str">
        <x:v>2026-08-15</x:v>
      </x:c>
      <x:c r="AO211" s="30" t="str">
        <x:v>+31 40-2546920</x:v>
      </x:c>
      <x:c r="AP211" s="30" t="str">
        <x:v>Current NGF/GOLF.NL listing: 7 holes, par 28, 2246 metres. Listed as non-qualifying.</x:v>
      </x:c>
    </x:row>
    <x:row r="212">
      <x:c r="A212" s="30" t="str">
        <x:v>NL-C0135</x:v>
      </x:c>
      <x:c r="B212" s="30" t="str">
        <x:v>NL-0211</x:v>
      </x:c>
      <x:c r="C212" s="30" t="str">
        <x:v>Golfpark Gendersteyn — Geel</x:v>
      </x:c>
      <x:c r="D212" s="30" t="str">
        <x:v>Golfpark Gendersteyn</x:v>
      </x:c>
      <x:c r="E212" s="30" t="str">
        <x:v>Geel</x:v>
      </x:c>
      <x:c r="F212" s="30" t="str">
        <x:v>Netherlands</x:v>
      </x:c>
      <x:c r="G212" s="30" t="str">
        <x:v>Noord-Brabant</x:v>
      </x:c>
      <x:c r="H212" s="30" t="str">
        <x:v>Veldhoven</x:v>
      </x:c>
      <x:c r="I212" s="30" t="str">
        <x:v>Veldhoven</x:v>
      </x:c>
      <x:c r="J212" s="30" t="str">
        <x:v>Locht 140</x:v>
      </x:c>
      <x:c r="K212" s="30" t="str">
        <x:v>5504 RP</x:v>
      </x:c>
      <x:c r="L212" s="32" t="n">
        <x:v>51.38717371</x:v>
      </x:c>
      <x:c r="M212" s="32" t="n">
        <x:v>5.37715294</x:v>
      </x:c>
      <x:c r="N212" s="30" t="str">
        <x:v>WGS84 / EPSG:4326</x:v>
      </x:c>
      <x:c r="O212" s="30" t="str">
        <x:v>Verified BAG address point via PDOK</x:v>
      </x:c>
      <x:c r="P212" s="30" t="str">
        <x:v>2026-08-15</x:v>
      </x:c>
      <x:c r="Q212" s="33" t="n">
        <x:f>IF(R212="","",ROUND(R212/0.9144,0))</x:f>
        <x:v>3318</x:v>
      </x:c>
      <x:c r="R212" s="33" t="n">
        <x:v>3034</x:v>
      </x:c>
      <x:c r="S212" s="33" t="n">
        <x:v>9</x:v>
      </x:c>
      <x:c r="T212" s="33" t="n">
        <x:v>36</x:v>
      </x:c>
      <x:c r="U212" s="30" t="str">
        <x:v>Full-length course</x:v>
      </x:c>
      <x:c r="V212" s="30"/>
      <x:c r="W212" s="30"/>
      <x:c r="X212" s="30"/>
      <x:c r="Y212" s="30" t="str">
        <x:v>https://www.hollandschegolfclub.nl/golfpark/gendersteyn/</x:v>
      </x:c>
      <x:c r="Z212" s="30" t="b">
        <x:f>IF(AND(F212="Netherlands",ISNUMBER(L212),ISNUMBER(M212),L212&gt;=50.7,L212&lt;=53.7,M212&gt;=3.2,M212&lt;=7.3,AC212&lt;&gt;"Closed"),TRUE,FALSE)</x:f>
        <x:v>1</x:v>
      </x:c>
      <x:c r="AA212" s="30" t="b">
        <x:f>Z212</x:f>
        <x:v>1</x:v>
      </x:c>
      <x:c r="AB212" s="30" t="str">
        <x:f>IF(Z212,"verified_coordinate_and_open","not_map_ready")</x:f>
        <x:v>verified_coordinate_and_open</x:v>
      </x:c>
      <x:c r="AC212" s="30" t="str">
        <x:v>Open</x:v>
      </x:c>
      <x:c r="AD212" s="30" t="str">
        <x:v>Public — handicap 54 or lower</x:v>
      </x:c>
      <x:c r="AE212" s="31" t="b">
        <x:v>1</x:v>
      </x:c>
      <x:c r="AF212" s="31" t="b">
        <x:v>0</x:v>
      </x:c>
      <x:c r="AG212" s="30"/>
      <x:c r="AH212" s="30"/>
      <x:c r="AI212" s="30"/>
      <x:c r="AJ212" s="31" t="b">
        <x:v>0</x:v>
      </x:c>
      <x:c r="AK212" s="31" t="b">
        <x:v>0</x:v>
      </x:c>
      <x:c r="AL212" s="30" t="str">
        <x:v>Verified — national register and exact BAG address</x:v>
      </x:c>
      <x:c r="AM212" s="30" t="str">
        <x:v>https://www.golf.nl/de-baan-op/banenzoeker/overzicht</x:v>
      </x:c>
      <x:c r="AN212" s="30" t="str">
        <x:v>2026-08-15</x:v>
      </x:c>
      <x:c r="AO212" s="30" t="str">
        <x:v>+31 40-2546920</x:v>
      </x:c>
      <x:c r="AP212" s="30" t="str">
        <x:v>Current NGF/GOLF.NL listing: 9 holes, par 36, 3034 metres. Listed as qualifying.</x:v>
      </x:c>
    </x:row>
    <x:row r="213">
      <x:c r="A213" s="30" t="str">
        <x:v>NL-C0135</x:v>
      </x:c>
      <x:c r="B213" s="30" t="str">
        <x:v>NL-0212</x:v>
      </x:c>
      <x:c r="C213" s="30" t="str">
        <x:v>Golfpark Gendersteyn — Rood</x:v>
      </x:c>
      <x:c r="D213" s="30" t="str">
        <x:v>Golfpark Gendersteyn</x:v>
      </x:c>
      <x:c r="E213" s="30" t="str">
        <x:v>Rood</x:v>
      </x:c>
      <x:c r="F213" s="30" t="str">
        <x:v>Netherlands</x:v>
      </x:c>
      <x:c r="G213" s="30" t="str">
        <x:v>Noord-Brabant</x:v>
      </x:c>
      <x:c r="H213" s="30" t="str">
        <x:v>Veldhoven</x:v>
      </x:c>
      <x:c r="I213" s="30" t="str">
        <x:v>Veldhoven</x:v>
      </x:c>
      <x:c r="J213" s="30" t="str">
        <x:v>Locht 140</x:v>
      </x:c>
      <x:c r="K213" s="30" t="str">
        <x:v>5504 RP</x:v>
      </x:c>
      <x:c r="L213" s="32" t="n">
        <x:v>51.38717371</x:v>
      </x:c>
      <x:c r="M213" s="32" t="n">
        <x:v>5.37715294</x:v>
      </x:c>
      <x:c r="N213" s="30" t="str">
        <x:v>WGS84 / EPSG:4326</x:v>
      </x:c>
      <x:c r="O213" s="30" t="str">
        <x:v>Verified BAG address point via PDOK</x:v>
      </x:c>
      <x:c r="P213" s="30" t="str">
        <x:v>2026-08-15</x:v>
      </x:c>
      <x:c r="Q213" s="33" t="n">
        <x:f>IF(R213="","",ROUND(R213/0.9144,0))</x:f>
        <x:v>3127</x:v>
      </x:c>
      <x:c r="R213" s="33" t="n">
        <x:v>2859</x:v>
      </x:c>
      <x:c r="S213" s="33" t="n">
        <x:v>9</x:v>
      </x:c>
      <x:c r="T213" s="33" t="n">
        <x:v>35</x:v>
      </x:c>
      <x:c r="U213" s="30" t="str">
        <x:v>Full-length course</x:v>
      </x:c>
      <x:c r="V213" s="30"/>
      <x:c r="W213" s="30"/>
      <x:c r="X213" s="30"/>
      <x:c r="Y213" s="30" t="str">
        <x:v>https://www.hollandschegolfclub.nl/golfpark/gendersteyn/</x:v>
      </x:c>
      <x:c r="Z213" s="30" t="b">
        <x:f>IF(AND(F213="Netherlands",ISNUMBER(L213),ISNUMBER(M213),L213&gt;=50.7,L213&lt;=53.7,M213&gt;=3.2,M213&lt;=7.3,AC213&lt;&gt;"Closed"),TRUE,FALSE)</x:f>
        <x:v>1</x:v>
      </x:c>
      <x:c r="AA213" s="30" t="b">
        <x:f>Z213</x:f>
        <x:v>1</x:v>
      </x:c>
      <x:c r="AB213" s="30" t="str">
        <x:f>IF(Z213,"verified_coordinate_and_open","not_map_ready")</x:f>
        <x:v>verified_coordinate_and_open</x:v>
      </x:c>
      <x:c r="AC213" s="30" t="str">
        <x:v>Open</x:v>
      </x:c>
      <x:c r="AD213" s="30" t="str">
        <x:v>Public — handicap 54 or lower</x:v>
      </x:c>
      <x:c r="AE213" s="31" t="b">
        <x:v>1</x:v>
      </x:c>
      <x:c r="AF213" s="31" t="b">
        <x:v>0</x:v>
      </x:c>
      <x:c r="AG213" s="30"/>
      <x:c r="AH213" s="30"/>
      <x:c r="AI213" s="30"/>
      <x:c r="AJ213" s="31" t="b">
        <x:v>0</x:v>
      </x:c>
      <x:c r="AK213" s="31" t="b">
        <x:v>0</x:v>
      </x:c>
      <x:c r="AL213" s="30" t="str">
        <x:v>Verified — national register and exact BAG address</x:v>
      </x:c>
      <x:c r="AM213" s="30" t="str">
        <x:v>https://www.golf.nl/de-baan-op/banenzoeker/overzicht</x:v>
      </x:c>
      <x:c r="AN213" s="30" t="str">
        <x:v>2026-08-15</x:v>
      </x:c>
      <x:c r="AO213" s="30" t="str">
        <x:v>+31 40-2546920</x:v>
      </x:c>
      <x:c r="AP213" s="30" t="str">
        <x:v>Current NGF/GOLF.NL listing: 9 holes, par 35, 2859 metres. Listed as qualifying.</x:v>
      </x:c>
    </x:row>
    <x:row r="214">
      <x:c r="A214" s="30" t="str">
        <x:v>NL-C0136</x:v>
      </x:c>
      <x:c r="B214" s="30" t="str">
        <x:v>NL-0213</x:v>
      </x:c>
      <x:c r="C214" s="30" t="str">
        <x:v>Golfpark Weilenseind</x:v>
      </x:c>
      <x:c r="D214" s="30" t="str">
        <x:v>Golfpark Weilenseind</x:v>
      </x:c>
      <x:c r="E214" s="30" t="str">
        <x:v>Course</x:v>
      </x:c>
      <x:c r="F214" s="30" t="str">
        <x:v>Netherlands</x:v>
      </x:c>
      <x:c r="G214" s="30" t="str">
        <x:v>Noord-Brabant</x:v>
      </x:c>
      <x:c r="H214" s="30" t="str">
        <x:v>Gilze en Rijen</x:v>
      </x:c>
      <x:c r="I214" s="30" t="str">
        <x:v>Gilze</x:v>
      </x:c>
      <x:c r="J214" s="30" t="str">
        <x:v>Alphenseweg 14A</x:v>
      </x:c>
      <x:c r="K214" s="30" t="str">
        <x:v>5126 PN</x:v>
      </x:c>
      <x:c r="L214" s="32" t="n">
        <x:v>51.53500933</x:v>
      </x:c>
      <x:c r="M214" s="32" t="n">
        <x:v>4.94419277</x:v>
      </x:c>
      <x:c r="N214" s="30" t="str">
        <x:v>WGS84 / EPSG:4326</x:v>
      </x:c>
      <x:c r="O214" s="30" t="str">
        <x:v>Verified BAG address point via PDOK</x:v>
      </x:c>
      <x:c r="P214" s="30" t="str">
        <x:v>2026-08-15</x:v>
      </x:c>
      <x:c r="Q214" s="33" t="n">
        <x:f>IF(R214="","",ROUND(R214/0.9144,0))</x:f>
        <x:v>1599</x:v>
      </x:c>
      <x:c r="R214" s="33" t="n">
        <x:v>1462</x:v>
      </x:c>
      <x:c r="S214" s="33" t="n">
        <x:v>9</x:v>
      </x:c>
      <x:c r="T214" s="33" t="n">
        <x:v>30</x:v>
      </x:c>
      <x:c r="U214" s="30" t="str">
        <x:v>Par-3/4 course</x:v>
      </x:c>
      <x:c r="V214" s="30"/>
      <x:c r="W214" s="30"/>
      <x:c r="X214" s="30"/>
      <x:c r="Y214" s="30" t="str">
        <x:v>https://golfparkweilenseind.nl/</x:v>
      </x:c>
      <x:c r="Z214" s="30" t="b">
        <x:f>IF(AND(F214="Netherlands",ISNUMBER(L214),ISNUMBER(M214),L214&gt;=50.7,L214&lt;=53.7,M214&gt;=3.2,M214&lt;=7.3,AC214&lt;&gt;"Closed"),TRUE,FALSE)</x:f>
        <x:v>1</x:v>
      </x:c>
      <x:c r="AA214" s="30" t="b">
        <x:f>Z214</x:f>
        <x:v>1</x:v>
      </x:c>
      <x:c r="AB214" s="30" t="str">
        <x:f>IF(Z214,"verified_coordinate_and_open","not_map_ready")</x:f>
        <x:v>verified_coordinate_and_open</x:v>
      </x:c>
      <x:c r="AC214" s="30" t="str">
        <x:v>Open</x:v>
      </x:c>
      <x:c r="AD214" s="30" t="str">
        <x:v>Public — NGF course permission</x:v>
      </x:c>
      <x:c r="AE214" s="31" t="b">
        <x:v>1</x:v>
      </x:c>
      <x:c r="AF214" s="31" t="b">
        <x:v>0</x:v>
      </x:c>
      <x:c r="AG214" s="30"/>
      <x:c r="AH214" s="30"/>
      <x:c r="AI214" s="30"/>
      <x:c r="AJ214" s="31" t="b">
        <x:v>0</x:v>
      </x:c>
      <x:c r="AK214" s="31" t="b">
        <x:v>0</x:v>
      </x:c>
      <x:c r="AL214" s="30" t="str">
        <x:v>Verified — national register and exact BAG address</x:v>
      </x:c>
      <x:c r="AM214" s="30" t="str">
        <x:v>https://www.golf.nl/de-baan-op/banenzoeker/overzicht</x:v>
      </x:c>
      <x:c r="AN214" s="30" t="str">
        <x:v>2026-08-15</x:v>
      </x:c>
      <x:c r="AO214" s="30" t="str">
        <x:v>+31 161-451387</x:v>
      </x:c>
      <x:c r="AP214" s="30" t="str">
        <x:v>Current NGF/GOLF.NL listing: 9 holes, par 30, 1462 metres. Listed as qualifying.</x:v>
      </x:c>
    </x:row>
    <x:row r="215">
      <x:c r="A215" s="30" t="str">
        <x:v>NL-C0137</x:v>
      </x:c>
      <x:c r="B215" s="30" t="str">
        <x:v>NL-0214</x:v>
      </x:c>
      <x:c r="C215" s="30" t="str">
        <x:v>Golfvereniging Albatross</x:v>
      </x:c>
      <x:c r="D215" s="30" t="str">
        <x:v>Golfvereniging Albatross</x:v>
      </x:c>
      <x:c r="E215" s="30" t="str">
        <x:v>Course</x:v>
      </x:c>
      <x:c r="F215" s="30" t="str">
        <x:v>Netherlands</x:v>
      </x:c>
      <x:c r="G215" s="30" t="str">
        <x:v>Noord-Brabant</x:v>
      </x:c>
      <x:c r="H215" s="30" t="str">
        <x:v>Breda</x:v>
      </x:c>
      <x:c r="I215" s="30" t="str">
        <x:v>Prinsenbeek</x:v>
      </x:c>
      <x:c r="J215" s="30" t="str">
        <x:v>Weimersedreef 19</x:v>
      </x:c>
      <x:c r="K215" s="30" t="str">
        <x:v>4841 KG</x:v>
      </x:c>
      <x:c r="L215" s="32" t="n">
        <x:v>51.61800722</x:v>
      </x:c>
      <x:c r="M215" s="32" t="n">
        <x:v>4.6988517</x:v>
      </x:c>
      <x:c r="N215" s="30" t="str">
        <x:v>WGS84 / EPSG:4326</x:v>
      </x:c>
      <x:c r="O215" s="30" t="str">
        <x:v>Verified BAG address point via PDOK</x:v>
      </x:c>
      <x:c r="P215" s="30" t="str">
        <x:v>2026-08-15</x:v>
      </x:c>
      <x:c r="Q215" s="33" t="n">
        <x:f>IF(R215="","",ROUND(R215/0.9144,0))</x:f>
        <x:v>3007</x:v>
      </x:c>
      <x:c r="R215" s="33" t="n">
        <x:v>2750</x:v>
      </x:c>
      <x:c r="S215" s="33" t="n">
        <x:v>9</x:v>
      </x:c>
      <x:c r="T215" s="33" t="n">
        <x:v>35</x:v>
      </x:c>
      <x:c r="U215" s="30" t="str">
        <x:v>Full-length course</x:v>
      </x:c>
      <x:c r="V215" s="30"/>
      <x:c r="W215" s="30"/>
      <x:c r="X215" s="30"/>
      <x:c r="Y215" s="30" t="str">
        <x:v>https://www.albatrossgolf.nl/</x:v>
      </x:c>
      <x:c r="Z215" s="30" t="b">
        <x:f>IF(AND(F215="Netherlands",ISNUMBER(L215),ISNUMBER(M215),L215&gt;=50.7,L215&lt;=53.7,M215&gt;=3.2,M215&lt;=7.3,AC215&lt;&gt;"Closed"),TRUE,FALSE)</x:f>
        <x:v>1</x:v>
      </x:c>
      <x:c r="AA215" s="30" t="b">
        <x:f>Z215</x:f>
        <x:v>1</x:v>
      </x:c>
      <x:c r="AB215" s="30" t="str">
        <x:f>IF(Z215,"verified_coordinate_and_open","not_map_ready")</x:f>
        <x:v>verified_coordinate_and_open</x:v>
      </x:c>
      <x:c r="AC215" s="30" t="str">
        <x:v>Open</x:v>
      </x:c>
      <x:c r="AD215" s="30" t="str">
        <x:v>Public — handicap 54 or lower</x:v>
      </x:c>
      <x:c r="AE215" s="31" t="b">
        <x:v>1</x:v>
      </x:c>
      <x:c r="AF215" s="31" t="b">
        <x:v>0</x:v>
      </x:c>
      <x:c r="AG215" s="30"/>
      <x:c r="AH215" s="30"/>
      <x:c r="AI215" s="30"/>
      <x:c r="AJ215" s="31" t="b">
        <x:v>0</x:v>
      </x:c>
      <x:c r="AK215" s="31" t="b">
        <x:v>0</x:v>
      </x:c>
      <x:c r="AL215" s="30" t="str">
        <x:v>Verified — national register and exact BAG address</x:v>
      </x:c>
      <x:c r="AM215" s="30" t="str">
        <x:v>https://www.golf.nl/de-baan-op/banenzoeker/overzicht</x:v>
      </x:c>
      <x:c r="AN215" s="30" t="str">
        <x:v>2026-08-15</x:v>
      </x:c>
      <x:c r="AO215" s="30" t="str">
        <x:v>+31 76-5419449</x:v>
      </x:c>
      <x:c r="AP215" s="30" t="str">
        <x:v>Current NGF/GOLF.NL listing: 9 holes, par 35, 2750 metres. Listed as qualifying.</x:v>
      </x:c>
    </x:row>
    <x:row r="216">
      <x:c r="A216" s="30" t="str">
        <x:v>NL-C0138</x:v>
      </x:c>
      <x:c r="B216" s="30" t="str">
        <x:v>NL-0215</x:v>
      </x:c>
      <x:c r="C216" s="30" t="str">
        <x:v>Helmondse Golfclub Overbrug</x:v>
      </x:c>
      <x:c r="D216" s="30" t="str">
        <x:v>Helmondse Golfclub Overbrug</x:v>
      </x:c>
      <x:c r="E216" s="30" t="str">
        <x:v>Course</x:v>
      </x:c>
      <x:c r="F216" s="30" t="str">
        <x:v>Netherlands</x:v>
      </x:c>
      <x:c r="G216" s="30" t="str">
        <x:v>Noord-Brabant</x:v>
      </x:c>
      <x:c r="H216" s="30" t="str">
        <x:v>Helmond</x:v>
      </x:c>
      <x:c r="I216" s="30" t="str">
        <x:v>Helmond</x:v>
      </x:c>
      <x:c r="J216" s="30" t="str">
        <x:v>Verliefd Laantje 3a</x:v>
      </x:c>
      <x:c r="K216" s="30" t="str">
        <x:v>5707 LG</x:v>
      </x:c>
      <x:c r="L216" s="32" t="n">
        <x:v>51.49616846</x:v>
      </x:c>
      <x:c r="M216" s="32" t="n">
        <x:v>5.64773279</x:v>
      </x:c>
      <x:c r="N216" s="30" t="str">
        <x:v>WGS84 / EPSG:4326</x:v>
      </x:c>
      <x:c r="O216" s="30" t="str">
        <x:v>Verified BAG address point via PDOK</x:v>
      </x:c>
      <x:c r="P216" s="30" t="str">
        <x:v>2026-08-15</x:v>
      </x:c>
      <x:c r="Q216" s="33" t="n">
        <x:f>IF(R216="","",ROUND(R216/0.9144,0))</x:f>
        <x:v>3025</x:v>
      </x:c>
      <x:c r="R216" s="33" t="n">
        <x:v>2766</x:v>
      </x:c>
      <x:c r="S216" s="33" t="n">
        <x:v>9</x:v>
      </x:c>
      <x:c r="T216" s="33" t="n">
        <x:v>36</x:v>
      </x:c>
      <x:c r="U216" s="30" t="str">
        <x:v>Full-length course</x:v>
      </x:c>
      <x:c r="V216" s="30"/>
      <x:c r="W216" s="30"/>
      <x:c r="X216" s="30"/>
      <x:c r="Y216" s="30" t="str">
        <x:v>https://hgc-overbrug.nl/</x:v>
      </x:c>
      <x:c r="Z216" s="30" t="b">
        <x:f>IF(AND(F216="Netherlands",ISNUMBER(L216),ISNUMBER(M216),L216&gt;=50.7,L216&lt;=53.7,M216&gt;=3.2,M216&lt;=7.3,AC216&lt;&gt;"Closed"),TRUE,FALSE)</x:f>
        <x:v>1</x:v>
      </x:c>
      <x:c r="AA216" s="30" t="b">
        <x:f>Z216</x:f>
        <x:v>1</x:v>
      </x:c>
      <x:c r="AB216" s="30" t="str">
        <x:f>IF(Z216,"verified_coordinate_and_open","not_map_ready")</x:f>
        <x:v>verified_coordinate_and_open</x:v>
      </x:c>
      <x:c r="AC216" s="30" t="str">
        <x:v>Open</x:v>
      </x:c>
      <x:c r="AD216" s="30" t="str">
        <x:v>Public — handicap 54 or lower</x:v>
      </x:c>
      <x:c r="AE216" s="31" t="b">
        <x:v>1</x:v>
      </x:c>
      <x:c r="AF216" s="31" t="b">
        <x:v>0</x:v>
      </x:c>
      <x:c r="AG216" s="30"/>
      <x:c r="AH216" s="30"/>
      <x:c r="AI216" s="30"/>
      <x:c r="AJ216" s="31" t="b">
        <x:v>0</x:v>
      </x:c>
      <x:c r="AK216" s="31" t="b">
        <x:v>0</x:v>
      </x:c>
      <x:c r="AL216" s="30" t="str">
        <x:v>Verified — national register and exact BAG address</x:v>
      </x:c>
      <x:c r="AM216" s="30" t="str">
        <x:v>https://www.golf.nl/de-baan-op/banenzoeker/overzicht</x:v>
      </x:c>
      <x:c r="AN216" s="30" t="str">
        <x:v>2026-08-15</x:v>
      </x:c>
      <x:c r="AO216" s="30" t="str">
        <x:v>+31 6-45598126</x:v>
      </x:c>
      <x:c r="AP216" s="30" t="str">
        <x:v>Current NGF/GOLF.NL listing: 9 holes, par 36, 2766 metres. Listed as qualifying.</x:v>
      </x:c>
    </x:row>
    <x:row r="217">
      <x:c r="A217" s="30" t="str">
        <x:v>NL-C0139</x:v>
      </x:c>
      <x:c r="B217" s="30" t="str">
        <x:v>NL-0216</x:v>
      </x:c>
      <x:c r="C217" s="30" t="str">
        <x:v>Leender Golfclub Haviksoord — Main Course</x:v>
      </x:c>
      <x:c r="D217" s="30" t="str">
        <x:v>Leender Golfclub Haviksoord</x:v>
      </x:c>
      <x:c r="E217" s="30" t="str">
        <x:v>Main Course</x:v>
      </x:c>
      <x:c r="F217" s="30" t="str">
        <x:v>Netherlands</x:v>
      </x:c>
      <x:c r="G217" s="30" t="str">
        <x:v>Noord-Brabant</x:v>
      </x:c>
      <x:c r="H217" s="30" t="str">
        <x:v>Heeze-Leende</x:v>
      </x:c>
      <x:c r="I217" s="30" t="str">
        <x:v>Leende</x:v>
      </x:c>
      <x:c r="J217" s="30" t="str">
        <x:v>Maarheezerweg Noord 11</x:v>
      </x:c>
      <x:c r="K217" s="30" t="str">
        <x:v>5595 XG</x:v>
      </x:c>
      <x:c r="L217" s="32" t="n">
        <x:v>51.33233918</x:v>
      </x:c>
      <x:c r="M217" s="32" t="n">
        <x:v>5.59520464</x:v>
      </x:c>
      <x:c r="N217" s="30" t="str">
        <x:v>WGS84 / EPSG:4326</x:v>
      </x:c>
      <x:c r="O217" s="30" t="str">
        <x:v>Verified BAG address point via PDOK</x:v>
      </x:c>
      <x:c r="P217" s="30" t="str">
        <x:v>2026-08-15</x:v>
      </x:c>
      <x:c r="Q217" s="33" t="n">
        <x:f>IF(R217="","",ROUND(R217/0.9144,0))</x:f>
        <x:v>6652</x:v>
      </x:c>
      <x:c r="R217" s="33" t="n">
        <x:v>6083</x:v>
      </x:c>
      <x:c r="S217" s="33" t="n">
        <x:v>18</x:v>
      </x:c>
      <x:c r="T217" s="33" t="n">
        <x:v>72</x:v>
      </x:c>
      <x:c r="U217" s="30" t="str">
        <x:v>Full-length course</x:v>
      </x:c>
      <x:c r="V217" s="30"/>
      <x:c r="W217" s="30"/>
      <x:c r="X217" s="30"/>
      <x:c r="Y217" s="30" t="str">
        <x:v>https://www.haviksoord.nl/</x:v>
      </x:c>
      <x:c r="Z217" s="30" t="b">
        <x:f>IF(AND(F217="Netherlands",ISNUMBER(L217),ISNUMBER(M217),L217&gt;=50.7,L217&lt;=53.7,M217&gt;=3.2,M217&lt;=7.3,AC217&lt;&gt;"Closed"),TRUE,FALSE)</x:f>
        <x:v>1</x:v>
      </x:c>
      <x:c r="AA217" s="30" t="b">
        <x:f>Z217</x:f>
        <x:v>1</x:v>
      </x:c>
      <x:c r="AB217" s="30" t="str">
        <x:f>IF(Z217,"verified_coordinate_and_open","not_map_ready")</x:f>
        <x:v>verified_coordinate_and_open</x:v>
      </x:c>
      <x:c r="AC217" s="30" t="str">
        <x:v>Open</x:v>
      </x:c>
      <x:c r="AD217" s="30" t="str">
        <x:v>Public — handicap 54 or lower</x:v>
      </x:c>
      <x:c r="AE217" s="31" t="b">
        <x:v>1</x:v>
      </x:c>
      <x:c r="AF217" s="31" t="b">
        <x:v>0</x:v>
      </x:c>
      <x:c r="AG217" s="30"/>
      <x:c r="AH217" s="30"/>
      <x:c r="AI217" s="30"/>
      <x:c r="AJ217" s="31" t="b">
        <x:v>0</x:v>
      </x:c>
      <x:c r="AK217" s="31" t="b">
        <x:v>0</x:v>
      </x:c>
      <x:c r="AL217" s="30" t="str">
        <x:v>Verified — national register and exact BAG address</x:v>
      </x:c>
      <x:c r="AM217" s="30" t="str">
        <x:v>https://www.golf.nl/de-baan-op/banenzoeker/overzicht</x:v>
      </x:c>
      <x:c r="AN217" s="30" t="str">
        <x:v>2026-08-15</x:v>
      </x:c>
      <x:c r="AO217" s="30" t="str">
        <x:v>040 2061818</x:v>
      </x:c>
      <x:c r="AP217" s="30" t="str">
        <x:v>Current NGF/GOLF.NL listing: 18 holes, par 72, 6083 metres. Combined from exact NGF-listed constituent nine-hole loops: 1ste negen (9 holes, par 36, 2932 m); 2de negen (9 holes, par 36, 3151 m) Listed as qualifying.</x:v>
      </x:c>
    </x:row>
    <x:row r="218">
      <x:c r="A218" s="30" t="str">
        <x:v>NL-C0140</x:v>
      </x:c>
      <x:c r="B218" s="30" t="str">
        <x:v>NL-0217</x:v>
      </x:c>
      <x:c r="C218" s="30" t="str">
        <x:v>Midden-Brabant, Golfbaan — Par 3 Pitch &amp; Putt oefenbaan</x:v>
      </x:c>
      <x:c r="D218" s="30" t="str">
        <x:v>Midden-Brabant, Golfbaan</x:v>
      </x:c>
      <x:c r="E218" s="30" t="str">
        <x:v>Par 3 Pitch &amp; Putt oefenbaan</x:v>
      </x:c>
      <x:c r="F218" s="30" t="str">
        <x:v>Netherlands</x:v>
      </x:c>
      <x:c r="G218" s="30" t="str">
        <x:v>Noord-Brabant</x:v>
      </x:c>
      <x:c r="H218" s="30" t="str">
        <x:v>Hilvarenbeek</x:v>
      </x:c>
      <x:c r="I218" s="30" t="str">
        <x:v>Esbeek</x:v>
      </x:c>
      <x:c r="J218" s="30" t="str">
        <x:v>Dunsedijk 1</x:v>
      </x:c>
      <x:c r="K218" s="30" t="str">
        <x:v>5085 ND</x:v>
      </x:c>
      <x:c r="L218" s="32" t="n">
        <x:v>51.44818499</x:v>
      </x:c>
      <x:c r="M218" s="32" t="n">
        <x:v>5.14268216</x:v>
      </x:c>
      <x:c r="N218" s="30" t="str">
        <x:v>WGS84 / EPSG:4326</x:v>
      </x:c>
      <x:c r="O218" s="30" t="str">
        <x:v>Verified BAG address point via PDOK</x:v>
      </x:c>
      <x:c r="P218" s="30" t="str">
        <x:v>2026-08-15</x:v>
      </x:c>
      <x:c r="Q218" s="33" t="n">
        <x:f>IF(R218="","",ROUND(R218/0.9144,0))</x:f>
        <x:v>656</x:v>
      </x:c>
      <x:c r="R218" s="33" t="n">
        <x:v>600</x:v>
      </x:c>
      <x:c r="S218" s="33" t="n">
        <x:v>9</x:v>
      </x:c>
      <x:c r="T218" s="33" t="n">
        <x:v>27</x:v>
      </x:c>
      <x:c r="U218" s="30" t="str">
        <x:v>Par-3 course</x:v>
      </x:c>
      <x:c r="V218" s="30"/>
      <x:c r="W218" s="30"/>
      <x:c r="X218" s="30"/>
      <x:c r="Y218" s="30" t="str">
        <x:v>https://www.golfmiddenbrabant.nl/</x:v>
      </x:c>
      <x:c r="Z218" s="30" t="b">
        <x:f>IF(AND(F218="Netherlands",ISNUMBER(L218),ISNUMBER(M218),L218&gt;=50.7,L218&lt;=53.7,M218&gt;=3.2,M218&lt;=7.3,AC218&lt;&gt;"Closed"),TRUE,FALSE)</x:f>
        <x:v>1</x:v>
      </x:c>
      <x:c r="AA218" s="30" t="b">
        <x:f>Z218</x:f>
        <x:v>1</x:v>
      </x:c>
      <x:c r="AB218" s="30" t="str">
        <x:f>IF(Z218,"verified_coordinate_and_open","not_map_ready")</x:f>
        <x:v>verified_coordinate_and_open</x:v>
      </x:c>
      <x:c r="AC218" s="30" t="str">
        <x:v>Open</x:v>
      </x:c>
      <x:c r="AD218" s="30" t="str">
        <x:v>Public — no playing requirement</x:v>
      </x:c>
      <x:c r="AE218" s="31" t="b">
        <x:v>0</x:v>
      </x:c>
      <x:c r="AF218" s="31" t="b">
        <x:v>0</x:v>
      </x:c>
      <x:c r="AG218" s="30"/>
      <x:c r="AH218" s="30"/>
      <x:c r="AI218" s="30"/>
      <x:c r="AJ218" s="31" t="b">
        <x:v>0</x:v>
      </x:c>
      <x:c r="AK218" s="31" t="b">
        <x:v>0</x:v>
      </x:c>
      <x:c r="AL218" s="30" t="str">
        <x:v>Verified — national register and exact BAG address</x:v>
      </x:c>
      <x:c r="AM218" s="30" t="str">
        <x:v>https://www.golf.nl/de-baan-op/banenzoeker/overzicht</x:v>
      </x:c>
      <x:c r="AN218" s="30" t="str">
        <x:v>2026-08-15</x:v>
      </x:c>
      <x:c r="AO218" s="30" t="str">
        <x:v>+31 13-5169966</x:v>
      </x:c>
      <x:c r="AP218" s="30" t="str">
        <x:v>Current NGF/GOLF.NL listing: 9 holes, par 27, 600 metres. Listed as non-qualifying.</x:v>
      </x:c>
    </x:row>
    <x:row r="219">
      <x:c r="A219" s="30" t="str">
        <x:v>NL-C0141</x:v>
      </x:c>
      <x:c r="B219" s="30" t="str">
        <x:v>NL-0218</x:v>
      </x:c>
      <x:c r="C219" s="30" t="str">
        <x:v>Noord-Brabantsche Golfclub Toxandria — Main Course</x:v>
      </x:c>
      <x:c r="D219" s="30" t="str">
        <x:v>Noord-Brabantsche Golfclub Toxandria</x:v>
      </x:c>
      <x:c r="E219" s="30" t="str">
        <x:v>Main Course</x:v>
      </x:c>
      <x:c r="F219" s="30" t="str">
        <x:v>Netherlands</x:v>
      </x:c>
      <x:c r="G219" s="30" t="str">
        <x:v>Noord-Brabant</x:v>
      </x:c>
      <x:c r="H219" s="30" t="str">
        <x:v>Gilze en Rijen</x:v>
      </x:c>
      <x:c r="I219" s="30" t="str">
        <x:v>Molenschot</x:v>
      </x:c>
      <x:c r="J219" s="30" t="str">
        <x:v>Veenstraat 89</x:v>
      </x:c>
      <x:c r="K219" s="30" t="str">
        <x:v>5124 NC</x:v>
      </x:c>
      <x:c r="L219" s="32" t="n">
        <x:v>51.5821504</x:v>
      </x:c>
      <x:c r="M219" s="32" t="n">
        <x:v>4.88755914</x:v>
      </x:c>
      <x:c r="N219" s="30" t="str">
        <x:v>WGS84 / EPSG:4326</x:v>
      </x:c>
      <x:c r="O219" s="30" t="str">
        <x:v>Verified BAG address point via PDOK</x:v>
      </x:c>
      <x:c r="P219" s="30" t="str">
        <x:v>2026-08-15</x:v>
      </x:c>
      <x:c r="Q219" s="33" t="n">
        <x:f>IF(R219="","",ROUND(R219/0.9144,0))</x:f>
        <x:v>6646</x:v>
      </x:c>
      <x:c r="R219" s="33" t="n">
        <x:v>6077</x:v>
      </x:c>
      <x:c r="S219" s="33" t="n">
        <x:v>18</x:v>
      </x:c>
      <x:c r="T219" s="33" t="n">
        <x:v>72</x:v>
      </x:c>
      <x:c r="U219" s="30" t="str">
        <x:v>Full-length course</x:v>
      </x:c>
      <x:c r="V219" s="30"/>
      <x:c r="W219" s="30"/>
      <x:c r="X219" s="30"/>
      <x:c r="Y219" s="30" t="str">
        <x:v>https://www.toxandria.nl/</x:v>
      </x:c>
      <x:c r="Z219" s="30" t="b">
        <x:f>IF(AND(F219="Netherlands",ISNUMBER(L219),ISNUMBER(M219),L219&gt;=50.7,L219&lt;=53.7,M219&gt;=3.2,M219&lt;=7.3,AC219&lt;&gt;"Closed"),TRUE,FALSE)</x:f>
        <x:v>1</x:v>
      </x:c>
      <x:c r="AA219" s="30" t="b">
        <x:f>Z219</x:f>
        <x:v>1</x:v>
      </x:c>
      <x:c r="AB219" s="30" t="str">
        <x:f>IF(Z219,"verified_coordinate_and_open","not_map_ready")</x:f>
        <x:v>verified_coordinate_and_open</x:v>
      </x:c>
      <x:c r="AC219" s="30" t="str">
        <x:v>Open</x:v>
      </x:c>
      <x:c r="AD219" s="30" t="str">
        <x:v>Public — handicap 24 or lower</x:v>
      </x:c>
      <x:c r="AE219" s="31" t="b">
        <x:v>1</x:v>
      </x:c>
      <x:c r="AF219" s="31" t="b">
        <x:v>0</x:v>
      </x:c>
      <x:c r="AG219" s="30"/>
      <x:c r="AH219" s="30"/>
      <x:c r="AI219" s="30"/>
      <x:c r="AJ219" s="31" t="b">
        <x:v>0</x:v>
      </x:c>
      <x:c r="AK219" s="31" t="b">
        <x:v>0</x:v>
      </x:c>
      <x:c r="AL219" s="30" t="str">
        <x:v>Verified — national register and exact BAG address</x:v>
      </x:c>
      <x:c r="AM219" s="30" t="str">
        <x:v>https://www.golf.nl/de-baan-op/banenzoeker/overzicht</x:v>
      </x:c>
      <x:c r="AN219" s="30" t="str">
        <x:v>2026-08-15</x:v>
      </x:c>
      <x:c r="AO219" s="30" t="str">
        <x:v>+31 161–411200</x:v>
      </x:c>
      <x:c r="AP219" s="30" t="str">
        <x:v>Current NGF/GOLF.NL listing: 18 holes, par 72, 6077 metres. Combined from exact NGF-listed constituent nine-hole loops: 1ste negen (9 holes, par 36, 2997 m); 2de negen (9 holes, par 36, 3080 m) Listed as qualifying.</x:v>
      </x:c>
    </x:row>
    <x:row r="220">
      <x:c r="A220" s="30" t="str">
        <x:v>NL-C0142</x:v>
      </x:c>
      <x:c r="B220" s="30" t="str">
        <x:v>NL-0219</x:v>
      </x:c>
      <x:c r="C220" s="30" t="str">
        <x:v>Oosterhoutse Golf Club — Academy Course</x:v>
      </x:c>
      <x:c r="D220" s="30" t="str">
        <x:v>Oosterhoutse Golf Club</x:v>
      </x:c>
      <x:c r="E220" s="30" t="str">
        <x:v>Academy Course</x:v>
      </x:c>
      <x:c r="F220" s="30" t="str">
        <x:v>Netherlands</x:v>
      </x:c>
      <x:c r="G220" s="30" t="str">
        <x:v>Noord-Brabant</x:v>
      </x:c>
      <x:c r="H220" s="30" t="str">
        <x:v>Oosterhout</x:v>
      </x:c>
      <x:c r="I220" s="30" t="str">
        <x:v>Oosterhout</x:v>
      </x:c>
      <x:c r="J220" s="30" t="str">
        <x:v>Dukaatstraat 21</x:v>
      </x:c>
      <x:c r="K220" s="30" t="str">
        <x:v>4903 RN</x:v>
      </x:c>
      <x:c r="L220" s="32" t="n">
        <x:v>51.62120577</x:v>
      </x:c>
      <x:c r="M220" s="32" t="n">
        <x:v>4.86940257</x:v>
      </x:c>
      <x:c r="N220" s="30" t="str">
        <x:v>WGS84 / EPSG:4326</x:v>
      </x:c>
      <x:c r="O220" s="30" t="str">
        <x:v>Verified BAG address point via PDOK</x:v>
      </x:c>
      <x:c r="P220" s="30" t="str">
        <x:v>2026-08-15</x:v>
      </x:c>
      <x:c r="Q220" s="33" t="n">
        <x:f>IF(R220="","",ROUND(R220/0.9144,0))</x:f>
        <x:v>1389</x:v>
      </x:c>
      <x:c r="R220" s="33" t="n">
        <x:v>1270</x:v>
      </x:c>
      <x:c r="S220" s="33" t="n">
        <x:v>9</x:v>
      </x:c>
      <x:c r="T220" s="33" t="n">
        <x:v>27</x:v>
      </x:c>
      <x:c r="U220" s="30" t="str">
        <x:v>Par-3 course</x:v>
      </x:c>
      <x:c r="V220" s="30"/>
      <x:c r="W220" s="30"/>
      <x:c r="X220" s="30"/>
      <x:c r="Y220" s="30" t="str">
        <x:v>https://www.oosterhoutse.nl/</x:v>
      </x:c>
      <x:c r="Z220" s="30" t="b">
        <x:f>IF(AND(F220="Netherlands",ISNUMBER(L220),ISNUMBER(M220),L220&gt;=50.7,L220&lt;=53.7,M220&gt;=3.2,M220&lt;=7.3,AC220&lt;&gt;"Closed"),TRUE,FALSE)</x:f>
        <x:v>1</x:v>
      </x:c>
      <x:c r="AA220" s="30" t="b">
        <x:f>Z220</x:f>
        <x:v>1</x:v>
      </x:c>
      <x:c r="AB220" s="30" t="str">
        <x:f>IF(Z220,"verified_coordinate_and_open","not_map_ready")</x:f>
        <x:v>verified_coordinate_and_open</x:v>
      </x:c>
      <x:c r="AC220" s="30" t="str">
        <x:v>Open</x:v>
      </x:c>
      <x:c r="AD220" s="30" t="str">
        <x:v>Public — NGF course permission</x:v>
      </x:c>
      <x:c r="AE220" s="31" t="b">
        <x:v>1</x:v>
      </x:c>
      <x:c r="AF220" s="31" t="b">
        <x:v>0</x:v>
      </x:c>
      <x:c r="AG220" s="30"/>
      <x:c r="AH220" s="30"/>
      <x:c r="AI220" s="30"/>
      <x:c r="AJ220" s="31" t="b">
        <x:v>0</x:v>
      </x:c>
      <x:c r="AK220" s="31" t="b">
        <x:v>0</x:v>
      </x:c>
      <x:c r="AL220" s="30" t="str">
        <x:v>Verified — national register and exact BAG address</x:v>
      </x:c>
      <x:c r="AM220" s="30" t="str">
        <x:v>https://www.golf.nl/de-baan-op/banenzoeker/overzicht</x:v>
      </x:c>
      <x:c r="AN220" s="30" t="str">
        <x:v>2026-08-15</x:v>
      </x:c>
      <x:c r="AO220" s="30" t="str">
        <x:v>+31 162-458759</x:v>
      </x:c>
      <x:c r="AP220" s="30" t="str">
        <x:v>Current NGF/GOLF.NL listing: 9 holes, par 27, 1270 metres. Listed as qualifying.</x:v>
      </x:c>
    </x:row>
    <x:row r="221">
      <x:c r="A221" s="30" t="str">
        <x:v>NL-C0142</x:v>
      </x:c>
      <x:c r="B221" s="30" t="str">
        <x:v>NL-0220</x:v>
      </x:c>
      <x:c r="C221" s="30" t="str">
        <x:v>Oosterhoutse Golf Club — Main Course</x:v>
      </x:c>
      <x:c r="D221" s="30" t="str">
        <x:v>Oosterhoutse Golf Club</x:v>
      </x:c>
      <x:c r="E221" s="30" t="str">
        <x:v>Main Course</x:v>
      </x:c>
      <x:c r="F221" s="30" t="str">
        <x:v>Netherlands</x:v>
      </x:c>
      <x:c r="G221" s="30" t="str">
        <x:v>Noord-Brabant</x:v>
      </x:c>
      <x:c r="H221" s="30" t="str">
        <x:v>Oosterhout</x:v>
      </x:c>
      <x:c r="I221" s="30" t="str">
        <x:v>Oosterhout</x:v>
      </x:c>
      <x:c r="J221" s="30" t="str">
        <x:v>Dukaatstraat 21</x:v>
      </x:c>
      <x:c r="K221" s="30" t="str">
        <x:v>4903 RN</x:v>
      </x:c>
      <x:c r="L221" s="32" t="n">
        <x:v>51.62120577</x:v>
      </x:c>
      <x:c r="M221" s="32" t="n">
        <x:v>4.86940257</x:v>
      </x:c>
      <x:c r="N221" s="30" t="str">
        <x:v>WGS84 / EPSG:4326</x:v>
      </x:c>
      <x:c r="O221" s="30" t="str">
        <x:v>Verified BAG address point via PDOK</x:v>
      </x:c>
      <x:c r="P221" s="30" t="str">
        <x:v>2026-08-15</x:v>
      </x:c>
      <x:c r="Q221" s="33" t="n">
        <x:f>IF(R221="","",ROUND(R221/0.9144,0))</x:f>
        <x:v>6719</x:v>
      </x:c>
      <x:c r="R221" s="33" t="n">
        <x:v>6144</x:v>
      </x:c>
      <x:c r="S221" s="33" t="n">
        <x:v>18</x:v>
      </x:c>
      <x:c r="T221" s="33" t="n">
        <x:v>72</x:v>
      </x:c>
      <x:c r="U221" s="30" t="str">
        <x:v>Full-length course</x:v>
      </x:c>
      <x:c r="V221" s="30"/>
      <x:c r="W221" s="30"/>
      <x:c r="X221" s="30"/>
      <x:c r="Y221" s="30" t="str">
        <x:v>https://www.oosterhoutse.nl/</x:v>
      </x:c>
      <x:c r="Z221" s="30" t="b">
        <x:f>IF(AND(F221="Netherlands",ISNUMBER(L221),ISNUMBER(M221),L221&gt;=50.7,L221&lt;=53.7,M221&gt;=3.2,M221&lt;=7.3,AC221&lt;&gt;"Closed"),TRUE,FALSE)</x:f>
        <x:v>1</x:v>
      </x:c>
      <x:c r="AA221" s="30" t="b">
        <x:f>Z221</x:f>
        <x:v>1</x:v>
      </x:c>
      <x:c r="AB221" s="30" t="str">
        <x:f>IF(Z221,"verified_coordinate_and_open","not_map_ready")</x:f>
        <x:v>verified_coordinate_and_open</x:v>
      </x:c>
      <x:c r="AC221" s="30" t="str">
        <x:v>Open</x:v>
      </x:c>
      <x:c r="AD221" s="30" t="str">
        <x:v>Public — handicap 54 or lower</x:v>
      </x:c>
      <x:c r="AE221" s="31" t="b">
        <x:v>1</x:v>
      </x:c>
      <x:c r="AF221" s="31" t="b">
        <x:v>0</x:v>
      </x:c>
      <x:c r="AG221" s="30"/>
      <x:c r="AH221" s="30"/>
      <x:c r="AI221" s="30"/>
      <x:c r="AJ221" s="31" t="b">
        <x:v>0</x:v>
      </x:c>
      <x:c r="AK221" s="31" t="b">
        <x:v>0</x:v>
      </x:c>
      <x:c r="AL221" s="30" t="str">
        <x:v>Verified — national register and exact BAG address</x:v>
      </x:c>
      <x:c r="AM221" s="30" t="str">
        <x:v>https://www.golf.nl/de-baan-op/banenzoeker/overzicht</x:v>
      </x:c>
      <x:c r="AN221" s="30" t="str">
        <x:v>2026-08-15</x:v>
      </x:c>
      <x:c r="AO221" s="30" t="str">
        <x:v>+31 162-458759</x:v>
      </x:c>
      <x:c r="AP221" s="30" t="str">
        <x:v>Current NGF/GOLF.NL listing: 18 holes, par 72, 6144 metres. Combined from exact NGF-listed constituent nine-hole loops: 1ste negen (9 holes, par 37, 3197 m); 2de negen (9 holes, par 35, 2947 m) Listed as qualifying.</x:v>
      </x:c>
    </x:row>
    <x:row r="222">
      <x:c r="A222" s="30" t="str">
        <x:v>NL-C0143</x:v>
      </x:c>
      <x:c r="B222" s="30" t="str">
        <x:v>NL-0221</x:v>
      </x:c>
      <x:c r="C222" s="30" t="str">
        <x:v>Pitch &amp; putt Golf De Leemput</x:v>
      </x:c>
      <x:c r="D222" s="30" t="str">
        <x:v>Pitch &amp; putt Golf De Leemput</x:v>
      </x:c>
      <x:c r="E222" s="30" t="str">
        <x:v>Course</x:v>
      </x:c>
      <x:c r="F222" s="30" t="str">
        <x:v>Netherlands</x:v>
      </x:c>
      <x:c r="G222" s="30" t="str">
        <x:v>Noord-Brabant</x:v>
      </x:c>
      <x:c r="H222" s="30" t="str">
        <x:v>Gilze en Rijen</x:v>
      </x:c>
      <x:c r="I222" s="30" t="str">
        <x:v>Rijen</x:v>
      </x:c>
      <x:c r="J222" s="30" t="str">
        <x:v>Vijf Eiken 11</x:v>
      </x:c>
      <x:c r="K222" s="30" t="str">
        <x:v>5121 RG</x:v>
      </x:c>
      <x:c r="L222" s="32" t="n">
        <x:v>51.58826093</x:v>
      </x:c>
      <x:c r="M222" s="32" t="n">
        <x:v>4.89844923</x:v>
      </x:c>
      <x:c r="N222" s="30" t="str">
        <x:v>WGS84 / EPSG:4326</x:v>
      </x:c>
      <x:c r="O222" s="30" t="str">
        <x:v>Verified BAG address point via PDOK</x:v>
      </x:c>
      <x:c r="P222" s="30" t="str">
        <x:v>2026-08-15</x:v>
      </x:c>
      <x:c r="Q222" s="33" t="n">
        <x:f>IF(R222="","",ROUND(R222/0.9144,0))</x:f>
        <x:v>437</x:v>
      </x:c>
      <x:c r="R222" s="33" t="n">
        <x:v>400</x:v>
      </x:c>
      <x:c r="S222" s="33" t="n">
        <x:v>9</x:v>
      </x:c>
      <x:c r="T222" s="33" t="n">
        <x:v>27</x:v>
      </x:c>
      <x:c r="U222" s="30" t="str">
        <x:v>Shortgolf / Pitch &amp; Putt</x:v>
      </x:c>
      <x:c r="V222" s="30"/>
      <x:c r="W222" s="30"/>
      <x:c r="X222" s="30"/>
      <x:c r="Y222" s="30" t="str">
        <x:v>https://www.deleemput.nl/pitch-en-putt</x:v>
      </x:c>
      <x:c r="Z222" s="30" t="b">
        <x:f>IF(AND(F222="Netherlands",ISNUMBER(L222),ISNUMBER(M222),L222&gt;=50.7,L222&lt;=53.7,M222&gt;=3.2,M222&lt;=7.3,AC222&lt;&gt;"Closed"),TRUE,FALSE)</x:f>
        <x:v>1</x:v>
      </x:c>
      <x:c r="AA222" s="30" t="b">
        <x:f>Z222</x:f>
        <x:v>1</x:v>
      </x:c>
      <x:c r="AB222" s="30" t="str">
        <x:f>IF(Z222,"verified_coordinate_and_open","not_map_ready")</x:f>
        <x:v>verified_coordinate_and_open</x:v>
      </x:c>
      <x:c r="AC222" s="30" t="str">
        <x:v>Open</x:v>
      </x:c>
      <x:c r="AD222" s="30" t="str">
        <x:v>Public — no playing requirement</x:v>
      </x:c>
      <x:c r="AE222" s="31" t="b">
        <x:v>0</x:v>
      </x:c>
      <x:c r="AF222" s="31" t="b">
        <x:v>0</x:v>
      </x:c>
      <x:c r="AG222" s="30"/>
      <x:c r="AH222" s="30"/>
      <x:c r="AI222" s="30"/>
      <x:c r="AJ222" s="31" t="b">
        <x:v>0</x:v>
      </x:c>
      <x:c r="AK222" s="31" t="b">
        <x:v>0</x:v>
      </x:c>
      <x:c r="AL222" s="30" t="str">
        <x:v>Verified — national register and exact BAG address</x:v>
      </x:c>
      <x:c r="AM222" s="30" t="str">
        <x:v>https://www.golf.nl/de-baan-op/banenzoeker/overzicht</x:v>
      </x:c>
      <x:c r="AN222" s="30" t="str">
        <x:v>2026-08-15</x:v>
      </x:c>
      <x:c r="AO222" s="30" t="str">
        <x:v>+31 161-222520</x:v>
      </x:c>
      <x:c r="AP222" s="30" t="str">
        <x:v>Current NGF/GOLF.NL listing: 9 holes, par 27, 400 metres. Listed as non-qualifying.</x:v>
      </x:c>
    </x:row>
    <x:row r="223">
      <x:c r="A223" s="30" t="str">
        <x:v>NL-C0144</x:v>
      </x:c>
      <x:c r="B223" s="30" t="str">
        <x:v>NL-0222</x:v>
      </x:c>
      <x:c r="C223" s="30" t="str">
        <x:v>Pitch &amp; Putt Oirschot</x:v>
      </x:c>
      <x:c r="D223" s="30" t="str">
        <x:v>Pitch &amp; Putt Oirschot</x:v>
      </x:c>
      <x:c r="E223" s="30" t="str">
        <x:v>Course</x:v>
      </x:c>
      <x:c r="F223" s="30" t="str">
        <x:v>Netherlands</x:v>
      </x:c>
      <x:c r="G223" s="30" t="str">
        <x:v>Noord-Brabant</x:v>
      </x:c>
      <x:c r="H223" s="30" t="str">
        <x:v>Oirschot</x:v>
      </x:c>
      <x:c r="I223" s="30" t="str">
        <x:v>Oirschot</x:v>
      </x:c>
      <x:c r="J223" s="30" t="str">
        <x:v>Spoordonkseweg 80</x:v>
      </x:c>
      <x:c r="K223" s="30" t="str">
        <x:v>5688 KE</x:v>
      </x:c>
      <x:c r="L223" s="32" t="n">
        <x:v>51.51653073</x:v>
      </x:c>
      <x:c r="M223" s="32" t="n">
        <x:v>5.28016962</x:v>
      </x:c>
      <x:c r="N223" s="30" t="str">
        <x:v>WGS84 / EPSG:4326</x:v>
      </x:c>
      <x:c r="O223" s="30" t="str">
        <x:v>Verified BAG address point via PDOK</x:v>
      </x:c>
      <x:c r="P223" s="30" t="str">
        <x:v>2026-08-15</x:v>
      </x:c>
      <x:c r="Q223" s="33" t="n">
        <x:f>IF(R223="","",ROUND(R223/0.9144,0))</x:f>
        <x:v>492</x:v>
      </x:c>
      <x:c r="R223" s="33" t="n">
        <x:v>450</x:v>
      </x:c>
      <x:c r="S223" s="33" t="n">
        <x:v>9</x:v>
      </x:c>
      <x:c r="T223" s="33" t="n">
        <x:v>27</x:v>
      </x:c>
      <x:c r="U223" s="30" t="str">
        <x:v>Shortgolf / Pitch &amp; Putt</x:v>
      </x:c>
      <x:c r="V223" s="30"/>
      <x:c r="W223" s="30"/>
      <x:c r="X223" s="30"/>
      <x:c r="Y223" s="30" t="str">
        <x:v>https://pitch-putt.nl/locaties/oirschot/</x:v>
      </x:c>
      <x:c r="Z223" s="30" t="b">
        <x:f>IF(AND(F223="Netherlands",ISNUMBER(L223),ISNUMBER(M223),L223&gt;=50.7,L223&lt;=53.7,M223&gt;=3.2,M223&lt;=7.3,AC223&lt;&gt;"Closed"),TRUE,FALSE)</x:f>
        <x:v>1</x:v>
      </x:c>
      <x:c r="AA223" s="30" t="b">
        <x:f>Z223</x:f>
        <x:v>1</x:v>
      </x:c>
      <x:c r="AB223" s="30" t="str">
        <x:f>IF(Z223,"verified_coordinate_and_open","not_map_ready")</x:f>
        <x:v>verified_coordinate_and_open</x:v>
      </x:c>
      <x:c r="AC223" s="30" t="str">
        <x:v>Open</x:v>
      </x:c>
      <x:c r="AD223" s="30" t="str">
        <x:v>Public — no playing requirement</x:v>
      </x:c>
      <x:c r="AE223" s="31" t="b">
        <x:v>0</x:v>
      </x:c>
      <x:c r="AF223" s="31" t="b">
        <x:v>0</x:v>
      </x:c>
      <x:c r="AG223" s="30"/>
      <x:c r="AH223" s="30"/>
      <x:c r="AI223" s="30"/>
      <x:c r="AJ223" s="31" t="b">
        <x:v>0</x:v>
      </x:c>
      <x:c r="AK223" s="31" t="b">
        <x:v>0</x:v>
      </x:c>
      <x:c r="AL223" s="30" t="str">
        <x:v>Verified — national register and exact BAG address</x:v>
      </x:c>
      <x:c r="AM223" s="30" t="str">
        <x:v>https://www.golf.nl/de-baan-op/banenzoeker/overzicht</x:v>
      </x:c>
      <x:c r="AN223" s="30" t="str">
        <x:v>2026-08-15</x:v>
      </x:c>
      <x:c r="AO223" s="30" t="str">
        <x:v>+31 499-573671</x:v>
      </x:c>
      <x:c r="AP223" s="30" t="str">
        <x:v>Current NGF/GOLF.NL listing: 9 holes, par 27, 450 metres. Listed as non-qualifying.</x:v>
      </x:c>
    </x:row>
    <x:row r="224">
      <x:c r="A224" s="30" t="str">
        <x:v>NL-C0145</x:v>
      </x:c>
      <x:c r="B224" s="30" t="str">
        <x:v>NL-0223</x:v>
      </x:c>
      <x:c r="C224" s="30" t="str">
        <x:v>Prise d'Eau Golf — Blaak</x:v>
      </x:c>
      <x:c r="D224" s="30" t="str">
        <x:v>Prise d'Eau Golf</x:v>
      </x:c>
      <x:c r="E224" s="30" t="str">
        <x:v>Blaak</x:v>
      </x:c>
      <x:c r="F224" s="30" t="str">
        <x:v>Netherlands</x:v>
      </x:c>
      <x:c r="G224" s="30" t="str">
        <x:v>Noord-Brabant</x:v>
      </x:c>
      <x:c r="H224" s="30" t="str">
        <x:v>Tilburg</x:v>
      </x:c>
      <x:c r="I224" s="30" t="str">
        <x:v>Tilburg</x:v>
      </x:c>
      <x:c r="J224" s="30" t="str">
        <x:v>Gilzerbaan 400</x:v>
      </x:c>
      <x:c r="K224" s="30" t="str">
        <x:v>5032 VC</x:v>
      </x:c>
      <x:c r="L224" s="32" t="n">
        <x:v>51.54932505</x:v>
      </x:c>
      <x:c r="M224" s="32" t="n">
        <x:v>4.99465272</x:v>
      </x:c>
      <x:c r="N224" s="30" t="str">
        <x:v>WGS84 / EPSG:4326</x:v>
      </x:c>
      <x:c r="O224" s="30" t="str">
        <x:v>Verified BAG address point via PDOK</x:v>
      </x:c>
      <x:c r="P224" s="30" t="str">
        <x:v>2026-08-15</x:v>
      </x:c>
      <x:c r="Q224" s="33" t="n">
        <x:f>IF(R224="","",ROUND(R224/0.9144,0))</x:f>
        <x:v>3489</x:v>
      </x:c>
      <x:c r="R224" s="33" t="n">
        <x:v>3190</x:v>
      </x:c>
      <x:c r="S224" s="33" t="n">
        <x:v>9</x:v>
      </x:c>
      <x:c r="T224" s="33" t="n">
        <x:v>36</x:v>
      </x:c>
      <x:c r="U224" s="30" t="str">
        <x:v>Full-length course</x:v>
      </x:c>
      <x:c r="V224" s="30"/>
      <x:c r="W224" s="30"/>
      <x:c r="X224" s="30"/>
      <x:c r="Y224" s="30" t="str">
        <x:v>https://prisedeau-golf.nl/</x:v>
      </x:c>
      <x:c r="Z224" s="30" t="b">
        <x:f>IF(AND(F224="Netherlands",ISNUMBER(L224),ISNUMBER(M224),L224&gt;=50.7,L224&lt;=53.7,M224&gt;=3.2,M224&lt;=7.3,AC224&lt;&gt;"Closed"),TRUE,FALSE)</x:f>
        <x:v>1</x:v>
      </x:c>
      <x:c r="AA224" s="30" t="b">
        <x:f>Z224</x:f>
        <x:v>1</x:v>
      </x:c>
      <x:c r="AB224" s="30" t="str">
        <x:f>IF(Z224,"verified_coordinate_and_open","not_map_ready")</x:f>
        <x:v>verified_coordinate_and_open</x:v>
      </x:c>
      <x:c r="AC224" s="30" t="str">
        <x:v>Open</x:v>
      </x:c>
      <x:c r="AD224" s="30" t="str">
        <x:v>Public — NGF course permission</x:v>
      </x:c>
      <x:c r="AE224" s="31" t="b">
        <x:v>1</x:v>
      </x:c>
      <x:c r="AF224" s="31" t="b">
        <x:v>0</x:v>
      </x:c>
      <x:c r="AG224" s="30"/>
      <x:c r="AH224" s="30"/>
      <x:c r="AI224" s="30"/>
      <x:c r="AJ224" s="31" t="b">
        <x:v>0</x:v>
      </x:c>
      <x:c r="AK224" s="31" t="b">
        <x:v>0</x:v>
      </x:c>
      <x:c r="AL224" s="30" t="str">
        <x:v>Verified — national register and exact BAG address</x:v>
      </x:c>
      <x:c r="AM224" s="30" t="str">
        <x:v>https://www.golf.nl/de-baan-op/banenzoeker/overzicht</x:v>
      </x:c>
      <x:c r="AN224" s="30" t="str">
        <x:v>2026-08-15</x:v>
      </x:c>
      <x:c r="AO224" s="30" t="str">
        <x:v>+31 13-4628200</x:v>
      </x:c>
      <x:c r="AP224" s="30" t="str">
        <x:v>Current NGF/GOLF.NL listing: 9 holes, par 36, 3190 metres. Listed as qualifying.</x:v>
      </x:c>
    </x:row>
    <x:row r="225">
      <x:c r="A225" s="30" t="str">
        <x:v>NL-C0145</x:v>
      </x:c>
      <x:c r="B225" s="30" t="str">
        <x:v>NL-0224</x:v>
      </x:c>
      <x:c r="C225" s="30" t="str">
        <x:v>Prise d'Eau Golf — Leij</x:v>
      </x:c>
      <x:c r="D225" s="30" t="str">
        <x:v>Prise d'Eau Golf</x:v>
      </x:c>
      <x:c r="E225" s="30" t="str">
        <x:v>Leij</x:v>
      </x:c>
      <x:c r="F225" s="30" t="str">
        <x:v>Netherlands</x:v>
      </x:c>
      <x:c r="G225" s="30" t="str">
        <x:v>Noord-Brabant</x:v>
      </x:c>
      <x:c r="H225" s="30" t="str">
        <x:v>Tilburg</x:v>
      </x:c>
      <x:c r="I225" s="30" t="str">
        <x:v>Tilburg</x:v>
      </x:c>
      <x:c r="J225" s="30" t="str">
        <x:v>Gilzerbaan 400</x:v>
      </x:c>
      <x:c r="K225" s="30" t="str">
        <x:v>5032 VC</x:v>
      </x:c>
      <x:c r="L225" s="32" t="n">
        <x:v>51.54932505</x:v>
      </x:c>
      <x:c r="M225" s="32" t="n">
        <x:v>4.99465272</x:v>
      </x:c>
      <x:c r="N225" s="30" t="str">
        <x:v>WGS84 / EPSG:4326</x:v>
      </x:c>
      <x:c r="O225" s="30" t="str">
        <x:v>Verified BAG address point via PDOK</x:v>
      </x:c>
      <x:c r="P225" s="30" t="str">
        <x:v>2026-08-15</x:v>
      </x:c>
      <x:c r="Q225" s="33" t="n">
        <x:f>IF(R225="","",ROUND(R225/0.9144,0))</x:f>
        <x:v>3536</x:v>
      </x:c>
      <x:c r="R225" s="33" t="n">
        <x:v>3233</x:v>
      </x:c>
      <x:c r="S225" s="33" t="n">
        <x:v>9</x:v>
      </x:c>
      <x:c r="T225" s="33" t="n">
        <x:v>36</x:v>
      </x:c>
      <x:c r="U225" s="30" t="str">
        <x:v>Full-length course</x:v>
      </x:c>
      <x:c r="V225" s="30"/>
      <x:c r="W225" s="30"/>
      <x:c r="X225" s="30"/>
      <x:c r="Y225" s="30" t="str">
        <x:v>https://prisedeau-golf.nl/</x:v>
      </x:c>
      <x:c r="Z225" s="30" t="b">
        <x:f>IF(AND(F225="Netherlands",ISNUMBER(L225),ISNUMBER(M225),L225&gt;=50.7,L225&lt;=53.7,M225&gt;=3.2,M225&lt;=7.3,AC225&lt;&gt;"Closed"),TRUE,FALSE)</x:f>
        <x:v>1</x:v>
      </x:c>
      <x:c r="AA225" s="30" t="b">
        <x:f>Z225</x:f>
        <x:v>1</x:v>
      </x:c>
      <x:c r="AB225" s="30" t="str">
        <x:f>IF(Z225,"verified_coordinate_and_open","not_map_ready")</x:f>
        <x:v>verified_coordinate_and_open</x:v>
      </x:c>
      <x:c r="AC225" s="30" t="str">
        <x:v>Open</x:v>
      </x:c>
      <x:c r="AD225" s="30" t="str">
        <x:v>Public — NGF course permission</x:v>
      </x:c>
      <x:c r="AE225" s="31" t="b">
        <x:v>1</x:v>
      </x:c>
      <x:c r="AF225" s="31" t="b">
        <x:v>0</x:v>
      </x:c>
      <x:c r="AG225" s="30"/>
      <x:c r="AH225" s="30"/>
      <x:c r="AI225" s="30"/>
      <x:c r="AJ225" s="31" t="b">
        <x:v>0</x:v>
      </x:c>
      <x:c r="AK225" s="31" t="b">
        <x:v>0</x:v>
      </x:c>
      <x:c r="AL225" s="30" t="str">
        <x:v>Verified — national register and exact BAG address</x:v>
      </x:c>
      <x:c r="AM225" s="30" t="str">
        <x:v>https://www.golf.nl/de-baan-op/banenzoeker/overzicht</x:v>
      </x:c>
      <x:c r="AN225" s="30" t="str">
        <x:v>2026-08-15</x:v>
      </x:c>
      <x:c r="AO225" s="30" t="str">
        <x:v>+31 13-4628200</x:v>
      </x:c>
      <x:c r="AP225" s="30" t="str">
        <x:v>Current NGF/GOLF.NL listing: 9 holes, par 36, 3233 metres. Listed as qualifying.</x:v>
      </x:c>
    </x:row>
    <x:row r="226">
      <x:c r="A226" s="30" t="str">
        <x:v>NL-C0145</x:v>
      </x:c>
      <x:c r="B226" s="30" t="str">
        <x:v>NL-0225</x:v>
      </x:c>
      <x:c r="C226" s="30" t="str">
        <x:v>Prise d'Eau Golf — Sijsten</x:v>
      </x:c>
      <x:c r="D226" s="30" t="str">
        <x:v>Prise d'Eau Golf</x:v>
      </x:c>
      <x:c r="E226" s="30" t="str">
        <x:v>Sijsten</x:v>
      </x:c>
      <x:c r="F226" s="30" t="str">
        <x:v>Netherlands</x:v>
      </x:c>
      <x:c r="G226" s="30" t="str">
        <x:v>Noord-Brabant</x:v>
      </x:c>
      <x:c r="H226" s="30" t="str">
        <x:v>Tilburg</x:v>
      </x:c>
      <x:c r="I226" s="30" t="str">
        <x:v>Tilburg</x:v>
      </x:c>
      <x:c r="J226" s="30" t="str">
        <x:v>Gilzerbaan 400</x:v>
      </x:c>
      <x:c r="K226" s="30" t="str">
        <x:v>5032 VC</x:v>
      </x:c>
      <x:c r="L226" s="32" t="n">
        <x:v>51.54932505</x:v>
      </x:c>
      <x:c r="M226" s="32" t="n">
        <x:v>4.99465272</x:v>
      </x:c>
      <x:c r="N226" s="30" t="str">
        <x:v>WGS84 / EPSG:4326</x:v>
      </x:c>
      <x:c r="O226" s="30" t="str">
        <x:v>Verified BAG address point via PDOK</x:v>
      </x:c>
      <x:c r="P226" s="30" t="str">
        <x:v>2026-08-15</x:v>
      </x:c>
      <x:c r="Q226" s="33" t="n">
        <x:f>IF(R226="","",ROUND(R226/0.9144,0))</x:f>
        <x:v>3515</x:v>
      </x:c>
      <x:c r="R226" s="33" t="n">
        <x:v>3214</x:v>
      </x:c>
      <x:c r="S226" s="33" t="n">
        <x:v>9</x:v>
      </x:c>
      <x:c r="T226" s="33" t="n">
        <x:v>36</x:v>
      </x:c>
      <x:c r="U226" s="30" t="str">
        <x:v>Full-length course</x:v>
      </x:c>
      <x:c r="V226" s="30"/>
      <x:c r="W226" s="30"/>
      <x:c r="X226" s="30"/>
      <x:c r="Y226" s="30" t="str">
        <x:v>https://prisedeau-golf.nl/</x:v>
      </x:c>
      <x:c r="Z226" s="30" t="b">
        <x:f>IF(AND(F226="Netherlands",ISNUMBER(L226),ISNUMBER(M226),L226&gt;=50.7,L226&lt;=53.7,M226&gt;=3.2,M226&lt;=7.3,AC226&lt;&gt;"Closed"),TRUE,FALSE)</x:f>
        <x:v>1</x:v>
      </x:c>
      <x:c r="AA226" s="30" t="b">
        <x:f>Z226</x:f>
        <x:v>1</x:v>
      </x:c>
      <x:c r="AB226" s="30" t="str">
        <x:f>IF(Z226,"verified_coordinate_and_open","not_map_ready")</x:f>
        <x:v>verified_coordinate_and_open</x:v>
      </x:c>
      <x:c r="AC226" s="30" t="str">
        <x:v>Open</x:v>
      </x:c>
      <x:c r="AD226" s="30" t="str">
        <x:v>Public — NGF course permission</x:v>
      </x:c>
      <x:c r="AE226" s="31" t="b">
        <x:v>1</x:v>
      </x:c>
      <x:c r="AF226" s="31" t="b">
        <x:v>0</x:v>
      </x:c>
      <x:c r="AG226" s="30"/>
      <x:c r="AH226" s="30"/>
      <x:c r="AI226" s="30"/>
      <x:c r="AJ226" s="31" t="b">
        <x:v>0</x:v>
      </x:c>
      <x:c r="AK226" s="31" t="b">
        <x:v>0</x:v>
      </x:c>
      <x:c r="AL226" s="30" t="str">
        <x:v>Verified — national register and exact BAG address</x:v>
      </x:c>
      <x:c r="AM226" s="30" t="str">
        <x:v>https://www.golf.nl/de-baan-op/banenzoeker/overzicht</x:v>
      </x:c>
      <x:c r="AN226" s="30" t="str">
        <x:v>2026-08-15</x:v>
      </x:c>
      <x:c r="AO226" s="30" t="str">
        <x:v>+31 13-4628200</x:v>
      </x:c>
      <x:c r="AP226" s="30" t="str">
        <x:v>Current NGF/GOLF.NL listing: 9 holes, par 36, 3214 metres. Listed as qualifying.</x:v>
      </x:c>
    </x:row>
    <x:row r="227">
      <x:c r="A227" s="30" t="str">
        <x:v>NL-C0145</x:v>
      </x:c>
      <x:c r="B227" s="30" t="str">
        <x:v>NL-0226</x:v>
      </x:c>
      <x:c r="C227" s="30" t="str">
        <x:v>Prise d'Eau Golf — Warande</x:v>
      </x:c>
      <x:c r="D227" s="30" t="str">
        <x:v>Prise d'Eau Golf</x:v>
      </x:c>
      <x:c r="E227" s="30" t="str">
        <x:v>Warande</x:v>
      </x:c>
      <x:c r="F227" s="30" t="str">
        <x:v>Netherlands</x:v>
      </x:c>
      <x:c r="G227" s="30" t="str">
        <x:v>Noord-Brabant</x:v>
      </x:c>
      <x:c r="H227" s="30" t="str">
        <x:v>Tilburg</x:v>
      </x:c>
      <x:c r="I227" s="30" t="str">
        <x:v>Tilburg</x:v>
      </x:c>
      <x:c r="J227" s="30" t="str">
        <x:v>Gilzerbaan 400</x:v>
      </x:c>
      <x:c r="K227" s="30" t="str">
        <x:v>5032 VC</x:v>
      </x:c>
      <x:c r="L227" s="32" t="n">
        <x:v>51.54932505</x:v>
      </x:c>
      <x:c r="M227" s="32" t="n">
        <x:v>4.99465272</x:v>
      </x:c>
      <x:c r="N227" s="30" t="str">
        <x:v>WGS84 / EPSG:4326</x:v>
      </x:c>
      <x:c r="O227" s="30" t="str">
        <x:v>Verified BAG address point via PDOK</x:v>
      </x:c>
      <x:c r="P227" s="30" t="str">
        <x:v>2026-08-15</x:v>
      </x:c>
      <x:c r="Q227" s="33" t="n">
        <x:f>IF(R227="","",ROUND(R227/0.9144,0))</x:f>
        <x:v>988</x:v>
      </x:c>
      <x:c r="R227" s="33" t="n">
        <x:v>903</x:v>
      </x:c>
      <x:c r="S227" s="33" t="n">
        <x:v>9</x:v>
      </x:c>
      <x:c r="T227" s="33" t="n">
        <x:v>27</x:v>
      </x:c>
      <x:c r="U227" s="30" t="str">
        <x:v>Par-3 course</x:v>
      </x:c>
      <x:c r="V227" s="30"/>
      <x:c r="W227" s="30"/>
      <x:c r="X227" s="30"/>
      <x:c r="Y227" s="30" t="str">
        <x:v>https://prisedeau-golf.nl/</x:v>
      </x:c>
      <x:c r="Z227" s="30" t="b">
        <x:f>IF(AND(F227="Netherlands",ISNUMBER(L227),ISNUMBER(M227),L227&gt;=50.7,L227&lt;=53.7,M227&gt;=3.2,M227&lt;=7.3,AC227&lt;&gt;"Closed"),TRUE,FALSE)</x:f>
        <x:v>1</x:v>
      </x:c>
      <x:c r="AA227" s="30" t="b">
        <x:f>Z227</x:f>
        <x:v>1</x:v>
      </x:c>
      <x:c r="AB227" s="30" t="str">
        <x:f>IF(Z227,"verified_coordinate_and_open","not_map_ready")</x:f>
        <x:v>verified_coordinate_and_open</x:v>
      </x:c>
      <x:c r="AC227" s="30" t="str">
        <x:v>Open</x:v>
      </x:c>
      <x:c r="AD227" s="30" t="str">
        <x:v>Public — NGF course permission</x:v>
      </x:c>
      <x:c r="AE227" s="31" t="b">
        <x:v>1</x:v>
      </x:c>
      <x:c r="AF227" s="31" t="b">
        <x:v>0</x:v>
      </x:c>
      <x:c r="AG227" s="30"/>
      <x:c r="AH227" s="30"/>
      <x:c r="AI227" s="30"/>
      <x:c r="AJ227" s="31" t="b">
        <x:v>0</x:v>
      </x:c>
      <x:c r="AK227" s="31" t="b">
        <x:v>0</x:v>
      </x:c>
      <x:c r="AL227" s="30" t="str">
        <x:v>Verified — national register and exact BAG address</x:v>
      </x:c>
      <x:c r="AM227" s="30" t="str">
        <x:v>https://www.golf.nl/de-baan-op/banenzoeker/overzicht</x:v>
      </x:c>
      <x:c r="AN227" s="30" t="str">
        <x:v>2026-08-15</x:v>
      </x:c>
      <x:c r="AO227" s="30" t="str">
        <x:v>+31 13-4628200</x:v>
      </x:c>
      <x:c r="AP227" s="30" t="str">
        <x:v>Current NGF/GOLF.NL listing: 9 holes, par 27, 903 metres. Listed as qualifying.</x:v>
      </x:c>
    </x:row>
    <x:row r="228">
      <x:c r="A228" s="30" t="str">
        <x:v>NL-C0146</x:v>
      </x:c>
      <x:c r="B228" s="30" t="str">
        <x:v>NL-0227</x:v>
      </x:c>
      <x:c r="C228" s="30" t="str">
        <x:v>Stichting Golfbaan Overloon</x:v>
      </x:c>
      <x:c r="D228" s="30" t="str">
        <x:v>Stichting Golfbaan Overloon</x:v>
      </x:c>
      <x:c r="E228" s="30" t="str">
        <x:v>Course</x:v>
      </x:c>
      <x:c r="F228" s="30" t="str">
        <x:v>Netherlands</x:v>
      </x:c>
      <x:c r="G228" s="30" t="str">
        <x:v>Noord-Brabant</x:v>
      </x:c>
      <x:c r="H228" s="30" t="str">
        <x:v>Land van Cuijk</x:v>
      </x:c>
      <x:c r="I228" s="30" t="str">
        <x:v>Overloon</x:v>
      </x:c>
      <x:c r="J228" s="30" t="str">
        <x:v>Kuluutweg 8</x:v>
      </x:c>
      <x:c r="K228" s="30" t="str">
        <x:v>5825 BC</x:v>
      </x:c>
      <x:c r="L228" s="32" t="n">
        <x:v>51.57653786</x:v>
      </x:c>
      <x:c r="M228" s="32" t="n">
        <x:v>5.95294601</x:v>
      </x:c>
      <x:c r="N228" s="30" t="str">
        <x:v>WGS84 / EPSG:4326</x:v>
      </x:c>
      <x:c r="O228" s="30" t="str">
        <x:v>Verified BAG address point via PDOK</x:v>
      </x:c>
      <x:c r="P228" s="30" t="str">
        <x:v>2026-08-15</x:v>
      </x:c>
      <x:c r="Q228" s="33" t="n">
        <x:f>IF(R228="","",ROUND(R228/0.9144,0))</x:f>
        <x:v>1710</x:v>
      </x:c>
      <x:c r="R228" s="33" t="n">
        <x:v>1564</x:v>
      </x:c>
      <x:c r="S228" s="33" t="n">
        <x:v>9</x:v>
      </x:c>
      <x:c r="T228" s="33" t="n">
        <x:v>30</x:v>
      </x:c>
      <x:c r="U228" s="30" t="str">
        <x:v>Par-3/4 course</x:v>
      </x:c>
      <x:c r="V228" s="30"/>
      <x:c r="W228" s="30"/>
      <x:c r="X228" s="30"/>
      <x:c r="Y228" s="30" t="str">
        <x:v>https://www.golfbaanoverloon.nl/</x:v>
      </x:c>
      <x:c r="Z228" s="30" t="b">
        <x:f>IF(AND(F228="Netherlands",ISNUMBER(L228),ISNUMBER(M228),L228&gt;=50.7,L228&lt;=53.7,M228&gt;=3.2,M228&lt;=7.3,AC228&lt;&gt;"Closed"),TRUE,FALSE)</x:f>
        <x:v>1</x:v>
      </x:c>
      <x:c r="AA228" s="30" t="b">
        <x:f>Z228</x:f>
        <x:v>1</x:v>
      </x:c>
      <x:c r="AB228" s="30" t="str">
        <x:f>IF(Z228,"verified_coordinate_and_open","not_map_ready")</x:f>
        <x:v>verified_coordinate_and_open</x:v>
      </x:c>
      <x:c r="AC228" s="30" t="str">
        <x:v>Open</x:v>
      </x:c>
      <x:c r="AD228" s="30" t="str">
        <x:v>Public — handicap 54 or lower</x:v>
      </x:c>
      <x:c r="AE228" s="31" t="b">
        <x:v>1</x:v>
      </x:c>
      <x:c r="AF228" s="31" t="b">
        <x:v>0</x:v>
      </x:c>
      <x:c r="AG228" s="30"/>
      <x:c r="AH228" s="30"/>
      <x:c r="AI228" s="30"/>
      <x:c r="AJ228" s="31" t="b">
        <x:v>0</x:v>
      </x:c>
      <x:c r="AK228" s="31" t="b">
        <x:v>0</x:v>
      </x:c>
      <x:c r="AL228" s="30" t="str">
        <x:v>Verified — national register and exact BAG address</x:v>
      </x:c>
      <x:c r="AM228" s="30" t="str">
        <x:v>https://www.golf.nl/de-baan-op/banenzoeker/overzicht</x:v>
      </x:c>
      <x:c r="AN228" s="30" t="str">
        <x:v>2026-08-15</x:v>
      </x:c>
      <x:c r="AO228" s="30" t="str">
        <x:v>+31 6-29444018</x:v>
      </x:c>
      <x:c r="AP228" s="30" t="str">
        <x:v>Current NGF/GOLF.NL listing: 9 holes, par 30, 1564 metres. Listed as qualifying.</x:v>
      </x:c>
    </x:row>
    <x:row r="229">
      <x:c r="A229" s="30" t="str">
        <x:v>NL-C0147</x:v>
      </x:c>
      <x:c r="B229" s="30" t="str">
        <x:v>NL-0228</x:v>
      </x:c>
      <x:c r="C229" s="30" t="str">
        <x:v>Stippelberg, Golfbaan — Executive course</x:v>
      </x:c>
      <x:c r="D229" s="30" t="str">
        <x:v>Stippelberg, Golfbaan</x:v>
      </x:c>
      <x:c r="E229" s="30" t="str">
        <x:v>Executive course</x:v>
      </x:c>
      <x:c r="F229" s="30" t="str">
        <x:v>Netherlands</x:v>
      </x:c>
      <x:c r="G229" s="30" t="str">
        <x:v>Noord-Brabant</x:v>
      </x:c>
      <x:c r="H229" s="30" t="str">
        <x:v>Gemert-Bakel</x:v>
      </x:c>
      <x:c r="I229" s="30" t="str">
        <x:v>Bakel</x:v>
      </x:c>
      <x:c r="J229" s="30" t="str">
        <x:v>Hooizak 7</x:v>
      </x:c>
      <x:c r="K229" s="30" t="str">
        <x:v>5761 RZ</x:v>
      </x:c>
      <x:c r="L229" s="32" t="n">
        <x:v>51.51366115</x:v>
      </x:c>
      <x:c r="M229" s="32" t="n">
        <x:v>5.75899028</x:v>
      </x:c>
      <x:c r="N229" s="30" t="str">
        <x:v>WGS84 / EPSG:4326</x:v>
      </x:c>
      <x:c r="O229" s="30" t="str">
        <x:v>Verified BAG address point via PDOK</x:v>
      </x:c>
      <x:c r="P229" s="30" t="str">
        <x:v>2026-08-15</x:v>
      </x:c>
      <x:c r="Q229" s="33" t="n">
        <x:f>IF(R229="","",ROUND(R229/0.9144,0))</x:f>
        <x:v>2061</x:v>
      </x:c>
      <x:c r="R229" s="33" t="n">
        <x:v>1885</x:v>
      </x:c>
      <x:c r="S229" s="33" t="n">
        <x:v>9</x:v>
      </x:c>
      <x:c r="T229" s="33" t="n">
        <x:v>31</x:v>
      </x:c>
      <x:c r="U229" s="30" t="str">
        <x:v>Par-3/4 course</x:v>
      </x:c>
      <x:c r="V229" s="30"/>
      <x:c r="W229" s="30"/>
      <x:c r="X229" s="30"/>
      <x:c r="Y229" s="30" t="str">
        <x:v>https://golfbaan-stippelberg.com/</x:v>
      </x:c>
      <x:c r="Z229" s="30" t="b">
        <x:f>IF(AND(F229="Netherlands",ISNUMBER(L229),ISNUMBER(M229),L229&gt;=50.7,L229&lt;=53.7,M229&gt;=3.2,M229&lt;=7.3,AC229&lt;&gt;"Closed"),TRUE,FALSE)</x:f>
        <x:v>1</x:v>
      </x:c>
      <x:c r="AA229" s="30" t="b">
        <x:f>Z229</x:f>
        <x:v>1</x:v>
      </x:c>
      <x:c r="AB229" s="30" t="str">
        <x:f>IF(Z229,"verified_coordinate_and_open","not_map_ready")</x:f>
        <x:v>verified_coordinate_and_open</x:v>
      </x:c>
      <x:c r="AC229" s="30" t="str">
        <x:v>Open</x:v>
      </x:c>
      <x:c r="AD229" s="30" t="str">
        <x:v>Public — NGF course permission</x:v>
      </x:c>
      <x:c r="AE229" s="31" t="b">
        <x:v>1</x:v>
      </x:c>
      <x:c r="AF229" s="31" t="b">
        <x:v>0</x:v>
      </x:c>
      <x:c r="AG229" s="30"/>
      <x:c r="AH229" s="30"/>
      <x:c r="AI229" s="30"/>
      <x:c r="AJ229" s="31" t="b">
        <x:v>0</x:v>
      </x:c>
      <x:c r="AK229" s="31" t="b">
        <x:v>0</x:v>
      </x:c>
      <x:c r="AL229" s="30" t="str">
        <x:v>Verified — national register and exact BAG address</x:v>
      </x:c>
      <x:c r="AM229" s="30" t="str">
        <x:v>https://www.golf.nl/de-baan-op/banenzoeker/overzicht</x:v>
      </x:c>
      <x:c r="AN229" s="30" t="str">
        <x:v>2026-08-15</x:v>
      </x:c>
      <x:c r="AO229" s="30" t="str">
        <x:v>+31 492-820020</x:v>
      </x:c>
      <x:c r="AP229" s="30" t="str">
        <x:v>Current NGF/GOLF.NL listing: 9 holes, par 31, 1885 metres. Listed as qualifying.</x:v>
      </x:c>
    </x:row>
    <x:row r="230">
      <x:c r="A230" s="30" t="str">
        <x:v>NL-C0148</x:v>
      </x:c>
      <x:c r="B230" s="30" t="str">
        <x:v>NL-0229</x:v>
      </x:c>
      <x:c r="C230" s="30" t="str">
        <x:v>The Duke — Main Course</x:v>
      </x:c>
      <x:c r="D230" s="30" t="str">
        <x:v>The Duke</x:v>
      </x:c>
      <x:c r="E230" s="30" t="str">
        <x:v>Main Course</x:v>
      </x:c>
      <x:c r="F230" s="30" t="str">
        <x:v>Netherlands</x:v>
      </x:c>
      <x:c r="G230" s="30" t="str">
        <x:v>Noord-Brabant</x:v>
      </x:c>
      <x:c r="H230" s="30" t="str">
        <x:v>Bernheze</x:v>
      </x:c>
      <x:c r="I230" s="30" t="str">
        <x:v>Nistelrode</x:v>
      </x:c>
      <x:c r="J230" s="30" t="str">
        <x:v>Slotenseweg 11</x:v>
      </x:c>
      <x:c r="K230" s="30" t="str">
        <x:v>5388 RC</x:v>
      </x:c>
      <x:c r="L230" s="32" t="n">
        <x:v>51.71752767</x:v>
      </x:c>
      <x:c r="M230" s="32" t="n">
        <x:v>5.56090734</x:v>
      </x:c>
      <x:c r="N230" s="30" t="str">
        <x:v>WGS84 / EPSG:4326</x:v>
      </x:c>
      <x:c r="O230" s="30" t="str">
        <x:v>Verified BAG address point via PDOK</x:v>
      </x:c>
      <x:c r="P230" s="30" t="str">
        <x:v>2026-08-15</x:v>
      </x:c>
      <x:c r="Q230" s="33" t="n">
        <x:f>IF(R230="","",ROUND(R230/0.9144,0))</x:f>
        <x:v>6323</x:v>
      </x:c>
      <x:c r="R230" s="33" t="n">
        <x:v>5782</x:v>
      </x:c>
      <x:c r="S230" s="33" t="n">
        <x:v>18</x:v>
      </x:c>
      <x:c r="T230" s="33" t="n">
        <x:v>72</x:v>
      </x:c>
      <x:c r="U230" s="30" t="str">
        <x:v>Full-length course</x:v>
      </x:c>
      <x:c r="V230" s="30"/>
      <x:c r="W230" s="30"/>
      <x:c r="X230" s="30"/>
      <x:c r="Y230" s="30" t="str">
        <x:v>https://thedukegolf.nl/golf/</x:v>
      </x:c>
      <x:c r="Z230" s="30" t="b">
        <x:f>IF(AND(F230="Netherlands",ISNUMBER(L230),ISNUMBER(M230),L230&gt;=50.7,L230&lt;=53.7,M230&gt;=3.2,M230&lt;=7.3,AC230&lt;&gt;"Closed"),TRUE,FALSE)</x:f>
        <x:v>1</x:v>
      </x:c>
      <x:c r="AA230" s="30" t="b">
        <x:f>Z230</x:f>
        <x:v>1</x:v>
      </x:c>
      <x:c r="AB230" s="30" t="str">
        <x:f>IF(Z230,"verified_coordinate_and_open","not_map_ready")</x:f>
        <x:v>verified_coordinate_and_open</x:v>
      </x:c>
      <x:c r="AC230" s="30" t="str">
        <x:v>Open</x:v>
      </x:c>
      <x:c r="AD230" s="30" t="str">
        <x:v>Public — handicap 36 or lower</x:v>
      </x:c>
      <x:c r="AE230" s="31" t="b">
        <x:v>1</x:v>
      </x:c>
      <x:c r="AF230" s="31" t="b">
        <x:v>0</x:v>
      </x:c>
      <x:c r="AG230" s="30"/>
      <x:c r="AH230" s="30"/>
      <x:c r="AI230" s="30"/>
      <x:c r="AJ230" s="31" t="b">
        <x:v>0</x:v>
      </x:c>
      <x:c r="AK230" s="31" t="b">
        <x:v>0</x:v>
      </x:c>
      <x:c r="AL230" s="30" t="str">
        <x:v>Verified — national register and exact BAG address</x:v>
      </x:c>
      <x:c r="AM230" s="30" t="str">
        <x:v>https://www.golf.nl/de-baan-op/banenzoeker/overzicht</x:v>
      </x:c>
      <x:c r="AN230" s="30" t="str">
        <x:v>2026-08-15</x:v>
      </x:c>
      <x:c r="AO230" s="30" t="str">
        <x:v>+31 412-611992</x:v>
      </x:c>
      <x:c r="AP230" s="30" t="str">
        <x:v>Current NGF/GOLF.NL listing: 18 holes, par 72, 5782 metres. Combined from exact NGF-listed constituent nine-hole loops: 1ste negen (9 holes, par 36, 2894 m); 2de negen (9 holes, par 36, 2888 m) Listed as qualifying.</x:v>
      </x:c>
    </x:row>
    <x:row r="231">
      <x:c r="A231" s="30" t="str">
        <x:v>NL-C0149</x:v>
      </x:c>
      <x:c r="B231" s="30" t="str">
        <x:v>NL-0230</x:v>
      </x:c>
      <x:c r="C231" s="30" t="str">
        <x:v>Valkenswaardse Golfclub</x:v>
      </x:c>
      <x:c r="D231" s="30" t="str">
        <x:v>Valkenswaardse Golfclub</x:v>
      </x:c>
      <x:c r="E231" s="30" t="str">
        <x:v>Course</x:v>
      </x:c>
      <x:c r="F231" s="30" t="str">
        <x:v>Netherlands</x:v>
      </x:c>
      <x:c r="G231" s="30" t="str">
        <x:v>Noord-Brabant</x:v>
      </x:c>
      <x:c r="H231" s="30" t="str">
        <x:v>Valkenswaard</x:v>
      </x:c>
      <x:c r="I231" s="30" t="str">
        <x:v>Valkenswaard</x:v>
      </x:c>
      <x:c r="J231" s="30" t="str">
        <x:v>Pastoor Heerkensdreef 16c</x:v>
      </x:c>
      <x:c r="K231" s="30" t="str">
        <x:v>5552 BG</x:v>
      </x:c>
      <x:c r="L231" s="32" t="n">
        <x:v>51.36511401</x:v>
      </x:c>
      <x:c r="M231" s="32" t="n">
        <x:v>5.46126472</x:v>
      </x:c>
      <x:c r="N231" s="30" t="str">
        <x:v>WGS84 / EPSG:4326</x:v>
      </x:c>
      <x:c r="O231" s="30" t="str">
        <x:v>Verified BAG address point via PDOK</x:v>
      </x:c>
      <x:c r="P231" s="30" t="str">
        <x:v>2026-08-15</x:v>
      </x:c>
      <x:c r="Q231" s="33" t="n">
        <x:f>IF(R231="","",ROUND(R231/0.9144,0))</x:f>
        <x:v>1580</x:v>
      </x:c>
      <x:c r="R231" s="33" t="n">
        <x:v>1445</x:v>
      </x:c>
      <x:c r="S231" s="33" t="n">
        <x:v>9</x:v>
      </x:c>
      <x:c r="T231" s="33" t="n">
        <x:v>29</x:v>
      </x:c>
      <x:c r="U231" s="30" t="str">
        <x:v>Par-3/4 course</x:v>
      </x:c>
      <x:c r="V231" s="30"/>
      <x:c r="W231" s="30"/>
      <x:c r="X231" s="30"/>
      <x:c r="Y231" s="30" t="str">
        <x:v>https://valkenswaardsegolfclub.nl/</x:v>
      </x:c>
      <x:c r="Z231" s="30" t="b">
        <x:f>IF(AND(F231="Netherlands",ISNUMBER(L231),ISNUMBER(M231),L231&gt;=50.7,L231&lt;=53.7,M231&gt;=3.2,M231&lt;=7.3,AC231&lt;&gt;"Closed"),TRUE,FALSE)</x:f>
        <x:v>1</x:v>
      </x:c>
      <x:c r="AA231" s="30" t="b">
        <x:f>Z231</x:f>
        <x:v>1</x:v>
      </x:c>
      <x:c r="AB231" s="30" t="str">
        <x:f>IF(Z231,"verified_coordinate_and_open","not_map_ready")</x:f>
        <x:v>verified_coordinate_and_open</x:v>
      </x:c>
      <x:c r="AC231" s="30" t="str">
        <x:v>Open</x:v>
      </x:c>
      <x:c r="AD231" s="30" t="str">
        <x:v>Public — NGF course permission</x:v>
      </x:c>
      <x:c r="AE231" s="31" t="b">
        <x:v>1</x:v>
      </x:c>
      <x:c r="AF231" s="31" t="b">
        <x:v>0</x:v>
      </x:c>
      <x:c r="AG231" s="30"/>
      <x:c r="AH231" s="30"/>
      <x:c r="AI231" s="30"/>
      <x:c r="AJ231" s="31" t="b">
        <x:v>0</x:v>
      </x:c>
      <x:c r="AK231" s="31" t="b">
        <x:v>0</x:v>
      </x:c>
      <x:c r="AL231" s="30" t="str">
        <x:v>Verified — national register and exact BAG address</x:v>
      </x:c>
      <x:c r="AM231" s="30" t="str">
        <x:v>https://www.golf.nl/de-baan-op/banenzoeker/overzicht</x:v>
      </x:c>
      <x:c r="AN231" s="30" t="str">
        <x:v>2026-08-15</x:v>
      </x:c>
      <x:c r="AO231" s="30" t="str">
        <x:v>+31 40-2018858</x:v>
      </x:c>
      <x:c r="AP231" s="30" t="str">
        <x:v>Current NGF/GOLF.NL listing: 9 holes, par 29, 1445 metres. Listed as qualifying.</x:v>
      </x:c>
    </x:row>
    <x:row r="232">
      <x:c r="A232" s="30" t="str">
        <x:v>NL-C0150</x:v>
      </x:c>
      <x:c r="B232" s="30" t="str">
        <x:v>NL-0231</x:v>
      </x:c>
      <x:c r="C232" s="30" t="str">
        <x:v>Amsterdamse Golfclub — Main Course</x:v>
      </x:c>
      <x:c r="D232" s="30" t="str">
        <x:v>Amsterdamse Golfclub</x:v>
      </x:c>
      <x:c r="E232" s="30" t="str">
        <x:v>Main Course</x:v>
      </x:c>
      <x:c r="F232" s="30" t="str">
        <x:v>Netherlands</x:v>
      </x:c>
      <x:c r="G232" s="30" t="str">
        <x:v>Noord-Holland</x:v>
      </x:c>
      <x:c r="H232" s="30" t="str">
        <x:v>Amsterdam</x:v>
      </x:c>
      <x:c r="I232" s="30" t="str">
        <x:v>Amsterdam</x:v>
      </x:c>
      <x:c r="J232" s="30" t="str">
        <x:v>Bauduinlaan 35</x:v>
      </x:c>
      <x:c r="K232" s="30" t="str">
        <x:v>1047 HK</x:v>
      </x:c>
      <x:c r="L232" s="32" t="n">
        <x:v>52.39982859</x:v>
      </x:c>
      <x:c r="M232" s="32" t="n">
        <x:v>4.74633996</x:v>
      </x:c>
      <x:c r="N232" s="30" t="str">
        <x:v>WGS84 / EPSG:4326</x:v>
      </x:c>
      <x:c r="O232" s="30" t="str">
        <x:v>Verified BAG address point via PDOK</x:v>
      </x:c>
      <x:c r="P232" s="30" t="str">
        <x:v>2026-08-15</x:v>
      </x:c>
      <x:c r="Q232" s="33" t="n">
        <x:f>IF(R232="","",ROUND(R232/0.9144,0))</x:f>
        <x:v>6799</x:v>
      </x:c>
      <x:c r="R232" s="33" t="n">
        <x:v>6217</x:v>
      </x:c>
      <x:c r="S232" s="33" t="n">
        <x:v>18</x:v>
      </x:c>
      <x:c r="T232" s="33" t="n">
        <x:v>72</x:v>
      </x:c>
      <x:c r="U232" s="30" t="str">
        <x:v>Full-length course</x:v>
      </x:c>
      <x:c r="V232" s="30"/>
      <x:c r="W232" s="30"/>
      <x:c r="X232" s="30"/>
      <x:c r="Y232" s="30" t="str">
        <x:v>https://www.amsterdamsegolfclub.nl/</x:v>
      </x:c>
      <x:c r="Z232" s="30" t="b">
        <x:f>IF(AND(F232="Netherlands",ISNUMBER(L232),ISNUMBER(M232),L232&gt;=50.7,L232&lt;=53.7,M232&gt;=3.2,M232&lt;=7.3,AC232&lt;&gt;"Closed"),TRUE,FALSE)</x:f>
        <x:v>1</x:v>
      </x:c>
      <x:c r="AA232" s="30" t="b">
        <x:f>Z232</x:f>
        <x:v>1</x:v>
      </x:c>
      <x:c r="AB232" s="30" t="str">
        <x:f>IF(Z232,"verified_coordinate_and_open","not_map_ready")</x:f>
        <x:v>verified_coordinate_and_open</x:v>
      </x:c>
      <x:c r="AC232" s="30" t="str">
        <x:v>Open</x:v>
      </x:c>
      <x:c r="AD232" s="30" t="str">
        <x:v>Public — handicap 28 or lower</x:v>
      </x:c>
      <x:c r="AE232" s="31" t="b">
        <x:v>1</x:v>
      </x:c>
      <x:c r="AF232" s="31" t="b">
        <x:v>0</x:v>
      </x:c>
      <x:c r="AG232" s="30"/>
      <x:c r="AH232" s="30"/>
      <x:c r="AI232" s="30"/>
      <x:c r="AJ232" s="31" t="b">
        <x:v>0</x:v>
      </x:c>
      <x:c r="AK232" s="31" t="b">
        <x:v>0</x:v>
      </x:c>
      <x:c r="AL232" s="30" t="str">
        <x:v>Verified — national register and exact BAG address</x:v>
      </x:c>
      <x:c r="AM232" s="30" t="str">
        <x:v>https://www.golf.nl/de-baan-op/banenzoeker/overzicht</x:v>
      </x:c>
      <x:c r="AN232" s="30" t="str">
        <x:v>2026-08-15</x:v>
      </x:c>
      <x:c r="AO232" s="30" t="str">
        <x:v>+31 20-4977866</x:v>
      </x:c>
      <x:c r="AP232" s="30" t="str">
        <x:v>Current NGF/GOLF.NL listing: 18 holes, par 72, 6217 metres. Combined from exact NGF-listed constituent nine-hole loops: 1ste negen (9 holes, par 36, 3049 m); 2de negen (9 holes, par 36, 3168 m) Listed as qualifying.</x:v>
      </x:c>
    </x:row>
    <x:row r="233">
      <x:c r="A233" s="30" t="str">
        <x:v>NL-C0151</x:v>
      </x:c>
      <x:c r="B233" s="30" t="str">
        <x:v>NL-0232</x:v>
      </x:c>
      <x:c r="C233" s="30" t="str">
        <x:v>Golf &amp; Country Club Regthuys — Dijklus</x:v>
      </x:c>
      <x:c r="D233" s="30" t="str">
        <x:v>Golf &amp; Country Club Regthuys</x:v>
      </x:c>
      <x:c r="E233" s="30" t="str">
        <x:v>Dijklus</x:v>
      </x:c>
      <x:c r="F233" s="30" t="str">
        <x:v>Netherlands</x:v>
      </x:c>
      <x:c r="G233" s="30" t="str">
        <x:v>Noord-Holland</x:v>
      </x:c>
      <x:c r="H233" s="30" t="str">
        <x:v>Hollands Kroon</x:v>
      </x:c>
      <x:c r="I233" s="30" t="str">
        <x:v>Winkel</x:v>
      </x:c>
      <x:c r="J233" s="30" t="str">
        <x:v>Limmerschouw 49B</x:v>
      </x:c>
      <x:c r="K233" s="30" t="str">
        <x:v>1731 RM</x:v>
      </x:c>
      <x:c r="L233" s="32" t="n">
        <x:v>52.75234233</x:v>
      </x:c>
      <x:c r="M233" s="32" t="n">
        <x:v>4.91438954</x:v>
      </x:c>
      <x:c r="N233" s="30" t="str">
        <x:v>WGS84 / EPSG:4326</x:v>
      </x:c>
      <x:c r="O233" s="30" t="str">
        <x:v>Verified BAG address point via PDOK</x:v>
      </x:c>
      <x:c r="P233" s="30" t="str">
        <x:v>2026-08-15</x:v>
      </x:c>
      <x:c r="Q233" s="33" t="n">
        <x:f>IF(R233="","",ROUND(R233/0.9144,0))</x:f>
        <x:v>2744</x:v>
      </x:c>
      <x:c r="R233" s="33" t="n">
        <x:v>2509</x:v>
      </x:c>
      <x:c r="S233" s="33" t="n">
        <x:v>9</x:v>
      </x:c>
      <x:c r="T233" s="33" t="n">
        <x:v>35</x:v>
      </x:c>
      <x:c r="U233" s="30" t="str">
        <x:v>Full-length course</x:v>
      </x:c>
      <x:c r="V233" s="30"/>
      <x:c r="W233" s="30"/>
      <x:c r="X233" s="30"/>
      <x:c r="Y233" s="30" t="str">
        <x:v>https://www.regthuysgolf.nl/</x:v>
      </x:c>
      <x:c r="Z233" s="30" t="b">
        <x:f>IF(AND(F233="Netherlands",ISNUMBER(L233),ISNUMBER(M233),L233&gt;=50.7,L233&lt;=53.7,M233&gt;=3.2,M233&lt;=7.3,AC233&lt;&gt;"Closed"),TRUE,FALSE)</x:f>
        <x:v>1</x:v>
      </x:c>
      <x:c r="AA233" s="30" t="b">
        <x:f>Z233</x:f>
        <x:v>1</x:v>
      </x:c>
      <x:c r="AB233" s="30" t="str">
        <x:f>IF(Z233,"verified_coordinate_and_open","not_map_ready")</x:f>
        <x:v>verified_coordinate_and_open</x:v>
      </x:c>
      <x:c r="AC233" s="30" t="str">
        <x:v>Open</x:v>
      </x:c>
      <x:c r="AD233" s="30" t="str">
        <x:v>Public — handicap 54 or lower</x:v>
      </x:c>
      <x:c r="AE233" s="31" t="b">
        <x:v>1</x:v>
      </x:c>
      <x:c r="AF233" s="31" t="b">
        <x:v>0</x:v>
      </x:c>
      <x:c r="AG233" s="30"/>
      <x:c r="AH233" s="30"/>
      <x:c r="AI233" s="30"/>
      <x:c r="AJ233" s="31" t="b">
        <x:v>0</x:v>
      </x:c>
      <x:c r="AK233" s="31" t="b">
        <x:v>0</x:v>
      </x:c>
      <x:c r="AL233" s="30" t="str">
        <x:v>Verified — national register and exact BAG address</x:v>
      </x:c>
      <x:c r="AM233" s="30" t="str">
        <x:v>https://www.golf.nl/de-baan-op/banenzoeker/overzicht</x:v>
      </x:c>
      <x:c r="AN233" s="30" t="str">
        <x:v>2026-08-15</x:v>
      </x:c>
      <x:c r="AO233" s="30" t="str">
        <x:v>+31 224-540216</x:v>
      </x:c>
      <x:c r="AP233" s="30" t="str">
        <x:v>Current NGF/GOLF.NL listing: 9 holes, par 35, 2509 metres. Listed as qualifying.</x:v>
      </x:c>
    </x:row>
    <x:row r="234">
      <x:c r="A234" s="30" t="str">
        <x:v>NL-C0151</x:v>
      </x:c>
      <x:c r="B234" s="30" t="str">
        <x:v>NL-0233</x:v>
      </x:c>
      <x:c r="C234" s="30" t="str">
        <x:v>Golf &amp; Country Club Regthuys — Korte lus</x:v>
      </x:c>
      <x:c r="D234" s="30" t="str">
        <x:v>Golf &amp; Country Club Regthuys</x:v>
      </x:c>
      <x:c r="E234" s="30" t="str">
        <x:v>Korte lus</x:v>
      </x:c>
      <x:c r="F234" s="30" t="str">
        <x:v>Netherlands</x:v>
      </x:c>
      <x:c r="G234" s="30" t="str">
        <x:v>Noord-Holland</x:v>
      </x:c>
      <x:c r="H234" s="30" t="str">
        <x:v>Hollands Kroon</x:v>
      </x:c>
      <x:c r="I234" s="30" t="str">
        <x:v>Winkel</x:v>
      </x:c>
      <x:c r="J234" s="30" t="str">
        <x:v>Limmerschouw 49B</x:v>
      </x:c>
      <x:c r="K234" s="30" t="str">
        <x:v>1731 RM</x:v>
      </x:c>
      <x:c r="L234" s="32" t="n">
        <x:v>52.75234233</x:v>
      </x:c>
      <x:c r="M234" s="32" t="n">
        <x:v>4.91438954</x:v>
      </x:c>
      <x:c r="N234" s="30" t="str">
        <x:v>WGS84 / EPSG:4326</x:v>
      </x:c>
      <x:c r="O234" s="30" t="str">
        <x:v>Verified BAG address point via PDOK</x:v>
      </x:c>
      <x:c r="P234" s="30" t="str">
        <x:v>2026-08-15</x:v>
      </x:c>
      <x:c r="Q234" s="33" t="n">
        <x:f>IF(R234="","",ROUND(R234/0.9144,0))</x:f>
        <x:v>796</x:v>
      </x:c>
      <x:c r="R234" s="33" t="n">
        <x:v>728</x:v>
      </x:c>
      <x:c r="S234" s="33" t="n">
        <x:v>9</x:v>
      </x:c>
      <x:c r="T234" s="33" t="n">
        <x:v>27</x:v>
      </x:c>
      <x:c r="U234" s="30" t="str">
        <x:v>Par-3 course</x:v>
      </x:c>
      <x:c r="V234" s="30"/>
      <x:c r="W234" s="30"/>
      <x:c r="X234" s="30"/>
      <x:c r="Y234" s="30" t="str">
        <x:v>https://www.regthuysgolf.nl/</x:v>
      </x:c>
      <x:c r="Z234" s="30" t="b">
        <x:f>IF(AND(F234="Netherlands",ISNUMBER(L234),ISNUMBER(M234),L234&gt;=50.7,L234&lt;=53.7,M234&gt;=3.2,M234&lt;=7.3,AC234&lt;&gt;"Closed"),TRUE,FALSE)</x:f>
        <x:v>1</x:v>
      </x:c>
      <x:c r="AA234" s="30" t="b">
        <x:f>Z234</x:f>
        <x:v>1</x:v>
      </x:c>
      <x:c r="AB234" s="30" t="str">
        <x:f>IF(Z234,"verified_coordinate_and_open","not_map_ready")</x:f>
        <x:v>verified_coordinate_and_open</x:v>
      </x:c>
      <x:c r="AC234" s="30" t="str">
        <x:v>Open</x:v>
      </x:c>
      <x:c r="AD234" s="30" t="str">
        <x:v>Public — no playing requirement</x:v>
      </x:c>
      <x:c r="AE234" s="31" t="b">
        <x:v>1</x:v>
      </x:c>
      <x:c r="AF234" s="31" t="b">
        <x:v>0</x:v>
      </x:c>
      <x:c r="AG234" s="30"/>
      <x:c r="AH234" s="30"/>
      <x:c r="AI234" s="30"/>
      <x:c r="AJ234" s="31" t="b">
        <x:v>0</x:v>
      </x:c>
      <x:c r="AK234" s="31" t="b">
        <x:v>0</x:v>
      </x:c>
      <x:c r="AL234" s="30" t="str">
        <x:v>Verified — national register and exact BAG address</x:v>
      </x:c>
      <x:c r="AM234" s="30" t="str">
        <x:v>https://www.golf.nl/de-baan-op/banenzoeker/overzicht</x:v>
      </x:c>
      <x:c r="AN234" s="30" t="str">
        <x:v>2026-08-15</x:v>
      </x:c>
      <x:c r="AO234" s="30" t="str">
        <x:v>+31 224-540216</x:v>
      </x:c>
      <x:c r="AP234" s="30" t="str">
        <x:v>Current NGF/GOLF.NL listing: 9 holes, par 27, 728 metres. Listed as qualifying.</x:v>
      </x:c>
    </x:row>
    <x:row r="235">
      <x:c r="A235" s="30" t="str">
        <x:v>NL-C0151</x:v>
      </x:c>
      <x:c r="B235" s="30" t="str">
        <x:v>NL-0234</x:v>
      </x:c>
      <x:c r="C235" s="30" t="str">
        <x:v>Golf &amp; Country Club Regthuys — Tulplus</x:v>
      </x:c>
      <x:c r="D235" s="30" t="str">
        <x:v>Golf &amp; Country Club Regthuys</x:v>
      </x:c>
      <x:c r="E235" s="30" t="str">
        <x:v>Tulplus</x:v>
      </x:c>
      <x:c r="F235" s="30" t="str">
        <x:v>Netherlands</x:v>
      </x:c>
      <x:c r="G235" s="30" t="str">
        <x:v>Noord-Holland</x:v>
      </x:c>
      <x:c r="H235" s="30" t="str">
        <x:v>Hollands Kroon</x:v>
      </x:c>
      <x:c r="I235" s="30" t="str">
        <x:v>Winkel</x:v>
      </x:c>
      <x:c r="J235" s="30" t="str">
        <x:v>Limmerschouw 49B</x:v>
      </x:c>
      <x:c r="K235" s="30" t="str">
        <x:v>1731 RM</x:v>
      </x:c>
      <x:c r="L235" s="32" t="n">
        <x:v>52.75234233</x:v>
      </x:c>
      <x:c r="M235" s="32" t="n">
        <x:v>4.91438954</x:v>
      </x:c>
      <x:c r="N235" s="30" t="str">
        <x:v>WGS84 / EPSG:4326</x:v>
      </x:c>
      <x:c r="O235" s="30" t="str">
        <x:v>Verified BAG address point via PDOK</x:v>
      </x:c>
      <x:c r="P235" s="30" t="str">
        <x:v>2026-08-15</x:v>
      </x:c>
      <x:c r="Q235" s="33" t="n">
        <x:f>IF(R235="","",ROUND(R235/0.9144,0))</x:f>
        <x:v>3170</x:v>
      </x:c>
      <x:c r="R235" s="33" t="n">
        <x:v>2899</x:v>
      </x:c>
      <x:c r="S235" s="33" t="n">
        <x:v>9</x:v>
      </x:c>
      <x:c r="T235" s="33" t="n">
        <x:v>36</x:v>
      </x:c>
      <x:c r="U235" s="30" t="str">
        <x:v>Full-length course</x:v>
      </x:c>
      <x:c r="V235" s="30"/>
      <x:c r="W235" s="30"/>
      <x:c r="X235" s="30"/>
      <x:c r="Y235" s="30" t="str">
        <x:v>https://www.regthuysgolf.nl/</x:v>
      </x:c>
      <x:c r="Z235" s="30" t="b">
        <x:f>IF(AND(F235="Netherlands",ISNUMBER(L235),ISNUMBER(M235),L235&gt;=50.7,L235&lt;=53.7,M235&gt;=3.2,M235&lt;=7.3,AC235&lt;&gt;"Closed"),TRUE,FALSE)</x:f>
        <x:v>1</x:v>
      </x:c>
      <x:c r="AA235" s="30" t="b">
        <x:f>Z235</x:f>
        <x:v>1</x:v>
      </x:c>
      <x:c r="AB235" s="30" t="str">
        <x:f>IF(Z235,"verified_coordinate_and_open","not_map_ready")</x:f>
        <x:v>verified_coordinate_and_open</x:v>
      </x:c>
      <x:c r="AC235" s="30" t="str">
        <x:v>Open</x:v>
      </x:c>
      <x:c r="AD235" s="30" t="str">
        <x:v>Public — handicap 54 or lower</x:v>
      </x:c>
      <x:c r="AE235" s="31" t="b">
        <x:v>1</x:v>
      </x:c>
      <x:c r="AF235" s="31" t="b">
        <x:v>0</x:v>
      </x:c>
      <x:c r="AG235" s="30"/>
      <x:c r="AH235" s="30"/>
      <x:c r="AI235" s="30"/>
      <x:c r="AJ235" s="31" t="b">
        <x:v>0</x:v>
      </x:c>
      <x:c r="AK235" s="31" t="b">
        <x:v>0</x:v>
      </x:c>
      <x:c r="AL235" s="30" t="str">
        <x:v>Verified — national register and exact BAG address</x:v>
      </x:c>
      <x:c r="AM235" s="30" t="str">
        <x:v>https://www.golf.nl/de-baan-op/banenzoeker/overzicht</x:v>
      </x:c>
      <x:c r="AN235" s="30" t="str">
        <x:v>2026-08-15</x:v>
      </x:c>
      <x:c r="AO235" s="30" t="str">
        <x:v>+31 224-540216</x:v>
      </x:c>
      <x:c r="AP235" s="30" t="str">
        <x:v>Current NGF/GOLF.NL listing: 9 holes, par 36, 2899 metres. Listed as qualifying.</x:v>
      </x:c>
    </x:row>
    <x:row r="236">
      <x:c r="A236" s="30" t="str">
        <x:v>NL-C0152</x:v>
      </x:c>
      <x:c r="B236" s="30" t="str">
        <x:v>NL-0235</x:v>
      </x:c>
      <x:c r="C236" s="30" t="str">
        <x:v>Golf Amsteldijk — Main Course</x:v>
      </x:c>
      <x:c r="D236" s="30" t="str">
        <x:v>Golf Amsteldijk</x:v>
      </x:c>
      <x:c r="E236" s="30" t="str">
        <x:v>Main Course</x:v>
      </x:c>
      <x:c r="F236" s="30" t="str">
        <x:v>Netherlands</x:v>
      </x:c>
      <x:c r="G236" s="30" t="str">
        <x:v>Noord-Holland</x:v>
      </x:c>
      <x:c r="H236" s="30" t="str">
        <x:v>Amstelveen</x:v>
      </x:c>
      <x:c r="I236" s="30" t="str">
        <x:v>Amstelveen</x:v>
      </x:c>
      <x:c r="J236" s="30" t="str">
        <x:v>De Afslag 1</x:v>
      </x:c>
      <x:c r="K236" s="30" t="str">
        <x:v>1186 VG</x:v>
      </x:c>
      <x:c r="L236" s="32" t="n">
        <x:v>52.28070556</x:v>
      </x:c>
      <x:c r="M236" s="32" t="n">
        <x:v>4.87617302</x:v>
      </x:c>
      <x:c r="N236" s="30" t="str">
        <x:v>WGS84 / EPSG:4326</x:v>
      </x:c>
      <x:c r="O236" s="30" t="str">
        <x:v>Verified BAG address point via PDOK</x:v>
      </x:c>
      <x:c r="P236" s="30" t="str">
        <x:v>2026-08-15</x:v>
      </x:c>
      <x:c r="Q236" s="33" t="n">
        <x:f>IF(R236="","",ROUND(R236/0.9144,0))</x:f>
        <x:v>2858</x:v>
      </x:c>
      <x:c r="R236" s="33" t="n">
        <x:v>2613</x:v>
      </x:c>
      <x:c r="S236" s="33" t="n">
        <x:v>9</x:v>
      </x:c>
      <x:c r="T236" s="33" t="n">
        <x:v>34</x:v>
      </x:c>
      <x:c r="U236" s="30" t="str">
        <x:v>Full-length course</x:v>
      </x:c>
      <x:c r="V236" s="30"/>
      <x:c r="W236" s="30"/>
      <x:c r="X236" s="30"/>
      <x:c r="Y236" s="30" t="str">
        <x:v>https://www.amsteldijk.nl/</x:v>
      </x:c>
      <x:c r="Z236" s="30" t="b">
        <x:f>IF(AND(F236="Netherlands",ISNUMBER(L236),ISNUMBER(M236),L236&gt;=50.7,L236&lt;=53.7,M236&gt;=3.2,M236&lt;=7.3,AC236&lt;&gt;"Closed"),TRUE,FALSE)</x:f>
        <x:v>1</x:v>
      </x:c>
      <x:c r="AA236" s="30" t="b">
        <x:f>Z236</x:f>
        <x:v>1</x:v>
      </x:c>
      <x:c r="AB236" s="30" t="str">
        <x:f>IF(Z236,"verified_coordinate_and_open","not_map_ready")</x:f>
        <x:v>verified_coordinate_and_open</x:v>
      </x:c>
      <x:c r="AC236" s="30" t="str">
        <x:v>Open</x:v>
      </x:c>
      <x:c r="AD236" s="30" t="str">
        <x:v>Public — handicap 54 or lower</x:v>
      </x:c>
      <x:c r="AE236" s="31" t="b">
        <x:v>1</x:v>
      </x:c>
      <x:c r="AF236" s="31" t="b">
        <x:v>0</x:v>
      </x:c>
      <x:c r="AG236" s="30"/>
      <x:c r="AH236" s="30"/>
      <x:c r="AI236" s="30"/>
      <x:c r="AJ236" s="31" t="b">
        <x:v>0</x:v>
      </x:c>
      <x:c r="AK236" s="31" t="b">
        <x:v>0</x:v>
      </x:c>
      <x:c r="AL236" s="30" t="str">
        <x:v>Verified — national register and exact BAG address</x:v>
      </x:c>
      <x:c r="AM236" s="30" t="str">
        <x:v>https://www.golf.nl/de-baan-op/banenzoeker/overzicht</x:v>
      </x:c>
      <x:c r="AN236" s="30" t="str">
        <x:v>2026-08-15</x:v>
      </x:c>
      <x:c r="AO236" s="30" t="str">
        <x:v>+31 20-3030510</x:v>
      </x:c>
      <x:c r="AP236" s="30" t="str">
        <x:v>Current NGF/GOLF.NL listing: 9 holes, par 34, 2613 metres. Listed as qualifying.</x:v>
      </x:c>
    </x:row>
    <x:row r="237">
      <x:c r="A237" s="30" t="str">
        <x:v>NL-C0152</x:v>
      </x:c>
      <x:c r="B237" s="30" t="str">
        <x:v>NL-0236</x:v>
      </x:c>
      <x:c r="C237" s="30" t="str">
        <x:v>Golf Amsteldijk — Par-3 Course</x:v>
      </x:c>
      <x:c r="D237" s="30" t="str">
        <x:v>Golf Amsteldijk</x:v>
      </x:c>
      <x:c r="E237" s="30" t="str">
        <x:v>Par-3 Course</x:v>
      </x:c>
      <x:c r="F237" s="30" t="str">
        <x:v>Netherlands</x:v>
      </x:c>
      <x:c r="G237" s="30" t="str">
        <x:v>Noord-Holland</x:v>
      </x:c>
      <x:c r="H237" s="30" t="str">
        <x:v>Amstelveen</x:v>
      </x:c>
      <x:c r="I237" s="30" t="str">
        <x:v>Amstelveen</x:v>
      </x:c>
      <x:c r="J237" s="30" t="str">
        <x:v>De Afslag 1</x:v>
      </x:c>
      <x:c r="K237" s="30" t="str">
        <x:v>1186 VG</x:v>
      </x:c>
      <x:c r="L237" s="32" t="n">
        <x:v>52.28070556</x:v>
      </x:c>
      <x:c r="M237" s="32" t="n">
        <x:v>4.87617302</x:v>
      </x:c>
      <x:c r="N237" s="30" t="str">
        <x:v>WGS84 / EPSG:4326</x:v>
      </x:c>
      <x:c r="O237" s="30" t="str">
        <x:v>Verified BAG address point via PDOK</x:v>
      </x:c>
      <x:c r="P237" s="30" t="str">
        <x:v>2026-08-15</x:v>
      </x:c>
      <x:c r="Q237" s="33" t="n">
        <x:f>IF(R237="","",ROUND(R237/0.9144,0))</x:f>
        <x:v>571</x:v>
      </x:c>
      <x:c r="R237" s="33" t="n">
        <x:v>522</x:v>
      </x:c>
      <x:c r="S237" s="33" t="n">
        <x:v>9</x:v>
      </x:c>
      <x:c r="T237" s="33" t="n">
        <x:v>27</x:v>
      </x:c>
      <x:c r="U237" s="30" t="str">
        <x:v>Par-3 course</x:v>
      </x:c>
      <x:c r="V237" s="30"/>
      <x:c r="W237" s="30"/>
      <x:c r="X237" s="30"/>
      <x:c r="Y237" s="30" t="str">
        <x:v>https://www.amsteldijk.nl/</x:v>
      </x:c>
      <x:c r="Z237" s="30" t="b">
        <x:f>IF(AND(F237="Netherlands",ISNUMBER(L237),ISNUMBER(M237),L237&gt;=50.7,L237&lt;=53.7,M237&gt;=3.2,M237&lt;=7.3,AC237&lt;&gt;"Closed"),TRUE,FALSE)</x:f>
        <x:v>1</x:v>
      </x:c>
      <x:c r="AA237" s="30" t="b">
        <x:f>Z237</x:f>
        <x:v>1</x:v>
      </x:c>
      <x:c r="AB237" s="30" t="str">
        <x:f>IF(Z237,"verified_coordinate_and_open","not_map_ready")</x:f>
        <x:v>verified_coordinate_and_open</x:v>
      </x:c>
      <x:c r="AC237" s="30" t="str">
        <x:v>Open</x:v>
      </x:c>
      <x:c r="AD237" s="30" t="str">
        <x:v>Public — no playing requirement</x:v>
      </x:c>
      <x:c r="AE237" s="31" t="b">
        <x:v>0</x:v>
      </x:c>
      <x:c r="AF237" s="31" t="b">
        <x:v>0</x:v>
      </x:c>
      <x:c r="AG237" s="30"/>
      <x:c r="AH237" s="30"/>
      <x:c r="AI237" s="30"/>
      <x:c r="AJ237" s="31" t="b">
        <x:v>0</x:v>
      </x:c>
      <x:c r="AK237" s="31" t="b">
        <x:v>0</x:v>
      </x:c>
      <x:c r="AL237" s="30" t="str">
        <x:v>Verified — national register and exact BAG address</x:v>
      </x:c>
      <x:c r="AM237" s="30" t="str">
        <x:v>https://www.golf.nl/de-baan-op/banenzoeker/overzicht</x:v>
      </x:c>
      <x:c r="AN237" s="30" t="str">
        <x:v>2026-08-15</x:v>
      </x:c>
      <x:c r="AO237" s="30" t="str">
        <x:v>+31 20-3030510</x:v>
      </x:c>
      <x:c r="AP237" s="30" t="str">
        <x:v>Current NGF/GOLF.NL listing: 9 holes, par 27, 522 metres. Listed as non-qualifying.</x:v>
      </x:c>
    </x:row>
    <x:row r="238">
      <x:c r="A238" s="30" t="str">
        <x:v>NL-C0153</x:v>
      </x:c>
      <x:c r="B238" s="30" t="str">
        <x:v>NL-0237</x:v>
      </x:c>
      <x:c r="C238" s="30" t="str">
        <x:v>Golf en Padel Sluispolder — Main Course</x:v>
      </x:c>
      <x:c r="D238" s="30" t="str">
        <x:v>Golf en Padel Sluispolder</x:v>
      </x:c>
      <x:c r="E238" s="30" t="str">
        <x:v>Main Course</x:v>
      </x:c>
      <x:c r="F238" s="30" t="str">
        <x:v>Netherlands</x:v>
      </x:c>
      <x:c r="G238" s="30" t="str">
        <x:v>Noord-Holland</x:v>
      </x:c>
      <x:c r="H238" s="30" t="str">
        <x:v>Alkmaar</x:v>
      </x:c>
      <x:c r="I238" s="30" t="str">
        <x:v>Alkmaar</x:v>
      </x:c>
      <x:c r="J238" s="30" t="str">
        <x:v>Sluispolderweg 7</x:v>
      </x:c>
      <x:c r="K238" s="30" t="str">
        <x:v>1817 BM</x:v>
      </x:c>
      <x:c r="L238" s="32" t="n">
        <x:v>52.65755734</x:v>
      </x:c>
      <x:c r="M238" s="32" t="n">
        <x:v>4.73967786</x:v>
      </x:c>
      <x:c r="N238" s="30" t="str">
        <x:v>WGS84 / EPSG:4326</x:v>
      </x:c>
      <x:c r="O238" s="30" t="str">
        <x:v>Verified BAG address point via PDOK</x:v>
      </x:c>
      <x:c r="P238" s="30" t="str">
        <x:v>2026-08-15</x:v>
      </x:c>
      <x:c r="Q238" s="33" t="n">
        <x:f>IF(R238="","",ROUND(R238/0.9144,0))</x:f>
        <x:v>6715</x:v>
      </x:c>
      <x:c r="R238" s="33" t="n">
        <x:v>6140</x:v>
      </x:c>
      <x:c r="S238" s="33" t="n">
        <x:v>18</x:v>
      </x:c>
      <x:c r="T238" s="33" t="n">
        <x:v>72</x:v>
      </x:c>
      <x:c r="U238" s="30" t="str">
        <x:v>Full-length course</x:v>
      </x:c>
      <x:c r="V238" s="30"/>
      <x:c r="W238" s="30"/>
      <x:c r="X238" s="30"/>
      <x:c r="Y238" s="30" t="str">
        <x:v>https://sluispolder.nl/</x:v>
      </x:c>
      <x:c r="Z238" s="30" t="b">
        <x:f>IF(AND(F238="Netherlands",ISNUMBER(L238),ISNUMBER(M238),L238&gt;=50.7,L238&lt;=53.7,M238&gt;=3.2,M238&lt;=7.3,AC238&lt;&gt;"Closed"),TRUE,FALSE)</x:f>
        <x:v>1</x:v>
      </x:c>
      <x:c r="AA238" s="30" t="b">
        <x:f>Z238</x:f>
        <x:v>1</x:v>
      </x:c>
      <x:c r="AB238" s="30" t="str">
        <x:f>IF(Z238,"verified_coordinate_and_open","not_map_ready")</x:f>
        <x:v>verified_coordinate_and_open</x:v>
      </x:c>
      <x:c r="AC238" s="30" t="str">
        <x:v>Open</x:v>
      </x:c>
      <x:c r="AD238" s="30" t="str">
        <x:v>Public — NGF course permission</x:v>
      </x:c>
      <x:c r="AE238" s="31" t="b">
        <x:v>1</x:v>
      </x:c>
      <x:c r="AF238" s="31" t="b">
        <x:v>0</x:v>
      </x:c>
      <x:c r="AG238" s="30"/>
      <x:c r="AH238" s="30"/>
      <x:c r="AI238" s="30"/>
      <x:c r="AJ238" s="31" t="b">
        <x:v>0</x:v>
      </x:c>
      <x:c r="AK238" s="31" t="b">
        <x:v>0</x:v>
      </x:c>
      <x:c r="AL238" s="30" t="str">
        <x:v>Verified — national register and exact BAG address</x:v>
      </x:c>
      <x:c r="AM238" s="30" t="str">
        <x:v>https://www.golf.nl/de-baan-op/banenzoeker/overzicht</x:v>
      </x:c>
      <x:c r="AN238" s="30" t="str">
        <x:v>2026-08-15</x:v>
      </x:c>
      <x:c r="AO238" s="30" t="str">
        <x:v>+31 72-5111555</x:v>
      </x:c>
      <x:c r="AP238" s="30" t="str">
        <x:v>Current NGF/GOLF.NL listing: 18 holes, par 72, 6140 metres. Combined from exact NGF-listed constituent nine-hole loops: 1ste negen (9 holes, par 36, 3030 m); 2de negen (9 holes, par 36, 3110 m) Listed as qualifying.</x:v>
      </x:c>
    </x:row>
    <x:row r="239">
      <x:c r="A239" s="30" t="str">
        <x:v>NL-C0153</x:v>
      </x:c>
      <x:c r="B239" s="30" t="str">
        <x:v>NL-0238</x:v>
      </x:c>
      <x:c r="C239" s="30" t="str">
        <x:v>Golf en Padel Sluispolder — Par-3 Course</x:v>
      </x:c>
      <x:c r="D239" s="30" t="str">
        <x:v>Golf en Padel Sluispolder</x:v>
      </x:c>
      <x:c r="E239" s="30" t="str">
        <x:v>Par-3 Course</x:v>
      </x:c>
      <x:c r="F239" s="30" t="str">
        <x:v>Netherlands</x:v>
      </x:c>
      <x:c r="G239" s="30" t="str">
        <x:v>Noord-Holland</x:v>
      </x:c>
      <x:c r="H239" s="30" t="str">
        <x:v>Alkmaar</x:v>
      </x:c>
      <x:c r="I239" s="30" t="str">
        <x:v>Alkmaar</x:v>
      </x:c>
      <x:c r="J239" s="30" t="str">
        <x:v>Sluispolderweg 7</x:v>
      </x:c>
      <x:c r="K239" s="30" t="str">
        <x:v>1817 BM</x:v>
      </x:c>
      <x:c r="L239" s="32" t="n">
        <x:v>52.65755734</x:v>
      </x:c>
      <x:c r="M239" s="32" t="n">
        <x:v>4.73967786</x:v>
      </x:c>
      <x:c r="N239" s="30" t="str">
        <x:v>WGS84 / EPSG:4326</x:v>
      </x:c>
      <x:c r="O239" s="30" t="str">
        <x:v>Verified BAG address point via PDOK</x:v>
      </x:c>
      <x:c r="P239" s="30" t="str">
        <x:v>2026-08-15</x:v>
      </x:c>
      <x:c r="Q239" s="33" t="n">
        <x:f>IF(R239="","",ROUND(R239/0.9144,0))</x:f>
        <x:v>563</x:v>
      </x:c>
      <x:c r="R239" s="33" t="n">
        <x:v>515</x:v>
      </x:c>
      <x:c r="S239" s="33" t="n">
        <x:v>9</x:v>
      </x:c>
      <x:c r="T239" s="33" t="n">
        <x:v>27</x:v>
      </x:c>
      <x:c r="U239" s="30" t="str">
        <x:v>Par-3 course</x:v>
      </x:c>
      <x:c r="V239" s="30"/>
      <x:c r="W239" s="30"/>
      <x:c r="X239" s="30"/>
      <x:c r="Y239" s="30" t="str">
        <x:v>https://sluispolder.nl/</x:v>
      </x:c>
      <x:c r="Z239" s="30" t="b">
        <x:f>IF(AND(F239="Netherlands",ISNUMBER(L239),ISNUMBER(M239),L239&gt;=50.7,L239&lt;=53.7,M239&gt;=3.2,M239&lt;=7.3,AC239&lt;&gt;"Closed"),TRUE,FALSE)</x:f>
        <x:v>1</x:v>
      </x:c>
      <x:c r="AA239" s="30" t="b">
        <x:f>Z239</x:f>
        <x:v>1</x:v>
      </x:c>
      <x:c r="AB239" s="30" t="str">
        <x:f>IF(Z239,"verified_coordinate_and_open","not_map_ready")</x:f>
        <x:v>verified_coordinate_and_open</x:v>
      </x:c>
      <x:c r="AC239" s="30" t="str">
        <x:v>Open</x:v>
      </x:c>
      <x:c r="AD239" s="30" t="str">
        <x:v>Public — no playing requirement</x:v>
      </x:c>
      <x:c r="AE239" s="31" t="b">
        <x:v>0</x:v>
      </x:c>
      <x:c r="AF239" s="31" t="b">
        <x:v>0</x:v>
      </x:c>
      <x:c r="AG239" s="30"/>
      <x:c r="AH239" s="30"/>
      <x:c r="AI239" s="30"/>
      <x:c r="AJ239" s="31" t="b">
        <x:v>0</x:v>
      </x:c>
      <x:c r="AK239" s="31" t="b">
        <x:v>0</x:v>
      </x:c>
      <x:c r="AL239" s="30" t="str">
        <x:v>Verified — national register and exact BAG address</x:v>
      </x:c>
      <x:c r="AM239" s="30" t="str">
        <x:v>https://www.golf.nl/de-baan-op/banenzoeker/overzicht</x:v>
      </x:c>
      <x:c r="AN239" s="30" t="str">
        <x:v>2026-08-15</x:v>
      </x:c>
      <x:c r="AO239" s="30" t="str">
        <x:v>+31 72-5111555</x:v>
      </x:c>
      <x:c r="AP239" s="30" t="str">
        <x:v>Current NGF/GOLF.NL listing: 9 holes, par 27, 515 metres. Listed as non-qualifying.</x:v>
      </x:c>
    </x:row>
    <x:row r="240">
      <x:c r="A240" s="30" t="str">
        <x:v>NL-C0154</x:v>
      </x:c>
      <x:c r="B240" s="30" t="str">
        <x:v>NL-0239</x:v>
      </x:c>
      <x:c r="C240" s="30" t="str">
        <x:v>Golf Waterland — Hazenlus</x:v>
      </x:c>
      <x:c r="D240" s="30" t="str">
        <x:v>Golf Waterland</x:v>
      </x:c>
      <x:c r="E240" s="30" t="str">
        <x:v>Hazenlus</x:v>
      </x:c>
      <x:c r="F240" s="30" t="str">
        <x:v>Netherlands</x:v>
      </x:c>
      <x:c r="G240" s="30" t="str">
        <x:v>Noord-Holland</x:v>
      </x:c>
      <x:c r="H240" s="30" t="str">
        <x:v>Amsterdam</x:v>
      </x:c>
      <x:c r="I240" s="30" t="str">
        <x:v>Amsterdam</x:v>
      </x:c>
      <x:c r="J240" s="30" t="str">
        <x:v>Buikslotermeerdijk 141</x:v>
      </x:c>
      <x:c r="K240" s="30" t="str">
        <x:v>1027 AC</x:v>
      </x:c>
      <x:c r="L240" s="32" t="n">
        <x:v>52.40939047</x:v>
      </x:c>
      <x:c r="M240" s="32" t="n">
        <x:v>4.94222576</x:v>
      </x:c>
      <x:c r="N240" s="30" t="str">
        <x:v>WGS84 / EPSG:4326</x:v>
      </x:c>
      <x:c r="O240" s="30" t="str">
        <x:v>Verified BAG address point via PDOK</x:v>
      </x:c>
      <x:c r="P240" s="30" t="str">
        <x:v>2026-08-15</x:v>
      </x:c>
      <x:c r="Q240" s="33" t="n">
        <x:f>IF(R240="","",ROUND(R240/0.9144,0))</x:f>
        <x:v>949</x:v>
      </x:c>
      <x:c r="R240" s="33" t="n">
        <x:v>868</x:v>
      </x:c>
      <x:c r="S240" s="33" t="n">
        <x:v>9</x:v>
      </x:c>
      <x:c r="T240" s="33" t="n">
        <x:v>27</x:v>
      </x:c>
      <x:c r="U240" s="30" t="str">
        <x:v>Par-3 course</x:v>
      </x:c>
      <x:c r="V240" s="30"/>
      <x:c r="W240" s="30"/>
      <x:c r="X240" s="30"/>
      <x:c r="Y240" s="30" t="str">
        <x:v>https://www.golfbaanwaterlandamsterdam.nl/</x:v>
      </x:c>
      <x:c r="Z240" s="30" t="b">
        <x:f>IF(AND(F240="Netherlands",ISNUMBER(L240),ISNUMBER(M240),L240&gt;=50.7,L240&lt;=53.7,M240&gt;=3.2,M240&lt;=7.3,AC240&lt;&gt;"Closed"),TRUE,FALSE)</x:f>
        <x:v>1</x:v>
      </x:c>
      <x:c r="AA240" s="30" t="b">
        <x:f>Z240</x:f>
        <x:v>1</x:v>
      </x:c>
      <x:c r="AB240" s="30" t="str">
        <x:f>IF(Z240,"verified_coordinate_and_open","not_map_ready")</x:f>
        <x:v>verified_coordinate_and_open</x:v>
      </x:c>
      <x:c r="AC240" s="30" t="str">
        <x:v>Open</x:v>
      </x:c>
      <x:c r="AD240" s="30" t="str">
        <x:v>Public — no playing requirement</x:v>
      </x:c>
      <x:c r="AE240" s="31" t="b">
        <x:v>1</x:v>
      </x:c>
      <x:c r="AF240" s="31" t="b">
        <x:v>0</x:v>
      </x:c>
      <x:c r="AG240" s="30"/>
      <x:c r="AH240" s="30"/>
      <x:c r="AI240" s="30"/>
      <x:c r="AJ240" s="31" t="b">
        <x:v>0</x:v>
      </x:c>
      <x:c r="AK240" s="31" t="b">
        <x:v>0</x:v>
      </x:c>
      <x:c r="AL240" s="30" t="str">
        <x:v>Verified — national register and exact BAG address</x:v>
      </x:c>
      <x:c r="AM240" s="30" t="str">
        <x:v>https://www.golf.nl/de-baan-op/banenzoeker/overzicht</x:v>
      </x:c>
      <x:c r="AN240" s="30" t="str">
        <x:v>2026-08-15</x:v>
      </x:c>
      <x:c r="AO240" s="30" t="str">
        <x:v>+31 20-6361010</x:v>
      </x:c>
      <x:c r="AP240" s="30" t="str">
        <x:v>Current NGF/GOLF.NL listing: 9 holes, par 27, 868 metres. Listed as qualifying.</x:v>
      </x:c>
    </x:row>
    <x:row r="241">
      <x:c r="A241" s="30" t="str">
        <x:v>NL-C0154</x:v>
      </x:c>
      <x:c r="B241" s="30" t="str">
        <x:v>NL-0240</x:v>
      </x:c>
      <x:c r="C241" s="30" t="str">
        <x:v>Golf Waterland — Main Course</x:v>
      </x:c>
      <x:c r="D241" s="30" t="str">
        <x:v>Golf Waterland</x:v>
      </x:c>
      <x:c r="E241" s="30" t="str">
        <x:v>Main Course</x:v>
      </x:c>
      <x:c r="F241" s="30" t="str">
        <x:v>Netherlands</x:v>
      </x:c>
      <x:c r="G241" s="30" t="str">
        <x:v>Noord-Holland</x:v>
      </x:c>
      <x:c r="H241" s="30" t="str">
        <x:v>Amsterdam</x:v>
      </x:c>
      <x:c r="I241" s="30" t="str">
        <x:v>Amsterdam</x:v>
      </x:c>
      <x:c r="J241" s="30" t="str">
        <x:v>Buikslotermeerdijk 141</x:v>
      </x:c>
      <x:c r="K241" s="30" t="str">
        <x:v>1027 AC</x:v>
      </x:c>
      <x:c r="L241" s="32" t="n">
        <x:v>52.40939047</x:v>
      </x:c>
      <x:c r="M241" s="32" t="n">
        <x:v>4.94222576</x:v>
      </x:c>
      <x:c r="N241" s="30" t="str">
        <x:v>WGS84 / EPSG:4326</x:v>
      </x:c>
      <x:c r="O241" s="30" t="str">
        <x:v>Verified BAG address point via PDOK</x:v>
      </x:c>
      <x:c r="P241" s="30" t="str">
        <x:v>2026-08-15</x:v>
      </x:c>
      <x:c r="Q241" s="33" t="n">
        <x:f>IF(R241="","",ROUND(R241/0.9144,0))</x:f>
        <x:v>5891</x:v>
      </x:c>
      <x:c r="R241" s="33" t="n">
        <x:v>5387</x:v>
      </x:c>
      <x:c r="S241" s="33" t="n">
        <x:v>18</x:v>
      </x:c>
      <x:c r="T241" s="33" t="n">
        <x:v>71</x:v>
      </x:c>
      <x:c r="U241" s="30" t="str">
        <x:v>Full-length course</x:v>
      </x:c>
      <x:c r="V241" s="30"/>
      <x:c r="W241" s="30"/>
      <x:c r="X241" s="30"/>
      <x:c r="Y241" s="30" t="str">
        <x:v>https://www.golfbaanwaterlandamsterdam.nl/</x:v>
      </x:c>
      <x:c r="Z241" s="30" t="b">
        <x:f>IF(AND(F241="Netherlands",ISNUMBER(L241),ISNUMBER(M241),L241&gt;=50.7,L241&lt;=53.7,M241&gt;=3.2,M241&lt;=7.3,AC241&lt;&gt;"Closed"),TRUE,FALSE)</x:f>
        <x:v>1</x:v>
      </x:c>
      <x:c r="AA241" s="30" t="b">
        <x:f>Z241</x:f>
        <x:v>1</x:v>
      </x:c>
      <x:c r="AB241" s="30" t="str">
        <x:f>IF(Z241,"verified_coordinate_and_open","not_map_ready")</x:f>
        <x:v>verified_coordinate_and_open</x:v>
      </x:c>
      <x:c r="AC241" s="30" t="str">
        <x:v>Open</x:v>
      </x:c>
      <x:c r="AD241" s="30" t="str">
        <x:v>Public — no playing requirement</x:v>
      </x:c>
      <x:c r="AE241" s="31" t="b">
        <x:v>1</x:v>
      </x:c>
      <x:c r="AF241" s="31" t="b">
        <x:v>0</x:v>
      </x:c>
      <x:c r="AG241" s="30"/>
      <x:c r="AH241" s="30"/>
      <x:c r="AI241" s="30"/>
      <x:c r="AJ241" s="31" t="b">
        <x:v>0</x:v>
      </x:c>
      <x:c r="AK241" s="31" t="b">
        <x:v>0</x:v>
      </x:c>
      <x:c r="AL241" s="30" t="str">
        <x:v>Verified — national register and exact BAG address</x:v>
      </x:c>
      <x:c r="AM241" s="30" t="str">
        <x:v>https://www.golf.nl/de-baan-op/banenzoeker/overzicht</x:v>
      </x:c>
      <x:c r="AN241" s="30" t="str">
        <x:v>2026-08-15</x:v>
      </x:c>
      <x:c r="AO241" s="30" t="str">
        <x:v>+31 20-6361010</x:v>
      </x:c>
      <x:c r="AP241" s="30" t="str">
        <x:v>Current NGF/GOLF.NL listing: 18 holes, par 71, 5387 metres. Combined from exact NGF-listed constituent nine-hole loops: 1ste negen (9 holes, par 35, 2651 m); 2de negen (9 holes, par 36, 2736 m) Listed as qualifying.</x:v>
      </x:c>
    </x:row>
    <x:row r="242">
      <x:c r="A242" s="30" t="str">
        <x:v>NL-C0155</x:v>
      </x:c>
      <x:c r="B242" s="30" t="str">
        <x:v>NL-0241</x:v>
      </x:c>
      <x:c r="C242" s="30" t="str">
        <x:v>Golf- &amp; Countryclub Heiloo</x:v>
      </x:c>
      <x:c r="D242" s="30" t="str">
        <x:v>Golf- &amp; Countryclub Heiloo</x:v>
      </x:c>
      <x:c r="E242" s="30" t="str">
        <x:v>Course</x:v>
      </x:c>
      <x:c r="F242" s="30" t="str">
        <x:v>Netherlands</x:v>
      </x:c>
      <x:c r="G242" s="30" t="str">
        <x:v>Noord-Holland</x:v>
      </x:c>
      <x:c r="H242" s="30" t="str">
        <x:v>Heiloo</x:v>
      </x:c>
      <x:c r="I242" s="30" t="str">
        <x:v>Heiloo</x:v>
      </x:c>
      <x:c r="J242" s="30" t="str">
        <x:v>Lagelaan 8</x:v>
      </x:c>
      <x:c r="K242" s="30" t="str">
        <x:v>1851 PC</x:v>
      </x:c>
      <x:c r="L242" s="32" t="n">
        <x:v>52.58354675</x:v>
      </x:c>
      <x:c r="M242" s="32" t="n">
        <x:v>4.71316417</x:v>
      </x:c>
      <x:c r="N242" s="30" t="str">
        <x:v>WGS84 / EPSG:4326</x:v>
      </x:c>
      <x:c r="O242" s="30" t="str">
        <x:v>Verified BAG address point via PDOK</x:v>
      </x:c>
      <x:c r="P242" s="30" t="str">
        <x:v>2026-08-15</x:v>
      </x:c>
      <x:c r="Q242" s="33" t="n">
        <x:f>IF(R242="","",ROUND(R242/0.9144,0))</x:f>
        <x:v>2967</x:v>
      </x:c>
      <x:c r="R242" s="33" t="n">
        <x:v>2713</x:v>
      </x:c>
      <x:c r="S242" s="33" t="n">
        <x:v>9</x:v>
      </x:c>
      <x:c r="T242" s="33" t="n">
        <x:v>34</x:v>
      </x:c>
      <x:c r="U242" s="30" t="str">
        <x:v>Full-length course</x:v>
      </x:c>
      <x:c r="V242" s="30"/>
      <x:c r="W242" s="30"/>
      <x:c r="X242" s="30"/>
      <x:c r="Y242" s="30" t="str">
        <x:v>https://www.golfclubheiloo.nl/</x:v>
      </x:c>
      <x:c r="Z242" s="30" t="b">
        <x:f>IF(AND(F242="Netherlands",ISNUMBER(L242),ISNUMBER(M242),L242&gt;=50.7,L242&lt;=53.7,M242&gt;=3.2,M242&lt;=7.3,AC242&lt;&gt;"Closed"),TRUE,FALSE)</x:f>
        <x:v>1</x:v>
      </x:c>
      <x:c r="AA242" s="30" t="b">
        <x:f>Z242</x:f>
        <x:v>1</x:v>
      </x:c>
      <x:c r="AB242" s="30" t="str">
        <x:f>IF(Z242,"verified_coordinate_and_open","not_map_ready")</x:f>
        <x:v>verified_coordinate_and_open</x:v>
      </x:c>
      <x:c r="AC242" s="30" t="str">
        <x:v>Open</x:v>
      </x:c>
      <x:c r="AD242" s="30" t="str">
        <x:v>Public — handicap 54 or lower</x:v>
      </x:c>
      <x:c r="AE242" s="31" t="b">
        <x:v>1</x:v>
      </x:c>
      <x:c r="AF242" s="31" t="b">
        <x:v>0</x:v>
      </x:c>
      <x:c r="AG242" s="30"/>
      <x:c r="AH242" s="30"/>
      <x:c r="AI242" s="30"/>
      <x:c r="AJ242" s="31" t="b">
        <x:v>0</x:v>
      </x:c>
      <x:c r="AK242" s="31" t="b">
        <x:v>0</x:v>
      </x:c>
      <x:c r="AL242" s="30" t="str">
        <x:v>Verified — national register and exact BAG address</x:v>
      </x:c>
      <x:c r="AM242" s="30" t="str">
        <x:v>https://www.golf.nl/de-baan-op/banenzoeker/overzicht</x:v>
      </x:c>
      <x:c r="AN242" s="30" t="str">
        <x:v>2026-08-15</x:v>
      </x:c>
      <x:c r="AO242" s="30" t="str">
        <x:v>072 505 45 40</x:v>
      </x:c>
      <x:c r="AP242" s="30" t="str">
        <x:v>Current NGF/GOLF.NL listing: 9 holes, par 34, 2713 metres. Listed as qualifying.</x:v>
      </x:c>
    </x:row>
    <x:row r="243">
      <x:c r="A243" s="30" t="str">
        <x:v>NL-C0156</x:v>
      </x:c>
      <x:c r="B243" s="30" t="str">
        <x:v>NL-0242</x:v>
      </x:c>
      <x:c r="C243" s="30" t="str">
        <x:v>Golfbaan De Hoge Dijk/Olympus — Abcoudebaan</x:v>
      </x:c>
      <x:c r="D243" s="30" t="str">
        <x:v>Golfbaan De Hoge Dijk/Olympus</x:v>
      </x:c>
      <x:c r="E243" s="30" t="str">
        <x:v>Abcoudebaan</x:v>
      </x:c>
      <x:c r="F243" s="30" t="str">
        <x:v>Netherlands</x:v>
      </x:c>
      <x:c r="G243" s="30" t="str">
        <x:v>Noord-Holland</x:v>
      </x:c>
      <x:c r="H243" s="30" t="str">
        <x:v>Amsterdam</x:v>
      </x:c>
      <x:c r="I243" s="30" t="str">
        <x:v>Amsterdam</x:v>
      </x:c>
      <x:c r="J243" s="30" t="str">
        <x:v>Abcouderstraatweg 46</x:v>
      </x:c>
      <x:c r="K243" s="30" t="str">
        <x:v>1105 AA</x:v>
      </x:c>
      <x:c r="L243" s="32" t="n">
        <x:v>52.28710527</x:v>
      </x:c>
      <x:c r="M243" s="32" t="n">
        <x:v>4.95976214</x:v>
      </x:c>
      <x:c r="N243" s="30" t="str">
        <x:v>WGS84 / EPSG:4326</x:v>
      </x:c>
      <x:c r="O243" s="30" t="str">
        <x:v>Verified BAG address point via PDOK</x:v>
      </x:c>
      <x:c r="P243" s="30" t="str">
        <x:v>2026-08-15</x:v>
      </x:c>
      <x:c r="Q243" s="33" t="n">
        <x:f>IF(R243="","",ROUND(R243/0.9144,0))</x:f>
        <x:v>1962</x:v>
      </x:c>
      <x:c r="R243" s="33" t="n">
        <x:v>1794</x:v>
      </x:c>
      <x:c r="S243" s="33" t="n">
        <x:v>9</x:v>
      </x:c>
      <x:c r="T243" s="33" t="n">
        <x:v>31</x:v>
      </x:c>
      <x:c r="U243" s="30" t="str">
        <x:v>Par-3/4 course</x:v>
      </x:c>
      <x:c r="V243" s="30"/>
      <x:c r="W243" s="30"/>
      <x:c r="X243" s="30"/>
      <x:c r="Y243" s="30" t="str">
        <x:v>https://dehogedijk.nl/</x:v>
      </x:c>
      <x:c r="Z243" s="30" t="b">
        <x:f>IF(AND(F243="Netherlands",ISNUMBER(L243),ISNUMBER(M243),L243&gt;=50.7,L243&lt;=53.7,M243&gt;=3.2,M243&lt;=7.3,AC243&lt;&gt;"Closed"),TRUE,FALSE)</x:f>
        <x:v>1</x:v>
      </x:c>
      <x:c r="AA243" s="30" t="b">
        <x:f>Z243</x:f>
        <x:v>1</x:v>
      </x:c>
      <x:c r="AB243" s="30" t="str">
        <x:f>IF(Z243,"verified_coordinate_and_open","not_map_ready")</x:f>
        <x:v>verified_coordinate_and_open</x:v>
      </x:c>
      <x:c r="AC243" s="30" t="str">
        <x:v>Open</x:v>
      </x:c>
      <x:c r="AD243" s="30" t="str">
        <x:v>Public — NGF course permission</x:v>
      </x:c>
      <x:c r="AE243" s="31" t="b">
        <x:v>1</x:v>
      </x:c>
      <x:c r="AF243" s="31" t="b">
        <x:v>0</x:v>
      </x:c>
      <x:c r="AG243" s="30"/>
      <x:c r="AH243" s="30"/>
      <x:c r="AI243" s="30"/>
      <x:c r="AJ243" s="31" t="b">
        <x:v>0</x:v>
      </x:c>
      <x:c r="AK243" s="31" t="b">
        <x:v>0</x:v>
      </x:c>
      <x:c r="AL243" s="30" t="str">
        <x:v>Verified — national register and exact BAG address</x:v>
      </x:c>
      <x:c r="AM243" s="30" t="str">
        <x:v>https://www.golf.nl/de-baan-op/banenzoeker/overzicht</x:v>
      </x:c>
      <x:c r="AN243" s="30" t="str">
        <x:v>2026-08-15</x:v>
      </x:c>
      <x:c r="AO243" s="30" t="str">
        <x:v>+31 294-285373</x:v>
      </x:c>
      <x:c r="AP243" s="30" t="str">
        <x:v>Current NGF/GOLF.NL listing: 9 holes, par 31, 1794 metres. Listed as qualifying.</x:v>
      </x:c>
    </x:row>
    <x:row r="244">
      <x:c r="A244" s="30" t="str">
        <x:v>NL-C0156</x:v>
      </x:c>
      <x:c r="B244" s="30" t="str">
        <x:v>NL-0243</x:v>
      </x:c>
      <x:c r="C244" s="30" t="str">
        <x:v>Golfbaan De Hoge Dijk/Olympus — Bullewijkbaan</x:v>
      </x:c>
      <x:c r="D244" s="30" t="str">
        <x:v>Golfbaan De Hoge Dijk/Olympus</x:v>
      </x:c>
      <x:c r="E244" s="30" t="str">
        <x:v>Bullewijkbaan</x:v>
      </x:c>
      <x:c r="F244" s="30" t="str">
        <x:v>Netherlands</x:v>
      </x:c>
      <x:c r="G244" s="30" t="str">
        <x:v>Noord-Holland</x:v>
      </x:c>
      <x:c r="H244" s="30" t="str">
        <x:v>Amsterdam</x:v>
      </x:c>
      <x:c r="I244" s="30" t="str">
        <x:v>Amsterdam</x:v>
      </x:c>
      <x:c r="J244" s="30" t="str">
        <x:v>Abcouderstraatweg 46</x:v>
      </x:c>
      <x:c r="K244" s="30" t="str">
        <x:v>1105 AA</x:v>
      </x:c>
      <x:c r="L244" s="32" t="n">
        <x:v>52.28710527</x:v>
      </x:c>
      <x:c r="M244" s="32" t="n">
        <x:v>4.95976214</x:v>
      </x:c>
      <x:c r="N244" s="30" t="str">
        <x:v>WGS84 / EPSG:4326</x:v>
      </x:c>
      <x:c r="O244" s="30" t="str">
        <x:v>Verified BAG address point via PDOK</x:v>
      </x:c>
      <x:c r="P244" s="30" t="str">
        <x:v>2026-08-15</x:v>
      </x:c>
      <x:c r="Q244" s="33" t="n">
        <x:f>IF(R244="","",ROUND(R244/0.9144,0))</x:f>
        <x:v>3244</x:v>
      </x:c>
      <x:c r="R244" s="33" t="n">
        <x:v>2966</x:v>
      </x:c>
      <x:c r="S244" s="33" t="n">
        <x:v>9</x:v>
      </x:c>
      <x:c r="T244" s="33" t="n">
        <x:v>35</x:v>
      </x:c>
      <x:c r="U244" s="30" t="str">
        <x:v>Full-length course</x:v>
      </x:c>
      <x:c r="V244" s="30"/>
      <x:c r="W244" s="30"/>
      <x:c r="X244" s="30"/>
      <x:c r="Y244" s="30" t="str">
        <x:v>https://dehogedijk.nl/</x:v>
      </x:c>
      <x:c r="Z244" s="30" t="b">
        <x:f>IF(AND(F244="Netherlands",ISNUMBER(L244),ISNUMBER(M244),L244&gt;=50.7,L244&lt;=53.7,M244&gt;=3.2,M244&lt;=7.3,AC244&lt;&gt;"Closed"),TRUE,FALSE)</x:f>
        <x:v>1</x:v>
      </x:c>
      <x:c r="AA244" s="30" t="b">
        <x:f>Z244</x:f>
        <x:v>1</x:v>
      </x:c>
      <x:c r="AB244" s="30" t="str">
        <x:f>IF(Z244,"verified_coordinate_and_open","not_map_ready")</x:f>
        <x:v>verified_coordinate_and_open</x:v>
      </x:c>
      <x:c r="AC244" s="30" t="str">
        <x:v>Open</x:v>
      </x:c>
      <x:c r="AD244" s="30" t="str">
        <x:v>Public — handicap 54 or lower</x:v>
      </x:c>
      <x:c r="AE244" s="31" t="b">
        <x:v>1</x:v>
      </x:c>
      <x:c r="AF244" s="31" t="b">
        <x:v>0</x:v>
      </x:c>
      <x:c r="AG244" s="30"/>
      <x:c r="AH244" s="30"/>
      <x:c r="AI244" s="30"/>
      <x:c r="AJ244" s="31" t="b">
        <x:v>0</x:v>
      </x:c>
      <x:c r="AK244" s="31" t="b">
        <x:v>0</x:v>
      </x:c>
      <x:c r="AL244" s="30" t="str">
        <x:v>Verified — national register and exact BAG address</x:v>
      </x:c>
      <x:c r="AM244" s="30" t="str">
        <x:v>https://www.golf.nl/de-baan-op/banenzoeker/overzicht</x:v>
      </x:c>
      <x:c r="AN244" s="30" t="str">
        <x:v>2026-08-15</x:v>
      </x:c>
      <x:c r="AO244" s="30" t="str">
        <x:v>+31 294-285373</x:v>
      </x:c>
      <x:c r="AP244" s="30" t="str">
        <x:v>Current NGF/GOLF.NL listing: 9 holes, par 35, 2966 metres. Listed as qualifying.</x:v>
      </x:c>
    </x:row>
    <x:row r="245">
      <x:c r="A245" s="30" t="str">
        <x:v>NL-C0156</x:v>
      </x:c>
      <x:c r="B245" s="30" t="str">
        <x:v>NL-0244</x:v>
      </x:c>
      <x:c r="C245" s="30" t="str">
        <x:v>Golfbaan De Hoge Dijk/Olympus — Holendrechtbaan</x:v>
      </x:c>
      <x:c r="D245" s="30" t="str">
        <x:v>Golfbaan De Hoge Dijk/Olympus</x:v>
      </x:c>
      <x:c r="E245" s="30" t="str">
        <x:v>Holendrechtbaan</x:v>
      </x:c>
      <x:c r="F245" s="30" t="str">
        <x:v>Netherlands</x:v>
      </x:c>
      <x:c r="G245" s="30" t="str">
        <x:v>Noord-Holland</x:v>
      </x:c>
      <x:c r="H245" s="30" t="str">
        <x:v>Amsterdam</x:v>
      </x:c>
      <x:c r="I245" s="30" t="str">
        <x:v>Amsterdam</x:v>
      </x:c>
      <x:c r="J245" s="30" t="str">
        <x:v>Abcouderstraatweg 46</x:v>
      </x:c>
      <x:c r="K245" s="30" t="str">
        <x:v>1105 AA</x:v>
      </x:c>
      <x:c r="L245" s="32" t="n">
        <x:v>52.28710527</x:v>
      </x:c>
      <x:c r="M245" s="32" t="n">
        <x:v>4.95976214</x:v>
      </x:c>
      <x:c r="N245" s="30" t="str">
        <x:v>WGS84 / EPSG:4326</x:v>
      </x:c>
      <x:c r="O245" s="30" t="str">
        <x:v>Verified BAG address point via PDOK</x:v>
      </x:c>
      <x:c r="P245" s="30" t="str">
        <x:v>2026-08-15</x:v>
      </x:c>
      <x:c r="Q245" s="33" t="n">
        <x:f>IF(R245="","",ROUND(R245/0.9144,0))</x:f>
        <x:v>3318</x:v>
      </x:c>
      <x:c r="R245" s="33" t="n">
        <x:v>3034</x:v>
      </x:c>
      <x:c r="S245" s="33" t="n">
        <x:v>9</x:v>
      </x:c>
      <x:c r="T245" s="33" t="n">
        <x:v>36</x:v>
      </x:c>
      <x:c r="U245" s="30" t="str">
        <x:v>Full-length course</x:v>
      </x:c>
      <x:c r="V245" s="30"/>
      <x:c r="W245" s="30"/>
      <x:c r="X245" s="30"/>
      <x:c r="Y245" s="30" t="str">
        <x:v>https://dehogedijk.nl/</x:v>
      </x:c>
      <x:c r="Z245" s="30" t="b">
        <x:f>IF(AND(F245="Netherlands",ISNUMBER(L245),ISNUMBER(M245),L245&gt;=50.7,L245&lt;=53.7,M245&gt;=3.2,M245&lt;=7.3,AC245&lt;&gt;"Closed"),TRUE,FALSE)</x:f>
        <x:v>1</x:v>
      </x:c>
      <x:c r="AA245" s="30" t="b">
        <x:f>Z245</x:f>
        <x:v>1</x:v>
      </x:c>
      <x:c r="AB245" s="30" t="str">
        <x:f>IF(Z245,"verified_coordinate_and_open","not_map_ready")</x:f>
        <x:v>verified_coordinate_and_open</x:v>
      </x:c>
      <x:c r="AC245" s="30" t="str">
        <x:v>Open</x:v>
      </x:c>
      <x:c r="AD245" s="30" t="str">
        <x:v>Public — handicap 54 or lower</x:v>
      </x:c>
      <x:c r="AE245" s="31" t="b">
        <x:v>1</x:v>
      </x:c>
      <x:c r="AF245" s="31" t="b">
        <x:v>0</x:v>
      </x:c>
      <x:c r="AG245" s="30"/>
      <x:c r="AH245" s="30"/>
      <x:c r="AI245" s="30"/>
      <x:c r="AJ245" s="31" t="b">
        <x:v>0</x:v>
      </x:c>
      <x:c r="AK245" s="31" t="b">
        <x:v>0</x:v>
      </x:c>
      <x:c r="AL245" s="30" t="str">
        <x:v>Verified — national register and exact BAG address</x:v>
      </x:c>
      <x:c r="AM245" s="30" t="str">
        <x:v>https://www.golf.nl/de-baan-op/banenzoeker/overzicht</x:v>
      </x:c>
      <x:c r="AN245" s="30" t="str">
        <x:v>2026-08-15</x:v>
      </x:c>
      <x:c r="AO245" s="30" t="str">
        <x:v>+31 294-285373</x:v>
      </x:c>
      <x:c r="AP245" s="30" t="str">
        <x:v>Current NGF/GOLF.NL listing: 9 holes, par 36, 3034 metres. Listed as qualifying.</x:v>
      </x:c>
    </x:row>
    <x:row r="246">
      <x:c r="A246" s="30" t="str">
        <x:v>NL-C0157</x:v>
      </x:c>
      <x:c r="B246" s="30" t="str">
        <x:v>NL-0245</x:v>
      </x:c>
      <x:c r="C246" s="30" t="str">
        <x:v>Golfbaan De Texelse — Main Course</x:v>
      </x:c>
      <x:c r="D246" s="30" t="str">
        <x:v>Golfbaan De Texelse</x:v>
      </x:c>
      <x:c r="E246" s="30" t="str">
        <x:v>Main Course</x:v>
      </x:c>
      <x:c r="F246" s="30" t="str">
        <x:v>Netherlands</x:v>
      </x:c>
      <x:c r="G246" s="30" t="str">
        <x:v>Noord-Holland</x:v>
      </x:c>
      <x:c r="H246" s="30" t="str">
        <x:v>Texel</x:v>
      </x:c>
      <x:c r="I246" s="30" t="str">
        <x:v>De Cocksdorp</x:v>
      </x:c>
      <x:c r="J246" s="30" t="str">
        <x:v>Roggeslootweg 3</x:v>
      </x:c>
      <x:c r="K246" s="30" t="str">
        <x:v>1795 JX</x:v>
      </x:c>
      <x:c r="L246" s="32" t="n">
        <x:v>53.1468301</x:v>
      </x:c>
      <x:c r="M246" s="32" t="n">
        <x:v>4.85431681</x:v>
      </x:c>
      <x:c r="N246" s="30" t="str">
        <x:v>WGS84 / EPSG:4326</x:v>
      </x:c>
      <x:c r="O246" s="30" t="str">
        <x:v>Verified BAG address point via PDOK</x:v>
      </x:c>
      <x:c r="P246" s="30" t="str">
        <x:v>2026-08-15</x:v>
      </x:c>
      <x:c r="Q246" s="33" t="n">
        <x:f>IF(R246="","",ROUND(R246/0.9144,0))</x:f>
        <x:v>6570</x:v>
      </x:c>
      <x:c r="R246" s="33" t="n">
        <x:v>6008</x:v>
      </x:c>
      <x:c r="S246" s="33" t="n">
        <x:v>18</x:v>
      </x:c>
      <x:c r="T246" s="33" t="n">
        <x:v>72</x:v>
      </x:c>
      <x:c r="U246" s="30" t="str">
        <x:v>Full-length course</x:v>
      </x:c>
      <x:c r="V246" s="30"/>
      <x:c r="W246" s="30"/>
      <x:c r="X246" s="30"/>
      <x:c r="Y246" s="30" t="str">
        <x:v>https://texelse.nl/</x:v>
      </x:c>
      <x:c r="Z246" s="30" t="b">
        <x:f>IF(AND(F246="Netherlands",ISNUMBER(L246),ISNUMBER(M246),L246&gt;=50.7,L246&lt;=53.7,M246&gt;=3.2,M246&lt;=7.3,AC246&lt;&gt;"Closed"),TRUE,FALSE)</x:f>
        <x:v>1</x:v>
      </x:c>
      <x:c r="AA246" s="30" t="b">
        <x:f>Z246</x:f>
        <x:v>1</x:v>
      </x:c>
      <x:c r="AB246" s="30" t="str">
        <x:f>IF(Z246,"verified_coordinate_and_open","not_map_ready")</x:f>
        <x:v>verified_coordinate_and_open</x:v>
      </x:c>
      <x:c r="AC246" s="30" t="str">
        <x:v>Open</x:v>
      </x:c>
      <x:c r="AD246" s="30" t="str">
        <x:v>Public — handicap 54 or lower</x:v>
      </x:c>
      <x:c r="AE246" s="31" t="b">
        <x:v>1</x:v>
      </x:c>
      <x:c r="AF246" s="31" t="b">
        <x:v>0</x:v>
      </x:c>
      <x:c r="AG246" s="30"/>
      <x:c r="AH246" s="30"/>
      <x:c r="AI246" s="30"/>
      <x:c r="AJ246" s="31" t="b">
        <x:v>0</x:v>
      </x:c>
      <x:c r="AK246" s="31" t="b">
        <x:v>0</x:v>
      </x:c>
      <x:c r="AL246" s="30" t="str">
        <x:v>Verified — national register and exact BAG address</x:v>
      </x:c>
      <x:c r="AM246" s="30" t="str">
        <x:v>https://www.golf.nl/de-baan-op/banenzoeker/overzicht</x:v>
      </x:c>
      <x:c r="AN246" s="30" t="str">
        <x:v>2026-08-15</x:v>
      </x:c>
      <x:c r="AO246" s="30" t="str">
        <x:v>+31 222-316539</x:v>
      </x:c>
      <x:c r="AP246" s="30" t="str">
        <x:v>Current NGF/GOLF.NL listing: 18 holes, par 72, 6008 metres. Combined from exact NGF-listed constituent nine-hole loops: 1ste negen (9 holes, par 36, 2945 m); 2de negen (9 holes, par 36, 3063 m) Listed as qualifying.</x:v>
      </x:c>
    </x:row>
    <x:row r="247">
      <x:c r="A247" s="30" t="str">
        <x:v>NL-C0157</x:v>
      </x:c>
      <x:c r="B247" s="30" t="str">
        <x:v>NL-0246</x:v>
      </x:c>
      <x:c r="C247" s="30" t="str">
        <x:v>Golfbaan De Texelse — Par-3 Course</x:v>
      </x:c>
      <x:c r="D247" s="30" t="str">
        <x:v>Golfbaan De Texelse</x:v>
      </x:c>
      <x:c r="E247" s="30" t="str">
        <x:v>Par-3 Course</x:v>
      </x:c>
      <x:c r="F247" s="30" t="str">
        <x:v>Netherlands</x:v>
      </x:c>
      <x:c r="G247" s="30" t="str">
        <x:v>Noord-Holland</x:v>
      </x:c>
      <x:c r="H247" s="30" t="str">
        <x:v>Texel</x:v>
      </x:c>
      <x:c r="I247" s="30" t="str">
        <x:v>De Cocksdorp</x:v>
      </x:c>
      <x:c r="J247" s="30" t="str">
        <x:v>Roggeslootweg 3</x:v>
      </x:c>
      <x:c r="K247" s="30" t="str">
        <x:v>1795 JX</x:v>
      </x:c>
      <x:c r="L247" s="32" t="n">
        <x:v>53.1468301</x:v>
      </x:c>
      <x:c r="M247" s="32" t="n">
        <x:v>4.85431681</x:v>
      </x:c>
      <x:c r="N247" s="30" t="str">
        <x:v>WGS84 / EPSG:4326</x:v>
      </x:c>
      <x:c r="O247" s="30" t="str">
        <x:v>Verified BAG address point via PDOK</x:v>
      </x:c>
      <x:c r="P247" s="30" t="str">
        <x:v>2026-08-15</x:v>
      </x:c>
      <x:c r="Q247" s="33" t="n">
        <x:f>IF(R247="","",ROUND(R247/0.9144,0))</x:f>
        <x:v>734</x:v>
      </x:c>
      <x:c r="R247" s="33" t="n">
        <x:v>671</x:v>
      </x:c>
      <x:c r="S247" s="33" t="n">
        <x:v>9</x:v>
      </x:c>
      <x:c r="T247" s="33" t="n">
        <x:v>27</x:v>
      </x:c>
      <x:c r="U247" s="30" t="str">
        <x:v>Par-3 course</x:v>
      </x:c>
      <x:c r="V247" s="30"/>
      <x:c r="W247" s="30"/>
      <x:c r="X247" s="30"/>
      <x:c r="Y247" s="30" t="str">
        <x:v>https://texelse.nl/</x:v>
      </x:c>
      <x:c r="Z247" s="30" t="b">
        <x:f>IF(AND(F247="Netherlands",ISNUMBER(L247),ISNUMBER(M247),L247&gt;=50.7,L247&lt;=53.7,M247&gt;=3.2,M247&lt;=7.3,AC247&lt;&gt;"Closed"),TRUE,FALSE)</x:f>
        <x:v>1</x:v>
      </x:c>
      <x:c r="AA247" s="30" t="b">
        <x:f>Z247</x:f>
        <x:v>1</x:v>
      </x:c>
      <x:c r="AB247" s="30" t="str">
        <x:f>IF(Z247,"verified_coordinate_and_open","not_map_ready")</x:f>
        <x:v>verified_coordinate_and_open</x:v>
      </x:c>
      <x:c r="AC247" s="30" t="str">
        <x:v>Open</x:v>
      </x:c>
      <x:c r="AD247" s="30" t="str">
        <x:v>Public — no playing requirement</x:v>
      </x:c>
      <x:c r="AE247" s="31" t="b">
        <x:v>1</x:v>
      </x:c>
      <x:c r="AF247" s="31" t="b">
        <x:v>0</x:v>
      </x:c>
      <x:c r="AG247" s="30"/>
      <x:c r="AH247" s="30"/>
      <x:c r="AI247" s="30"/>
      <x:c r="AJ247" s="31" t="b">
        <x:v>0</x:v>
      </x:c>
      <x:c r="AK247" s="31" t="b">
        <x:v>0</x:v>
      </x:c>
      <x:c r="AL247" s="30" t="str">
        <x:v>Verified — national register and exact BAG address</x:v>
      </x:c>
      <x:c r="AM247" s="30" t="str">
        <x:v>https://www.golf.nl/de-baan-op/banenzoeker/overzicht</x:v>
      </x:c>
      <x:c r="AN247" s="30" t="str">
        <x:v>2026-08-15</x:v>
      </x:c>
      <x:c r="AO247" s="30" t="str">
        <x:v>+31 222-316539</x:v>
      </x:c>
      <x:c r="AP247" s="30" t="str">
        <x:v>Current NGF/GOLF.NL listing: 9 holes, par 27, 671 metres. Listed as qualifying.</x:v>
      </x:c>
    </x:row>
    <x:row r="248">
      <x:c r="A248" s="30" t="str">
        <x:v>NL-C0158</x:v>
      </x:c>
      <x:c r="B248" s="30" t="str">
        <x:v>NL-0247</x:v>
      </x:c>
      <x:c r="C248" s="30" t="str">
        <x:v>Golfbaan De Vlietlanden — Main Course</x:v>
      </x:c>
      <x:c r="D248" s="30" t="str">
        <x:v>Golfbaan De Vlietlanden</x:v>
      </x:c>
      <x:c r="E248" s="30" t="str">
        <x:v>Main Course</x:v>
      </x:c>
      <x:c r="F248" s="30" t="str">
        <x:v>Netherlands</x:v>
      </x:c>
      <x:c r="G248" s="30" t="str">
        <x:v>Noord-Holland</x:v>
      </x:c>
      <x:c r="H248" s="30" t="str">
        <x:v>Medemblik</x:v>
      </x:c>
      <x:c r="I248" s="30" t="str">
        <x:v>Wervershoof</x:v>
      </x:c>
      <x:c r="J248" s="30" t="str">
        <x:v>Grutteweide 31</x:v>
      </x:c>
      <x:c r="K248" s="30" t="str">
        <x:v>1693 HR</x:v>
      </x:c>
      <x:c r="L248" s="32" t="n">
        <x:v>52.74673767</x:v>
      </x:c>
      <x:c r="M248" s="32" t="n">
        <x:v>5.10874093</x:v>
      </x:c>
      <x:c r="N248" s="30" t="str">
        <x:v>WGS84 / EPSG:4326</x:v>
      </x:c>
      <x:c r="O248" s="30" t="str">
        <x:v>Verified BAG address point via PDOK</x:v>
      </x:c>
      <x:c r="P248" s="30" t="str">
        <x:v>2026-08-15</x:v>
      </x:c>
      <x:c r="Q248" s="33" t="n">
        <x:f>IF(R248="","",ROUND(R248/0.9144,0))</x:f>
        <x:v>3333</x:v>
      </x:c>
      <x:c r="R248" s="33" t="n">
        <x:v>3048</x:v>
      </x:c>
      <x:c r="S248" s="33" t="n">
        <x:v>18</x:v>
      </x:c>
      <x:c r="T248" s="33" t="n">
        <x:v>60</x:v>
      </x:c>
      <x:c r="U248" s="30" t="str">
        <x:v>Full-length course</x:v>
      </x:c>
      <x:c r="V248" s="30"/>
      <x:c r="W248" s="30"/>
      <x:c r="X248" s="30"/>
      <x:c r="Y248" s="30" t="str">
        <x:v>https://golfbaandevlietlanden.nl/</x:v>
      </x:c>
      <x:c r="Z248" s="30" t="b">
        <x:f>IF(AND(F248="Netherlands",ISNUMBER(L248),ISNUMBER(M248),L248&gt;=50.7,L248&lt;=53.7,M248&gt;=3.2,M248&lt;=7.3,AC248&lt;&gt;"Closed"),TRUE,FALSE)</x:f>
        <x:v>1</x:v>
      </x:c>
      <x:c r="AA248" s="30" t="b">
        <x:f>Z248</x:f>
        <x:v>1</x:v>
      </x:c>
      <x:c r="AB248" s="30" t="str">
        <x:f>IF(Z248,"verified_coordinate_and_open","not_map_ready")</x:f>
        <x:v>verified_coordinate_and_open</x:v>
      </x:c>
      <x:c r="AC248" s="30" t="str">
        <x:v>Open</x:v>
      </x:c>
      <x:c r="AD248" s="30" t="str">
        <x:v>Public — no playing requirement</x:v>
      </x:c>
      <x:c r="AE248" s="31" t="b">
        <x:v>1</x:v>
      </x:c>
      <x:c r="AF248" s="31" t="b">
        <x:v>0</x:v>
      </x:c>
      <x:c r="AG248" s="30"/>
      <x:c r="AH248" s="30"/>
      <x:c r="AI248" s="30"/>
      <x:c r="AJ248" s="31" t="b">
        <x:v>0</x:v>
      </x:c>
      <x:c r="AK248" s="31" t="b">
        <x:v>0</x:v>
      </x:c>
      <x:c r="AL248" s="30" t="str">
        <x:v>Verified — national register and exact BAG address</x:v>
      </x:c>
      <x:c r="AM248" s="30" t="str">
        <x:v>https://www.golf.nl/de-baan-op/banenzoeker/overzicht</x:v>
      </x:c>
      <x:c r="AN248" s="30" t="str">
        <x:v>2026-08-15</x:v>
      </x:c>
      <x:c r="AO248" s="30" t="str">
        <x:v>+31 6-53851697</x:v>
      </x:c>
      <x:c r="AP248" s="30" t="str">
        <x:v>Current NGF/GOLF.NL listing: 18 holes, par 60, 3048 metres. Combined from exact NGF-listed constituent nine-hole loops: 1ste negen (9 holes, par 30, 1503 m); 2de negen (9 holes, par 30, 1545 m) Listed as qualifying.</x:v>
      </x:c>
    </x:row>
    <x:row r="249">
      <x:c r="A249" s="30" t="str">
        <x:v>NL-C0159</x:v>
      </x:c>
      <x:c r="B249" s="30" t="str">
        <x:v>NL-0248</x:v>
      </x:c>
      <x:c r="C249" s="30" t="str">
        <x:v>Golfbaan Dirkshorn — Main Course</x:v>
      </x:c>
      <x:c r="D249" s="30" t="str">
        <x:v>Golfbaan Dirkshorn</x:v>
      </x:c>
      <x:c r="E249" s="30" t="str">
        <x:v>Main Course</x:v>
      </x:c>
      <x:c r="F249" s="30" t="str">
        <x:v>Netherlands</x:v>
      </x:c>
      <x:c r="G249" s="30" t="str">
        <x:v>Noord-Holland</x:v>
      </x:c>
      <x:c r="H249" s="30" t="str">
        <x:v>Schagen</x:v>
      </x:c>
      <x:c r="I249" s="30" t="str">
        <x:v>Dirkshorn</x:v>
      </x:c>
      <x:c r="J249" s="30" t="str">
        <x:v>Groenvelderweg 3</x:v>
      </x:c>
      <x:c r="K249" s="30" t="str">
        <x:v>1746 EE</x:v>
      </x:c>
      <x:c r="L249" s="32" t="n">
        <x:v>52.7560698</x:v>
      </x:c>
      <x:c r="M249" s="32" t="n">
        <x:v>4.7869704</x:v>
      </x:c>
      <x:c r="N249" s="30" t="str">
        <x:v>WGS84 / EPSG:4326</x:v>
      </x:c>
      <x:c r="O249" s="30" t="str">
        <x:v>Verified BAG address point via PDOK</x:v>
      </x:c>
      <x:c r="P249" s="30" t="str">
        <x:v>2026-08-15</x:v>
      </x:c>
      <x:c r="Q249" s="33" t="n">
        <x:f>IF(R249="","",ROUND(R249/0.9144,0))</x:f>
        <x:v>6808</x:v>
      </x:c>
      <x:c r="R249" s="33" t="n">
        <x:v>6225</x:v>
      </x:c>
      <x:c r="S249" s="33" t="n">
        <x:v>18</x:v>
      </x:c>
      <x:c r="T249" s="33" t="n">
        <x:v>72</x:v>
      </x:c>
      <x:c r="U249" s="30" t="str">
        <x:v>Full-length course</x:v>
      </x:c>
      <x:c r="V249" s="30"/>
      <x:c r="W249" s="30"/>
      <x:c r="X249" s="30"/>
      <x:c r="Y249" s="30" t="str">
        <x:v>https://golfbaandirkshorn.nl/</x:v>
      </x:c>
      <x:c r="Z249" s="30" t="b">
        <x:f>IF(AND(F249="Netherlands",ISNUMBER(L249),ISNUMBER(M249),L249&gt;=50.7,L249&lt;=53.7,M249&gt;=3.2,M249&lt;=7.3,AC249&lt;&gt;"Closed"),TRUE,FALSE)</x:f>
        <x:v>1</x:v>
      </x:c>
      <x:c r="AA249" s="30" t="b">
        <x:f>Z249</x:f>
        <x:v>1</x:v>
      </x:c>
      <x:c r="AB249" s="30" t="str">
        <x:f>IF(Z249,"verified_coordinate_and_open","not_map_ready")</x:f>
        <x:v>verified_coordinate_and_open</x:v>
      </x:c>
      <x:c r="AC249" s="30" t="str">
        <x:v>Open</x:v>
      </x:c>
      <x:c r="AD249" s="30" t="str">
        <x:v>Public — handicap 54 or lower</x:v>
      </x:c>
      <x:c r="AE249" s="31" t="b">
        <x:v>1</x:v>
      </x:c>
      <x:c r="AF249" s="31" t="b">
        <x:v>0</x:v>
      </x:c>
      <x:c r="AG249" s="30"/>
      <x:c r="AH249" s="30"/>
      <x:c r="AI249" s="30"/>
      <x:c r="AJ249" s="31" t="b">
        <x:v>0</x:v>
      </x:c>
      <x:c r="AK249" s="31" t="b">
        <x:v>0</x:v>
      </x:c>
      <x:c r="AL249" s="30" t="str">
        <x:v>Verified — national register and exact BAG address</x:v>
      </x:c>
      <x:c r="AM249" s="30" t="str">
        <x:v>https://www.golf.nl/de-baan-op/banenzoeker/overzicht</x:v>
      </x:c>
      <x:c r="AN249" s="30" t="str">
        <x:v>2026-08-15</x:v>
      </x:c>
      <x:c r="AO249" s="30" t="str">
        <x:v>+31 224-274050</x:v>
      </x:c>
      <x:c r="AP249" s="30" t="str">
        <x:v>Current NGF/GOLF.NL listing: 18 holes, par 72, 6225 metres. Combined from exact NGF-listed constituent nine-hole loops: 1ste negen (9 holes, par 36, 3108 m); 2de negen (9 holes, par 36, 3117 m) Listed as qualifying.</x:v>
      </x:c>
    </x:row>
    <x:row r="250">
      <x:c r="A250" s="30" t="str">
        <x:v>NL-C0160</x:v>
      </x:c>
      <x:c r="B250" s="30" t="str">
        <x:v>NL-0249</x:v>
      </x:c>
      <x:c r="C250" s="30" t="str">
        <x:v>Golfbaan Kavel 2 Beemster</x:v>
      </x:c>
      <x:c r="D250" s="30" t="str">
        <x:v>Golfbaan Kavel 2 Beemster</x:v>
      </x:c>
      <x:c r="E250" s="30" t="str">
        <x:v>Course</x:v>
      </x:c>
      <x:c r="F250" s="30" t="str">
        <x:v>Netherlands</x:v>
      </x:c>
      <x:c r="G250" s="30" t="str">
        <x:v>Noord-Holland</x:v>
      </x:c>
      <x:c r="H250" s="30" t="str">
        <x:v>Purmerend</x:v>
      </x:c>
      <x:c r="I250" s="30" t="str">
        <x:v>Middenbeemster</x:v>
      </x:c>
      <x:c r="J250" s="30" t="str">
        <x:v>Volgerweg 42</x:v>
      </x:c>
      <x:c r="K250" s="30" t="str">
        <x:v>1462 HR</x:v>
      </x:c>
      <x:c r="L250" s="32" t="n">
        <x:v>52.52756907</x:v>
      </x:c>
      <x:c r="M250" s="32" t="n">
        <x:v>4.92256679</x:v>
      </x:c>
      <x:c r="N250" s="30" t="str">
        <x:v>WGS84 / EPSG:4326</x:v>
      </x:c>
      <x:c r="O250" s="30" t="str">
        <x:v>Verified BAG address point via PDOK</x:v>
      </x:c>
      <x:c r="P250" s="30" t="str">
        <x:v>2026-08-15</x:v>
      </x:c>
      <x:c r="Q250" s="33" t="n">
        <x:f>IF(R250="","",ROUND(R250/0.9144,0))</x:f>
        <x:v>2304</x:v>
      </x:c>
      <x:c r="R250" s="33" t="n">
        <x:v>2107</x:v>
      </x:c>
      <x:c r="S250" s="33" t="n">
        <x:v>9</x:v>
      </x:c>
      <x:c r="T250" s="33" t="n">
        <x:v>32</x:v>
      </x:c>
      <x:c r="U250" s="30" t="str">
        <x:v>Par-3/4 course</x:v>
      </x:c>
      <x:c r="V250" s="30"/>
      <x:c r="W250" s="30"/>
      <x:c r="X250" s="30"/>
      <x:c r="Y250" s="30" t="str">
        <x:v>https://kavel2.nl/</x:v>
      </x:c>
      <x:c r="Z250" s="30" t="b">
        <x:f>IF(AND(F250="Netherlands",ISNUMBER(L250),ISNUMBER(M250),L250&gt;=50.7,L250&lt;=53.7,M250&gt;=3.2,M250&lt;=7.3,AC250&lt;&gt;"Closed"),TRUE,FALSE)</x:f>
        <x:v>1</x:v>
      </x:c>
      <x:c r="AA250" s="30" t="b">
        <x:f>Z250</x:f>
        <x:v>1</x:v>
      </x:c>
      <x:c r="AB250" s="30" t="str">
        <x:f>IF(Z250,"verified_coordinate_and_open","not_map_ready")</x:f>
        <x:v>verified_coordinate_and_open</x:v>
      </x:c>
      <x:c r="AC250" s="30" t="str">
        <x:v>Open</x:v>
      </x:c>
      <x:c r="AD250" s="30" t="str">
        <x:v>Public — NGF course permission</x:v>
      </x:c>
      <x:c r="AE250" s="31" t="b">
        <x:v>1</x:v>
      </x:c>
      <x:c r="AF250" s="31" t="b">
        <x:v>0</x:v>
      </x:c>
      <x:c r="AG250" s="30"/>
      <x:c r="AH250" s="30"/>
      <x:c r="AI250" s="30"/>
      <x:c r="AJ250" s="31" t="b">
        <x:v>0</x:v>
      </x:c>
      <x:c r="AK250" s="31" t="b">
        <x:v>0</x:v>
      </x:c>
      <x:c r="AL250" s="30" t="str">
        <x:v>Verified — national register and exact BAG address</x:v>
      </x:c>
      <x:c r="AM250" s="30" t="str">
        <x:v>https://www.golf.nl/de-baan-op/banenzoeker/overzicht</x:v>
      </x:c>
      <x:c r="AN250" s="30" t="str">
        <x:v>2026-08-15</x:v>
      </x:c>
      <x:c r="AO250" s="30" t="str">
        <x:v>+31 299-416665</x:v>
      </x:c>
      <x:c r="AP250" s="30" t="str">
        <x:v>Current NGF/GOLF.NL listing: 9 holes, par 32, 2107 metres. Listed as qualifying.</x:v>
      </x:c>
    </x:row>
    <x:row r="251">
      <x:c r="A251" s="30" t="str">
        <x:v>NL-C0161</x:v>
      </x:c>
      <x:c r="B251" s="30" t="str">
        <x:v>NL-0250</x:v>
      </x:c>
      <x:c r="C251" s="30" t="str">
        <x:v>Golfbaan Molenslag</x:v>
      </x:c>
      <x:c r="D251" s="30" t="str">
        <x:v>Golfbaan Molenslag</x:v>
      </x:c>
      <x:c r="E251" s="30" t="str">
        <x:v>Course</x:v>
      </x:c>
      <x:c r="F251" s="30" t="str">
        <x:v>Netherlands</x:v>
      </x:c>
      <x:c r="G251" s="30" t="str">
        <x:v>Noord-Holland</x:v>
      </x:c>
      <x:c r="H251" s="30" t="str">
        <x:v>Hollands Kroon</x:v>
      </x:c>
      <x:c r="I251" s="30" t="str">
        <x:v>Barsingerhorn</x:v>
      </x:c>
      <x:c r="J251" s="30" t="str">
        <x:v>Heerenweg 75</x:v>
      </x:c>
      <x:c r="K251" s="30" t="str">
        <x:v>1768 BL</x:v>
      </x:c>
      <x:c r="L251" s="32" t="n">
        <x:v>52.78695516</x:v>
      </x:c>
      <x:c r="M251" s="32" t="n">
        <x:v>4.8692952</x:v>
      </x:c>
      <x:c r="N251" s="30" t="str">
        <x:v>WGS84 / EPSG:4326</x:v>
      </x:c>
      <x:c r="O251" s="30" t="str">
        <x:v>Verified BAG address point via PDOK</x:v>
      </x:c>
      <x:c r="P251" s="30" t="str">
        <x:v>2026-08-15</x:v>
      </x:c>
      <x:c r="Q251" s="33" t="n">
        <x:f>IF(R251="","",ROUND(R251/0.9144,0))</x:f>
        <x:v>1566</x:v>
      </x:c>
      <x:c r="R251" s="33" t="n">
        <x:v>1432</x:v>
      </x:c>
      <x:c r="S251" s="33" t="n">
        <x:v>9</x:v>
      </x:c>
      <x:c r="T251" s="33" t="n">
        <x:v>30</x:v>
      </x:c>
      <x:c r="U251" s="30" t="str">
        <x:v>Par-3/4 course</x:v>
      </x:c>
      <x:c r="V251" s="30"/>
      <x:c r="W251" s="30"/>
      <x:c r="X251" s="30"/>
      <x:c r="Y251" s="30" t="str">
        <x:v>https://www.molenslag.nl/</x:v>
      </x:c>
      <x:c r="Z251" s="30" t="b">
        <x:f>IF(AND(F251="Netherlands",ISNUMBER(L251),ISNUMBER(M251),L251&gt;=50.7,L251&lt;=53.7,M251&gt;=3.2,M251&lt;=7.3,AC251&lt;&gt;"Closed"),TRUE,FALSE)</x:f>
        <x:v>1</x:v>
      </x:c>
      <x:c r="AA251" s="30" t="b">
        <x:f>Z251</x:f>
        <x:v>1</x:v>
      </x:c>
      <x:c r="AB251" s="30" t="str">
        <x:f>IF(Z251,"verified_coordinate_and_open","not_map_ready")</x:f>
        <x:v>verified_coordinate_and_open</x:v>
      </x:c>
      <x:c r="AC251" s="30" t="str">
        <x:v>Open</x:v>
      </x:c>
      <x:c r="AD251" s="30" t="str">
        <x:v>Public — no playing requirement</x:v>
      </x:c>
      <x:c r="AE251" s="31" t="b">
        <x:v>1</x:v>
      </x:c>
      <x:c r="AF251" s="31" t="b">
        <x:v>0</x:v>
      </x:c>
      <x:c r="AG251" s="30"/>
      <x:c r="AH251" s="30"/>
      <x:c r="AI251" s="30"/>
      <x:c r="AJ251" s="31" t="b">
        <x:v>0</x:v>
      </x:c>
      <x:c r="AK251" s="31" t="b">
        <x:v>0</x:v>
      </x:c>
      <x:c r="AL251" s="30" t="str">
        <x:v>Verified — national register and exact BAG address</x:v>
      </x:c>
      <x:c r="AM251" s="30" t="str">
        <x:v>https://www.golf.nl/de-baan-op/banenzoeker/overzicht</x:v>
      </x:c>
      <x:c r="AN251" s="30" t="str">
        <x:v>2026-08-15</x:v>
      </x:c>
      <x:c r="AO251" s="30" t="str">
        <x:v>+31 6-22111723</x:v>
      </x:c>
      <x:c r="AP251" s="30" t="str">
        <x:v>Current NGF/GOLF.NL listing: 9 holes, par 30, 1432 metres. Listed as qualifying.</x:v>
      </x:c>
    </x:row>
    <x:row r="252">
      <x:c r="A252" s="30" t="str">
        <x:v>NL-C0162</x:v>
      </x:c>
      <x:c r="B252" s="30" t="str">
        <x:v>NL-0251</x:v>
      </x:c>
      <x:c r="C252" s="30" t="str">
        <x:v>Golfbaan Spaarnwoude — A</x:v>
      </x:c>
      <x:c r="D252" s="30" t="str">
        <x:v>Golfbaan Spaarnwoude</x:v>
      </x:c>
      <x:c r="E252" s="30" t="str">
        <x:v>A</x:v>
      </x:c>
      <x:c r="F252" s="30" t="str">
        <x:v>Netherlands</x:v>
      </x:c>
      <x:c r="G252" s="30" t="str">
        <x:v>Noord-Holland</x:v>
      </x:c>
      <x:c r="H252" s="30" t="str">
        <x:v>Velsen</x:v>
      </x:c>
      <x:c r="I252" s="30" t="str">
        <x:v>Velsen-Zuid</x:v>
      </x:c>
      <x:c r="J252" s="30" t="str">
        <x:v>Het Hoge Land 2</x:v>
      </x:c>
      <x:c r="K252" s="30" t="str">
        <x:v>1981 LT</x:v>
      </x:c>
      <x:c r="L252" s="32" t="n">
        <x:v>52.43091591</x:v>
      </x:c>
      <x:c r="M252" s="32" t="n">
        <x:v>4.69899915</x:v>
      </x:c>
      <x:c r="N252" s="30" t="str">
        <x:v>WGS84 / EPSG:4326</x:v>
      </x:c>
      <x:c r="O252" s="30" t="str">
        <x:v>Verified BAG address point via PDOK</x:v>
      </x:c>
      <x:c r="P252" s="30" t="str">
        <x:v>2026-08-15</x:v>
      </x:c>
      <x:c r="Q252" s="33" t="n">
        <x:f>IF(R252="","",ROUND(R252/0.9144,0))</x:f>
        <x:v>1759</x:v>
      </x:c>
      <x:c r="R252" s="33" t="n">
        <x:v>1608</x:v>
      </x:c>
      <x:c r="S252" s="33" t="n">
        <x:v>9</x:v>
      </x:c>
      <x:c r="T252" s="33" t="n">
        <x:v>29</x:v>
      </x:c>
      <x:c r="U252" s="30" t="str">
        <x:v>Par-3/4 course</x:v>
      </x:c>
      <x:c r="V252" s="30"/>
      <x:c r="W252" s="30"/>
      <x:c r="X252" s="30"/>
      <x:c r="Y252" s="30" t="str">
        <x:v>https://golfbaanspaarnwoude.nl/</x:v>
      </x:c>
      <x:c r="Z252" s="30" t="b">
        <x:f>IF(AND(F252="Netherlands",ISNUMBER(L252),ISNUMBER(M252),L252&gt;=50.7,L252&lt;=53.7,M252&gt;=3.2,M252&lt;=7.3,AC252&lt;&gt;"Closed"),TRUE,FALSE)</x:f>
        <x:v>1</x:v>
      </x:c>
      <x:c r="AA252" s="30" t="b">
        <x:f>Z252</x:f>
        <x:v>1</x:v>
      </x:c>
      <x:c r="AB252" s="30" t="str">
        <x:f>IF(Z252,"verified_coordinate_and_open","not_map_ready")</x:f>
        <x:v>verified_coordinate_and_open</x:v>
      </x:c>
      <x:c r="AC252" s="30" t="str">
        <x:v>Open</x:v>
      </x:c>
      <x:c r="AD252" s="30" t="str">
        <x:v>Public — no playing requirement</x:v>
      </x:c>
      <x:c r="AE252" s="31" t="b">
        <x:v>1</x:v>
      </x:c>
      <x:c r="AF252" s="31" t="b">
        <x:v>0</x:v>
      </x:c>
      <x:c r="AG252" s="30"/>
      <x:c r="AH252" s="30"/>
      <x:c r="AI252" s="30"/>
      <x:c r="AJ252" s="31" t="b">
        <x:v>0</x:v>
      </x:c>
      <x:c r="AK252" s="31" t="b">
        <x:v>0</x:v>
      </x:c>
      <x:c r="AL252" s="30" t="str">
        <x:v>Verified — national register and exact BAG address</x:v>
      </x:c>
      <x:c r="AM252" s="30" t="str">
        <x:v>https://www.golf.nl/de-baan-op/banenzoeker/overzicht</x:v>
      </x:c>
      <x:c r="AN252" s="30" t="str">
        <x:v>2026-08-15</x:v>
      </x:c>
      <x:c r="AO252" s="30" t="str">
        <x:v>+31 23-5385599</x:v>
      </x:c>
      <x:c r="AP252" s="30" t="str">
        <x:v>Current NGF/GOLF.NL listing: 9 holes, par 29, 1608 metres. Listed as qualifying.</x:v>
      </x:c>
    </x:row>
    <x:row r="253">
      <x:c r="A253" s="30" t="str">
        <x:v>NL-C0162</x:v>
      </x:c>
      <x:c r="B253" s="30" t="str">
        <x:v>NL-0252</x:v>
      </x:c>
      <x:c r="C253" s="30" t="str">
        <x:v>Golfbaan Spaarnwoude — B</x:v>
      </x:c>
      <x:c r="D253" s="30" t="str">
        <x:v>Golfbaan Spaarnwoude</x:v>
      </x:c>
      <x:c r="E253" s="30" t="str">
        <x:v>B</x:v>
      </x:c>
      <x:c r="F253" s="30" t="str">
        <x:v>Netherlands</x:v>
      </x:c>
      <x:c r="G253" s="30" t="str">
        <x:v>Noord-Holland</x:v>
      </x:c>
      <x:c r="H253" s="30" t="str">
        <x:v>Velsen</x:v>
      </x:c>
      <x:c r="I253" s="30" t="str">
        <x:v>Velsen-Zuid</x:v>
      </x:c>
      <x:c r="J253" s="30" t="str">
        <x:v>Het Hoge Land 2</x:v>
      </x:c>
      <x:c r="K253" s="30" t="str">
        <x:v>1981 LT</x:v>
      </x:c>
      <x:c r="L253" s="32" t="n">
        <x:v>52.43091591</x:v>
      </x:c>
      <x:c r="M253" s="32" t="n">
        <x:v>4.69899915</x:v>
      </x:c>
      <x:c r="N253" s="30" t="str">
        <x:v>WGS84 / EPSG:4326</x:v>
      </x:c>
      <x:c r="O253" s="30" t="str">
        <x:v>Verified BAG address point via PDOK</x:v>
      </x:c>
      <x:c r="P253" s="30" t="str">
        <x:v>2026-08-15</x:v>
      </x:c>
      <x:c r="Q253" s="33" t="n">
        <x:f>IF(R253="","",ROUND(R253/0.9144,0))</x:f>
        <x:v>1487</x:v>
      </x:c>
      <x:c r="R253" s="33" t="n">
        <x:v>1360</x:v>
      </x:c>
      <x:c r="S253" s="33" t="n">
        <x:v>9</x:v>
      </x:c>
      <x:c r="T253" s="33" t="n">
        <x:v>29</x:v>
      </x:c>
      <x:c r="U253" s="30" t="str">
        <x:v>Par-3/4 course</x:v>
      </x:c>
      <x:c r="V253" s="30"/>
      <x:c r="W253" s="30"/>
      <x:c r="X253" s="30"/>
      <x:c r="Y253" s="30" t="str">
        <x:v>https://golfbaanspaarnwoude.nl/</x:v>
      </x:c>
      <x:c r="Z253" s="30" t="b">
        <x:f>IF(AND(F253="Netherlands",ISNUMBER(L253),ISNUMBER(M253),L253&gt;=50.7,L253&lt;=53.7,M253&gt;=3.2,M253&lt;=7.3,AC253&lt;&gt;"Closed"),TRUE,FALSE)</x:f>
        <x:v>1</x:v>
      </x:c>
      <x:c r="AA253" s="30" t="b">
        <x:f>Z253</x:f>
        <x:v>1</x:v>
      </x:c>
      <x:c r="AB253" s="30" t="str">
        <x:f>IF(Z253,"verified_coordinate_and_open","not_map_ready")</x:f>
        <x:v>verified_coordinate_and_open</x:v>
      </x:c>
      <x:c r="AC253" s="30" t="str">
        <x:v>Open</x:v>
      </x:c>
      <x:c r="AD253" s="30" t="str">
        <x:v>Public — no playing requirement</x:v>
      </x:c>
      <x:c r="AE253" s="31" t="b">
        <x:v>1</x:v>
      </x:c>
      <x:c r="AF253" s="31" t="b">
        <x:v>0</x:v>
      </x:c>
      <x:c r="AG253" s="30"/>
      <x:c r="AH253" s="30"/>
      <x:c r="AI253" s="30"/>
      <x:c r="AJ253" s="31" t="b">
        <x:v>0</x:v>
      </x:c>
      <x:c r="AK253" s="31" t="b">
        <x:v>0</x:v>
      </x:c>
      <x:c r="AL253" s="30" t="str">
        <x:v>Verified — national register and exact BAG address</x:v>
      </x:c>
      <x:c r="AM253" s="30" t="str">
        <x:v>https://www.golf.nl/de-baan-op/banenzoeker/overzicht</x:v>
      </x:c>
      <x:c r="AN253" s="30" t="str">
        <x:v>2026-08-15</x:v>
      </x:c>
      <x:c r="AO253" s="30" t="str">
        <x:v>+31 23-5385599</x:v>
      </x:c>
      <x:c r="AP253" s="30" t="str">
        <x:v>Current NGF/GOLF.NL listing: 9 holes, par 29, 1360 metres. Listed as qualifying.</x:v>
      </x:c>
    </x:row>
    <x:row r="254">
      <x:c r="A254" s="30" t="str">
        <x:v>NL-C0162</x:v>
      </x:c>
      <x:c r="B254" s="30" t="str">
        <x:v>NL-0253</x:v>
      </x:c>
      <x:c r="C254" s="30" t="str">
        <x:v>Golfbaan Spaarnwoude — C</x:v>
      </x:c>
      <x:c r="D254" s="30" t="str">
        <x:v>Golfbaan Spaarnwoude</x:v>
      </x:c>
      <x:c r="E254" s="30" t="str">
        <x:v>C</x:v>
      </x:c>
      <x:c r="F254" s="30" t="str">
        <x:v>Netherlands</x:v>
      </x:c>
      <x:c r="G254" s="30" t="str">
        <x:v>Noord-Holland</x:v>
      </x:c>
      <x:c r="H254" s="30" t="str">
        <x:v>Velsen</x:v>
      </x:c>
      <x:c r="I254" s="30" t="str">
        <x:v>Velsen-Zuid</x:v>
      </x:c>
      <x:c r="J254" s="30" t="str">
        <x:v>Het Hoge Land 2</x:v>
      </x:c>
      <x:c r="K254" s="30" t="str">
        <x:v>1981 LT</x:v>
      </x:c>
      <x:c r="L254" s="32" t="n">
        <x:v>52.43091591</x:v>
      </x:c>
      <x:c r="M254" s="32" t="n">
        <x:v>4.69899915</x:v>
      </x:c>
      <x:c r="N254" s="30" t="str">
        <x:v>WGS84 / EPSG:4326</x:v>
      </x:c>
      <x:c r="O254" s="30" t="str">
        <x:v>Verified BAG address point via PDOK</x:v>
      </x:c>
      <x:c r="P254" s="30" t="str">
        <x:v>2026-08-15</x:v>
      </x:c>
      <x:c r="Q254" s="33" t="n">
        <x:f>IF(R254="","",ROUND(R254/0.9144,0))</x:f>
        <x:v>3457</x:v>
      </x:c>
      <x:c r="R254" s="33" t="n">
        <x:v>3161</x:v>
      </x:c>
      <x:c r="S254" s="33" t="n">
        <x:v>9</x:v>
      </x:c>
      <x:c r="T254" s="33" t="n">
        <x:v>37</x:v>
      </x:c>
      <x:c r="U254" s="30" t="str">
        <x:v>Full-length course</x:v>
      </x:c>
      <x:c r="V254" s="30"/>
      <x:c r="W254" s="30"/>
      <x:c r="X254" s="30"/>
      <x:c r="Y254" s="30" t="str">
        <x:v>https://golfbaanspaarnwoude.nl/</x:v>
      </x:c>
      <x:c r="Z254" s="30" t="b">
        <x:f>IF(AND(F254="Netherlands",ISNUMBER(L254),ISNUMBER(M254),L254&gt;=50.7,L254&lt;=53.7,M254&gt;=3.2,M254&lt;=7.3,AC254&lt;&gt;"Closed"),TRUE,FALSE)</x:f>
        <x:v>1</x:v>
      </x:c>
      <x:c r="AA254" s="30" t="b">
        <x:f>Z254</x:f>
        <x:v>1</x:v>
      </x:c>
      <x:c r="AB254" s="30" t="str">
        <x:f>IF(Z254,"verified_coordinate_and_open","not_map_ready")</x:f>
        <x:v>verified_coordinate_and_open</x:v>
      </x:c>
      <x:c r="AC254" s="30" t="str">
        <x:v>Open</x:v>
      </x:c>
      <x:c r="AD254" s="30" t="str">
        <x:v>Public — handicap 54 or lower</x:v>
      </x:c>
      <x:c r="AE254" s="31" t="b">
        <x:v>1</x:v>
      </x:c>
      <x:c r="AF254" s="31" t="b">
        <x:v>0</x:v>
      </x:c>
      <x:c r="AG254" s="30"/>
      <x:c r="AH254" s="30"/>
      <x:c r="AI254" s="30"/>
      <x:c r="AJ254" s="31" t="b">
        <x:v>0</x:v>
      </x:c>
      <x:c r="AK254" s="31" t="b">
        <x:v>0</x:v>
      </x:c>
      <x:c r="AL254" s="30" t="str">
        <x:v>Verified — national register and exact BAG address</x:v>
      </x:c>
      <x:c r="AM254" s="30" t="str">
        <x:v>https://www.golf.nl/de-baan-op/banenzoeker/overzicht</x:v>
      </x:c>
      <x:c r="AN254" s="30" t="str">
        <x:v>2026-08-15</x:v>
      </x:c>
      <x:c r="AO254" s="30" t="str">
        <x:v>+31 23-5385599</x:v>
      </x:c>
      <x:c r="AP254" s="30" t="str">
        <x:v>Current NGF/GOLF.NL listing: 9 holes, par 37, 3161 metres. Listed as qualifying.</x:v>
      </x:c>
    </x:row>
    <x:row r="255">
      <x:c r="A255" s="30" t="str">
        <x:v>NL-C0162</x:v>
      </x:c>
      <x:c r="B255" s="30" t="str">
        <x:v>NL-0254</x:v>
      </x:c>
      <x:c r="C255" s="30" t="str">
        <x:v>Golfbaan Spaarnwoude — D</x:v>
      </x:c>
      <x:c r="D255" s="30" t="str">
        <x:v>Golfbaan Spaarnwoude</x:v>
      </x:c>
      <x:c r="E255" s="30" t="str">
        <x:v>D</x:v>
      </x:c>
      <x:c r="F255" s="30" t="str">
        <x:v>Netherlands</x:v>
      </x:c>
      <x:c r="G255" s="30" t="str">
        <x:v>Noord-Holland</x:v>
      </x:c>
      <x:c r="H255" s="30" t="str">
        <x:v>Velsen</x:v>
      </x:c>
      <x:c r="I255" s="30" t="str">
        <x:v>Velsen-Zuid</x:v>
      </x:c>
      <x:c r="J255" s="30" t="str">
        <x:v>Het Hoge Land 2</x:v>
      </x:c>
      <x:c r="K255" s="30" t="str">
        <x:v>1981 LT</x:v>
      </x:c>
      <x:c r="L255" s="32" t="n">
        <x:v>52.43091591</x:v>
      </x:c>
      <x:c r="M255" s="32" t="n">
        <x:v>4.69899915</x:v>
      </x:c>
      <x:c r="N255" s="30" t="str">
        <x:v>WGS84 / EPSG:4326</x:v>
      </x:c>
      <x:c r="O255" s="30" t="str">
        <x:v>Verified BAG address point via PDOK</x:v>
      </x:c>
      <x:c r="P255" s="30" t="str">
        <x:v>2026-08-15</x:v>
      </x:c>
      <x:c r="Q255" s="33" t="n">
        <x:f>IF(R255="","",ROUND(R255/0.9144,0))</x:f>
        <x:v>3309</x:v>
      </x:c>
      <x:c r="R255" s="33" t="n">
        <x:v>3026</x:v>
      </x:c>
      <x:c r="S255" s="33" t="n">
        <x:v>9</x:v>
      </x:c>
      <x:c r="T255" s="33" t="n">
        <x:v>36</x:v>
      </x:c>
      <x:c r="U255" s="30" t="str">
        <x:v>Full-length course</x:v>
      </x:c>
      <x:c r="V255" s="30"/>
      <x:c r="W255" s="30"/>
      <x:c r="X255" s="30"/>
      <x:c r="Y255" s="30" t="str">
        <x:v>https://golfbaanspaarnwoude.nl/</x:v>
      </x:c>
      <x:c r="Z255" s="30" t="b">
        <x:f>IF(AND(F255="Netherlands",ISNUMBER(L255),ISNUMBER(M255),L255&gt;=50.7,L255&lt;=53.7,M255&gt;=3.2,M255&lt;=7.3,AC255&lt;&gt;"Closed"),TRUE,FALSE)</x:f>
        <x:v>1</x:v>
      </x:c>
      <x:c r="AA255" s="30" t="b">
        <x:f>Z255</x:f>
        <x:v>1</x:v>
      </x:c>
      <x:c r="AB255" s="30" t="str">
        <x:f>IF(Z255,"verified_coordinate_and_open","not_map_ready")</x:f>
        <x:v>verified_coordinate_and_open</x:v>
      </x:c>
      <x:c r="AC255" s="30" t="str">
        <x:v>Open</x:v>
      </x:c>
      <x:c r="AD255" s="30" t="str">
        <x:v>Public — handicap 54 or lower</x:v>
      </x:c>
      <x:c r="AE255" s="31" t="b">
        <x:v>1</x:v>
      </x:c>
      <x:c r="AF255" s="31" t="b">
        <x:v>0</x:v>
      </x:c>
      <x:c r="AG255" s="30"/>
      <x:c r="AH255" s="30"/>
      <x:c r="AI255" s="30"/>
      <x:c r="AJ255" s="31" t="b">
        <x:v>0</x:v>
      </x:c>
      <x:c r="AK255" s="31" t="b">
        <x:v>0</x:v>
      </x:c>
      <x:c r="AL255" s="30" t="str">
        <x:v>Verified — national register and exact BAG address</x:v>
      </x:c>
      <x:c r="AM255" s="30" t="str">
        <x:v>https://www.golf.nl/de-baan-op/banenzoeker/overzicht</x:v>
      </x:c>
      <x:c r="AN255" s="30" t="str">
        <x:v>2026-08-15</x:v>
      </x:c>
      <x:c r="AO255" s="30" t="str">
        <x:v>+31 23-5385599</x:v>
      </x:c>
      <x:c r="AP255" s="30" t="str">
        <x:v>Current NGF/GOLF.NL listing: 9 holes, par 36, 3026 metres. Listed as qualifying.</x:v>
      </x:c>
    </x:row>
    <x:row r="256">
      <x:c r="A256" s="30" t="str">
        <x:v>NL-C0162</x:v>
      </x:c>
      <x:c r="B256" s="30" t="str">
        <x:v>NL-0255</x:v>
      </x:c>
      <x:c r="C256" s="30" t="str">
        <x:v>Golfbaan Spaarnwoude — E</x:v>
      </x:c>
      <x:c r="D256" s="30" t="str">
        <x:v>Golfbaan Spaarnwoude</x:v>
      </x:c>
      <x:c r="E256" s="30" t="str">
        <x:v>E</x:v>
      </x:c>
      <x:c r="F256" s="30" t="str">
        <x:v>Netherlands</x:v>
      </x:c>
      <x:c r="G256" s="30" t="str">
        <x:v>Noord-Holland</x:v>
      </x:c>
      <x:c r="H256" s="30" t="str">
        <x:v>Velsen</x:v>
      </x:c>
      <x:c r="I256" s="30" t="str">
        <x:v>Velsen-Zuid</x:v>
      </x:c>
      <x:c r="J256" s="30" t="str">
        <x:v>Het Hoge Land 2</x:v>
      </x:c>
      <x:c r="K256" s="30" t="str">
        <x:v>1981 LT</x:v>
      </x:c>
      <x:c r="L256" s="32" t="n">
        <x:v>52.43091591</x:v>
      </x:c>
      <x:c r="M256" s="32" t="n">
        <x:v>4.69899915</x:v>
      </x:c>
      <x:c r="N256" s="30" t="str">
        <x:v>WGS84 / EPSG:4326</x:v>
      </x:c>
      <x:c r="O256" s="30" t="str">
        <x:v>Verified BAG address point via PDOK</x:v>
      </x:c>
      <x:c r="P256" s="30" t="str">
        <x:v>2026-08-15</x:v>
      </x:c>
      <x:c r="Q256" s="33" t="n">
        <x:f>IF(R256="","",ROUND(R256/0.9144,0))</x:f>
        <x:v>3174</x:v>
      </x:c>
      <x:c r="R256" s="33" t="n">
        <x:v>2902</x:v>
      </x:c>
      <x:c r="S256" s="33" t="n">
        <x:v>9</x:v>
      </x:c>
      <x:c r="T256" s="33" t="n">
        <x:v>35</x:v>
      </x:c>
      <x:c r="U256" s="30" t="str">
        <x:v>Full-length course</x:v>
      </x:c>
      <x:c r="V256" s="30"/>
      <x:c r="W256" s="30"/>
      <x:c r="X256" s="30"/>
      <x:c r="Y256" s="30" t="str">
        <x:v>https://golfbaanspaarnwoude.nl/</x:v>
      </x:c>
      <x:c r="Z256" s="30" t="b">
        <x:f>IF(AND(F256="Netherlands",ISNUMBER(L256),ISNUMBER(M256),L256&gt;=50.7,L256&lt;=53.7,M256&gt;=3.2,M256&lt;=7.3,AC256&lt;&gt;"Closed"),TRUE,FALSE)</x:f>
        <x:v>1</x:v>
      </x:c>
      <x:c r="AA256" s="30" t="b">
        <x:f>Z256</x:f>
        <x:v>1</x:v>
      </x:c>
      <x:c r="AB256" s="30" t="str">
        <x:f>IF(Z256,"verified_coordinate_and_open","not_map_ready")</x:f>
        <x:v>verified_coordinate_and_open</x:v>
      </x:c>
      <x:c r="AC256" s="30" t="str">
        <x:v>Open</x:v>
      </x:c>
      <x:c r="AD256" s="30" t="str">
        <x:v>Public — handicap 54 or lower</x:v>
      </x:c>
      <x:c r="AE256" s="31" t="b">
        <x:v>1</x:v>
      </x:c>
      <x:c r="AF256" s="31" t="b">
        <x:v>0</x:v>
      </x:c>
      <x:c r="AG256" s="30"/>
      <x:c r="AH256" s="30"/>
      <x:c r="AI256" s="30"/>
      <x:c r="AJ256" s="31" t="b">
        <x:v>0</x:v>
      </x:c>
      <x:c r="AK256" s="31" t="b">
        <x:v>0</x:v>
      </x:c>
      <x:c r="AL256" s="30" t="str">
        <x:v>Verified — national register and exact BAG address</x:v>
      </x:c>
      <x:c r="AM256" s="30" t="str">
        <x:v>https://www.golf.nl/de-baan-op/banenzoeker/overzicht</x:v>
      </x:c>
      <x:c r="AN256" s="30" t="str">
        <x:v>2026-08-15</x:v>
      </x:c>
      <x:c r="AO256" s="30" t="str">
        <x:v>+31 23-5385599</x:v>
      </x:c>
      <x:c r="AP256" s="30" t="str">
        <x:v>Current NGF/GOLF.NL listing: 9 holes, par 35, 2902 metres. Listed as qualifying.</x:v>
      </x:c>
    </x:row>
    <x:row r="257">
      <x:c r="A257" s="30" t="str">
        <x:v>NL-C0162</x:v>
      </x:c>
      <x:c r="B257" s="30" t="str">
        <x:v>NL-0256</x:v>
      </x:c>
      <x:c r="C257" s="30" t="str">
        <x:v>Golfbaan Spaarnwoude — F</x:v>
      </x:c>
      <x:c r="D257" s="30" t="str">
        <x:v>Golfbaan Spaarnwoude</x:v>
      </x:c>
      <x:c r="E257" s="30" t="str">
        <x:v>F</x:v>
      </x:c>
      <x:c r="F257" s="30" t="str">
        <x:v>Netherlands</x:v>
      </x:c>
      <x:c r="G257" s="30" t="str">
        <x:v>Noord-Holland</x:v>
      </x:c>
      <x:c r="H257" s="30" t="str">
        <x:v>Velsen</x:v>
      </x:c>
      <x:c r="I257" s="30" t="str">
        <x:v>Velsen-Zuid</x:v>
      </x:c>
      <x:c r="J257" s="30" t="str">
        <x:v>Het Hoge Land 2</x:v>
      </x:c>
      <x:c r="K257" s="30" t="str">
        <x:v>1981 LT</x:v>
      </x:c>
      <x:c r="L257" s="32" t="n">
        <x:v>52.43091591</x:v>
      </x:c>
      <x:c r="M257" s="32" t="n">
        <x:v>4.69899915</x:v>
      </x:c>
      <x:c r="N257" s="30" t="str">
        <x:v>WGS84 / EPSG:4326</x:v>
      </x:c>
      <x:c r="O257" s="30" t="str">
        <x:v>Verified BAG address point via PDOK</x:v>
      </x:c>
      <x:c r="P257" s="30" t="str">
        <x:v>2026-08-15</x:v>
      </x:c>
      <x:c r="Q257" s="33" t="n">
        <x:f>IF(R257="","",ROUND(R257/0.9144,0))</x:f>
        <x:v>1041</x:v>
      </x:c>
      <x:c r="R257" s="33" t="n">
        <x:v>952</x:v>
      </x:c>
      <x:c r="S257" s="33" t="n">
        <x:v>9</x:v>
      </x:c>
      <x:c r="T257" s="33" t="n">
        <x:v>27</x:v>
      </x:c>
      <x:c r="U257" s="30" t="str">
        <x:v>Par-3 course</x:v>
      </x:c>
      <x:c r="V257" s="30"/>
      <x:c r="W257" s="30"/>
      <x:c r="X257" s="30"/>
      <x:c r="Y257" s="30" t="str">
        <x:v>https://golfbaanspaarnwoude.nl/</x:v>
      </x:c>
      <x:c r="Z257" s="30" t="b">
        <x:f>IF(AND(F257="Netherlands",ISNUMBER(L257),ISNUMBER(M257),L257&gt;=50.7,L257&lt;=53.7,M257&gt;=3.2,M257&lt;=7.3,AC257&lt;&gt;"Closed"),TRUE,FALSE)</x:f>
        <x:v>1</x:v>
      </x:c>
      <x:c r="AA257" s="30" t="b">
        <x:f>Z257</x:f>
        <x:v>1</x:v>
      </x:c>
      <x:c r="AB257" s="30" t="str">
        <x:f>IF(Z257,"verified_coordinate_and_open","not_map_ready")</x:f>
        <x:v>verified_coordinate_and_open</x:v>
      </x:c>
      <x:c r="AC257" s="30" t="str">
        <x:v>Open</x:v>
      </x:c>
      <x:c r="AD257" s="30" t="str">
        <x:v>Public — no playing requirement</x:v>
      </x:c>
      <x:c r="AE257" s="31" t="b">
        <x:v>1</x:v>
      </x:c>
      <x:c r="AF257" s="31" t="b">
        <x:v>0</x:v>
      </x:c>
      <x:c r="AG257" s="30"/>
      <x:c r="AH257" s="30"/>
      <x:c r="AI257" s="30"/>
      <x:c r="AJ257" s="31" t="b">
        <x:v>0</x:v>
      </x:c>
      <x:c r="AK257" s="31" t="b">
        <x:v>0</x:v>
      </x:c>
      <x:c r="AL257" s="30" t="str">
        <x:v>Verified — national register and exact BAG address</x:v>
      </x:c>
      <x:c r="AM257" s="30" t="str">
        <x:v>https://www.golf.nl/de-baan-op/banenzoeker/overzicht</x:v>
      </x:c>
      <x:c r="AN257" s="30" t="str">
        <x:v>2026-08-15</x:v>
      </x:c>
      <x:c r="AO257" s="30" t="str">
        <x:v>+31 23-5385599</x:v>
      </x:c>
      <x:c r="AP257" s="30" t="str">
        <x:v>Current NGF/GOLF.NL listing: 9 holes, par 27, 952 metres. Listed as qualifying.</x:v>
      </x:c>
    </x:row>
    <x:row r="258">
      <x:c r="A258" s="30" t="str">
        <x:v>NL-C0163</x:v>
      </x:c>
      <x:c r="B258" s="30" t="str">
        <x:v>NL-0257</x:v>
      </x:c>
      <x:c r="C258" s="30" t="str">
        <x:v>Golfbaan Spierdijk</x:v>
      </x:c>
      <x:c r="D258" s="30" t="str">
        <x:v>Golfbaan Spierdijk</x:v>
      </x:c>
      <x:c r="E258" s="30" t="str">
        <x:v>Course</x:v>
      </x:c>
      <x:c r="F258" s="30" t="str">
        <x:v>Netherlands</x:v>
      </x:c>
      <x:c r="G258" s="30" t="str">
        <x:v>Noord-Holland</x:v>
      </x:c>
      <x:c r="H258" s="30" t="str">
        <x:v>Koggenland</x:v>
      </x:c>
      <x:c r="I258" s="30" t="str">
        <x:v>Spierdijk</x:v>
      </x:c>
      <x:c r="J258" s="30" t="str">
        <x:v>Spierdijkerweg 95</x:v>
      </x:c>
      <x:c r="K258" s="30" t="str">
        <x:v>1641 LV</x:v>
      </x:c>
      <x:c r="L258" s="32" t="n">
        <x:v>52.64655554</x:v>
      </x:c>
      <x:c r="M258" s="32" t="n">
        <x:v>4.93852944</x:v>
      </x:c>
      <x:c r="N258" s="30" t="str">
        <x:v>WGS84 / EPSG:4326</x:v>
      </x:c>
      <x:c r="O258" s="30" t="str">
        <x:v>Verified BAG address point via PDOK</x:v>
      </x:c>
      <x:c r="P258" s="30" t="str">
        <x:v>2026-08-15</x:v>
      </x:c>
      <x:c r="Q258" s="33" t="n">
        <x:f>IF(R258="","",ROUND(R258/0.9144,0))</x:f>
        <x:v>3281</x:v>
      </x:c>
      <x:c r="R258" s="33" t="n">
        <x:v>3000</x:v>
      </x:c>
      <x:c r="S258" s="33" t="n">
        <x:v>9</x:v>
      </x:c>
      <x:c r="T258" s="33" t="n">
        <x:v>36</x:v>
      </x:c>
      <x:c r="U258" s="30" t="str">
        <x:v>Full-length course</x:v>
      </x:c>
      <x:c r="V258" s="30"/>
      <x:c r="W258" s="30"/>
      <x:c r="X258" s="30"/>
      <x:c r="Y258" s="30" t="str">
        <x:v>https://www.golfbaanspierdijk.nl/</x:v>
      </x:c>
      <x:c r="Z258" s="30" t="b">
        <x:f>IF(AND(F258="Netherlands",ISNUMBER(L258),ISNUMBER(M258),L258&gt;=50.7,L258&lt;=53.7,M258&gt;=3.2,M258&lt;=7.3,AC258&lt;&gt;"Closed"),TRUE,FALSE)</x:f>
        <x:v>1</x:v>
      </x:c>
      <x:c r="AA258" s="30" t="b">
        <x:f>Z258</x:f>
        <x:v>1</x:v>
      </x:c>
      <x:c r="AB258" s="30" t="str">
        <x:f>IF(Z258,"verified_coordinate_and_open","not_map_ready")</x:f>
        <x:v>verified_coordinate_and_open</x:v>
      </x:c>
      <x:c r="AC258" s="30" t="str">
        <x:v>Open</x:v>
      </x:c>
      <x:c r="AD258" s="30" t="str">
        <x:v>Public — NGF course permission</x:v>
      </x:c>
      <x:c r="AE258" s="31" t="b">
        <x:v>1</x:v>
      </x:c>
      <x:c r="AF258" s="31" t="b">
        <x:v>0</x:v>
      </x:c>
      <x:c r="AG258" s="30"/>
      <x:c r="AH258" s="30"/>
      <x:c r="AI258" s="30"/>
      <x:c r="AJ258" s="31" t="b">
        <x:v>0</x:v>
      </x:c>
      <x:c r="AK258" s="31" t="b">
        <x:v>0</x:v>
      </x:c>
      <x:c r="AL258" s="30" t="str">
        <x:v>Verified — national register and exact BAG address</x:v>
      </x:c>
      <x:c r="AM258" s="30" t="str">
        <x:v>https://www.golf.nl/de-baan-op/banenzoeker/overzicht</x:v>
      </x:c>
      <x:c r="AN258" s="30" t="str">
        <x:v>2026-08-15</x:v>
      </x:c>
      <x:c r="AO258" s="30" t="str">
        <x:v>+31 229-561050</x:v>
      </x:c>
      <x:c r="AP258" s="30" t="str">
        <x:v>Current NGF/GOLF.NL listing: 9 holes, par 36, 3000 metres. Listed as qualifying.</x:v>
      </x:c>
    </x:row>
    <x:row r="259">
      <x:c r="A259" s="30" t="str">
        <x:v>NL-C0164</x:v>
      </x:c>
      <x:c r="B259" s="30" t="str">
        <x:v>NL-0258</x:v>
      </x:c>
      <x:c r="C259" s="30" t="str">
        <x:v>Golfbaan Weesp</x:v>
      </x:c>
      <x:c r="D259" s="30" t="str">
        <x:v>Golfbaan Weesp</x:v>
      </x:c>
      <x:c r="E259" s="30" t="str">
        <x:v>Course</x:v>
      </x:c>
      <x:c r="F259" s="30" t="str">
        <x:v>Netherlands</x:v>
      </x:c>
      <x:c r="G259" s="30" t="str">
        <x:v>Noord-Holland</x:v>
      </x:c>
      <x:c r="H259" s="30" t="str">
        <x:v>Amsterdam</x:v>
      </x:c>
      <x:c r="I259" s="30" t="str">
        <x:v>Weesp</x:v>
      </x:c>
      <x:c r="J259" s="30" t="str">
        <x:v>Basisweg 2</x:v>
      </x:c>
      <x:c r="K259" s="30" t="str">
        <x:v>1383 NC</x:v>
      </x:c>
      <x:c r="L259" s="32" t="n">
        <x:v>52.29964219</x:v>
      </x:c>
      <x:c r="M259" s="32" t="n">
        <x:v>5.02680228</x:v>
      </x:c>
      <x:c r="N259" s="30" t="str">
        <x:v>WGS84 / EPSG:4326</x:v>
      </x:c>
      <x:c r="O259" s="30" t="str">
        <x:v>Verified BAG address point via PDOK</x:v>
      </x:c>
      <x:c r="P259" s="30" t="str">
        <x:v>2026-08-15</x:v>
      </x:c>
      <x:c r="Q259" s="33" t="n">
        <x:f>IF(R259="","",ROUND(R259/0.9144,0))</x:f>
        <x:v>1345</x:v>
      </x:c>
      <x:c r="R259" s="33" t="n">
        <x:v>1230</x:v>
      </x:c>
      <x:c r="S259" s="33" t="n">
        <x:v>9</x:v>
      </x:c>
      <x:c r="T259" s="33" t="n">
        <x:v>27</x:v>
      </x:c>
      <x:c r="U259" s="30" t="str">
        <x:v>Par-3 course</x:v>
      </x:c>
      <x:c r="V259" s="30"/>
      <x:c r="W259" s="30"/>
      <x:c r="X259" s="30"/>
      <x:c r="Y259" s="30" t="str">
        <x:v>https://upevents.nl/golfbaan-weesp</x:v>
      </x:c>
      <x:c r="Z259" s="30" t="b">
        <x:f>IF(AND(F259="Netherlands",ISNUMBER(L259),ISNUMBER(M259),L259&gt;=50.7,L259&lt;=53.7,M259&gt;=3.2,M259&lt;=7.3,AC259&lt;&gt;"Closed"),TRUE,FALSE)</x:f>
        <x:v>1</x:v>
      </x:c>
      <x:c r="AA259" s="30" t="b">
        <x:f>Z259</x:f>
        <x:v>1</x:v>
      </x:c>
      <x:c r="AB259" s="30" t="str">
        <x:f>IF(Z259,"verified_coordinate_and_open","not_map_ready")</x:f>
        <x:v>verified_coordinate_and_open</x:v>
      </x:c>
      <x:c r="AC259" s="30" t="str">
        <x:v>Open</x:v>
      </x:c>
      <x:c r="AD259" s="30" t="str">
        <x:v>Public — no playing requirement</x:v>
      </x:c>
      <x:c r="AE259" s="31" t="b">
        <x:v>0</x:v>
      </x:c>
      <x:c r="AF259" s="31" t="b">
        <x:v>0</x:v>
      </x:c>
      <x:c r="AG259" s="30"/>
      <x:c r="AH259" s="30"/>
      <x:c r="AI259" s="30"/>
      <x:c r="AJ259" s="31" t="b">
        <x:v>0</x:v>
      </x:c>
      <x:c r="AK259" s="31" t="b">
        <x:v>0</x:v>
      </x:c>
      <x:c r="AL259" s="30" t="str">
        <x:v>Verified — national register and exact BAG address</x:v>
      </x:c>
      <x:c r="AM259" s="30" t="str">
        <x:v>https://www.golf.nl/de-baan-op/banenzoeker/overzicht</x:v>
      </x:c>
      <x:c r="AN259" s="30" t="str">
        <x:v>2026-08-15</x:v>
      </x:c>
      <x:c r="AO259" s="30" t="str">
        <x:v>+31 294-269057</x:v>
      </x:c>
      <x:c r="AP259" s="30" t="str">
        <x:v>Current NGF/GOLF.NL listing: 9 holes, par 27, 1230 metres. Listed as non-qualifying.</x:v>
      </x:c>
    </x:row>
    <x:row r="260">
      <x:c r="A260" s="30" t="str">
        <x:v>NL-C0165</x:v>
      </x:c>
      <x:c r="B260" s="30" t="str">
        <x:v>NL-0259</x:v>
      </x:c>
      <x:c r="C260" s="30" t="str">
        <x:v>Golfbaan Westwoud — Main Course</x:v>
      </x:c>
      <x:c r="D260" s="30" t="str">
        <x:v>Golfbaan Westwoud</x:v>
      </x:c>
      <x:c r="E260" s="30" t="str">
        <x:v>Main Course</x:v>
      </x:c>
      <x:c r="F260" s="30" t="str">
        <x:v>Netherlands</x:v>
      </x:c>
      <x:c r="G260" s="30" t="str">
        <x:v>Noord-Holland</x:v>
      </x:c>
      <x:c r="H260" s="30" t="str">
        <x:v>Drechterland</x:v>
      </x:c>
      <x:c r="I260" s="30" t="str">
        <x:v>Westwoud</x:v>
      </x:c>
      <x:c r="J260" s="30" t="str">
        <x:v>Zittend 19</x:v>
      </x:c>
      <x:c r="K260" s="30" t="str">
        <x:v>1617 KS</x:v>
      </x:c>
      <x:c r="L260" s="32" t="n">
        <x:v>52.66651387</x:v>
      </x:c>
      <x:c r="M260" s="32" t="n">
        <x:v>5.14732398</x:v>
      </x:c>
      <x:c r="N260" s="30" t="str">
        <x:v>WGS84 / EPSG:4326</x:v>
      </x:c>
      <x:c r="O260" s="30" t="str">
        <x:v>Verified BAG address point via PDOK</x:v>
      </x:c>
      <x:c r="P260" s="30" t="str">
        <x:v>2026-08-15</x:v>
      </x:c>
      <x:c r="Q260" s="33" t="n">
        <x:f>IF(R260="","",ROUND(R260/0.9144,0))</x:f>
        <x:v>6497</x:v>
      </x:c>
      <x:c r="R260" s="33" t="n">
        <x:v>5941</x:v>
      </x:c>
      <x:c r="S260" s="33" t="n">
        <x:v>18</x:v>
      </x:c>
      <x:c r="T260" s="33" t="n">
        <x:v>71</x:v>
      </x:c>
      <x:c r="U260" s="30" t="str">
        <x:v>Full-length course</x:v>
      </x:c>
      <x:c r="V260" s="30"/>
      <x:c r="W260" s="30"/>
      <x:c r="X260" s="30"/>
      <x:c r="Y260" s="30" t="str">
        <x:v>https://golfbaanwestwoud.nl/</x:v>
      </x:c>
      <x:c r="Z260" s="30" t="b">
        <x:f>IF(AND(F260="Netherlands",ISNUMBER(L260),ISNUMBER(M260),L260&gt;=50.7,L260&lt;=53.7,M260&gt;=3.2,M260&lt;=7.3,AC260&lt;&gt;"Closed"),TRUE,FALSE)</x:f>
        <x:v>1</x:v>
      </x:c>
      <x:c r="AA260" s="30" t="b">
        <x:f>Z260</x:f>
        <x:v>1</x:v>
      </x:c>
      <x:c r="AB260" s="30" t="str">
        <x:f>IF(Z260,"verified_coordinate_and_open","not_map_ready")</x:f>
        <x:v>verified_coordinate_and_open</x:v>
      </x:c>
      <x:c r="AC260" s="30" t="str">
        <x:v>Open</x:v>
      </x:c>
      <x:c r="AD260" s="30" t="str">
        <x:v>Public — handicap 54 or lower</x:v>
      </x:c>
      <x:c r="AE260" s="31" t="b">
        <x:v>1</x:v>
      </x:c>
      <x:c r="AF260" s="31" t="b">
        <x:v>0</x:v>
      </x:c>
      <x:c r="AG260" s="30"/>
      <x:c r="AH260" s="30"/>
      <x:c r="AI260" s="30"/>
      <x:c r="AJ260" s="31" t="b">
        <x:v>0</x:v>
      </x:c>
      <x:c r="AK260" s="31" t="b">
        <x:v>0</x:v>
      </x:c>
      <x:c r="AL260" s="30" t="str">
        <x:v>Verified — national register and exact BAG address</x:v>
      </x:c>
      <x:c r="AM260" s="30" t="str">
        <x:v>https://www.golf.nl/de-baan-op/banenzoeker/overzicht</x:v>
      </x:c>
      <x:c r="AN260" s="30" t="str">
        <x:v>2026-08-15</x:v>
      </x:c>
      <x:c r="AO260" s="30" t="str">
        <x:v>+31 228-563128</x:v>
      </x:c>
      <x:c r="AP260" s="30" t="str">
        <x:v>Current NGF/GOLF.NL listing: 18 holes, par 71, 5941 metres. Combined from exact NGF-listed constituent nine-hole loops: 1ste negen (9 holes, par 36, 3134 m); 2de negen (9 holes, par 35, 2807 m) Listed as qualifying.</x:v>
      </x:c>
    </x:row>
    <x:row r="261">
      <x:c r="A261" s="30" t="str">
        <x:v>NL-C0166</x:v>
      </x:c>
      <x:c r="B261" s="30" t="str">
        <x:v>NL-0260</x:v>
      </x:c>
      <x:c r="C261" s="30" t="str">
        <x:v>Golfcenter Uithoorn</x:v>
      </x:c>
      <x:c r="D261" s="30" t="str">
        <x:v>Golfcenter Uithoorn</x:v>
      </x:c>
      <x:c r="E261" s="30" t="str">
        <x:v>Course</x:v>
      </x:c>
      <x:c r="F261" s="30" t="str">
        <x:v>Netherlands</x:v>
      </x:c>
      <x:c r="G261" s="30" t="str">
        <x:v>Noord-Holland</x:v>
      </x:c>
      <x:c r="H261" s="30" t="str">
        <x:v>Uithoorn</x:v>
      </x:c>
      <x:c r="I261" s="30" t="str">
        <x:v>De Kwakel</x:v>
      </x:c>
      <x:c r="J261" s="30" t="str">
        <x:v>Noordammerweg 30</x:v>
      </x:c>
      <x:c r="K261" s="30" t="str">
        <x:v>1424 NX</x:v>
      </x:c>
      <x:c r="L261" s="32" t="n">
        <x:v>52.24534251</x:v>
      </x:c>
      <x:c r="M261" s="32" t="n">
        <x:v>4.79967922</x:v>
      </x:c>
      <x:c r="N261" s="30" t="str">
        <x:v>WGS84 / EPSG:4326</x:v>
      </x:c>
      <x:c r="O261" s="30" t="str">
        <x:v>Verified BAG address point via PDOK</x:v>
      </x:c>
      <x:c r="P261" s="30" t="str">
        <x:v>2026-08-15</x:v>
      </x:c>
      <x:c r="Q261" s="33" t="n">
        <x:f>IF(R261="","",ROUND(R261/0.9144,0))</x:f>
        <x:v>836</x:v>
      </x:c>
      <x:c r="R261" s="33" t="n">
        <x:v>764</x:v>
      </x:c>
      <x:c r="S261" s="33" t="n">
        <x:v>9</x:v>
      </x:c>
      <x:c r="T261" s="33" t="n">
        <x:v>27</x:v>
      </x:c>
      <x:c r="U261" s="30" t="str">
        <x:v>Par-3 course</x:v>
      </x:c>
      <x:c r="V261" s="30"/>
      <x:c r="W261" s="30"/>
      <x:c r="X261" s="30"/>
      <x:c r="Y261" s="30" t="str">
        <x:v>https://www.golfcenteruithoorn.nl/</x:v>
      </x:c>
      <x:c r="Z261" s="30" t="b">
        <x:f>IF(AND(F261="Netherlands",ISNUMBER(L261),ISNUMBER(M261),L261&gt;=50.7,L261&lt;=53.7,M261&gt;=3.2,M261&lt;=7.3,AC261&lt;&gt;"Closed"),TRUE,FALSE)</x:f>
        <x:v>1</x:v>
      </x:c>
      <x:c r="AA261" s="30" t="b">
        <x:f>Z261</x:f>
        <x:v>1</x:v>
      </x:c>
      <x:c r="AB261" s="30" t="str">
        <x:f>IF(Z261,"verified_coordinate_and_open","not_map_ready")</x:f>
        <x:v>verified_coordinate_and_open</x:v>
      </x:c>
      <x:c r="AC261" s="30" t="str">
        <x:v>Open</x:v>
      </x:c>
      <x:c r="AD261" s="30" t="str">
        <x:v>Public — NGF course permission</x:v>
      </x:c>
      <x:c r="AE261" s="31" t="b">
        <x:v>1</x:v>
      </x:c>
      <x:c r="AF261" s="31" t="b">
        <x:v>0</x:v>
      </x:c>
      <x:c r="AG261" s="30"/>
      <x:c r="AH261" s="30"/>
      <x:c r="AI261" s="30"/>
      <x:c r="AJ261" s="31" t="b">
        <x:v>0</x:v>
      </x:c>
      <x:c r="AK261" s="31" t="b">
        <x:v>0</x:v>
      </x:c>
      <x:c r="AL261" s="30" t="str">
        <x:v>Verified — national register and exact BAG address</x:v>
      </x:c>
      <x:c r="AM261" s="30" t="str">
        <x:v>https://www.golf.nl/de-baan-op/banenzoeker/overzicht</x:v>
      </x:c>
      <x:c r="AN261" s="30" t="str">
        <x:v>2026-08-15</x:v>
      </x:c>
      <x:c r="AO261" s="30" t="str">
        <x:v>+31 6-51890210</x:v>
      </x:c>
      <x:c r="AP261" s="30" t="str">
        <x:v>Current NGF/GOLF.NL listing: 9 holes, par 27, 764 metres. Listed as qualifying.</x:v>
      </x:c>
    </x:row>
    <x:row r="262">
      <x:c r="A262" s="30" t="str">
        <x:v>NL-C0167</x:v>
      </x:c>
      <x:c r="B262" s="30" t="str">
        <x:v>NL-0261</x:v>
      </x:c>
      <x:c r="C262" s="30" t="str">
        <x:v>Golfclub 't Jagerspaadje</x:v>
      </x:c>
      <x:c r="D262" s="30" t="str">
        <x:v>Golfclub 't Jagerspaadje</x:v>
      </x:c>
      <x:c r="E262" s="30" t="str">
        <x:v>Course</x:v>
      </x:c>
      <x:c r="F262" s="30" t="str">
        <x:v>Netherlands</x:v>
      </x:c>
      <x:c r="G262" s="30" t="str">
        <x:v>Noord-Holland</x:v>
      </x:c>
      <x:c r="H262" s="30" t="str">
        <x:v>Hilversum</x:v>
      </x:c>
      <x:c r="I262" s="30" t="str">
        <x:v>Hilversum</x:v>
      </x:c>
      <x:c r="J262" s="30" t="str">
        <x:v>Corversbos Beresteinseweg 150</x:v>
      </x:c>
      <x:c r="K262" s="30" t="str">
        <x:v>1217 TM</x:v>
      </x:c>
      <x:c r="L262" s="32" t="n">
        <x:v>52.2262912</x:v>
      </x:c>
      <x:c r="M262" s="32" t="n">
        <x:v>5.14392864</x:v>
      </x:c>
      <x:c r="N262" s="30" t="str">
        <x:v>WGS84 / EPSG:4326</x:v>
      </x:c>
      <x:c r="O262" s="30" t="str">
        <x:v>Verified BAG address point via PDOK</x:v>
      </x:c>
      <x:c r="P262" s="30" t="str">
        <x:v>2026-08-15</x:v>
      </x:c>
      <x:c r="Q262" s="33" t="n">
        <x:f>IF(R262="","",ROUND(R262/0.9144,0))</x:f>
        <x:v>1531</x:v>
      </x:c>
      <x:c r="R262" s="33" t="n">
        <x:v>1400</x:v>
      </x:c>
      <x:c r="S262" s="33" t="n">
        <x:v>9</x:v>
      </x:c>
      <x:c r="T262" s="33" t="n">
        <x:v>30</x:v>
      </x:c>
      <x:c r="U262" s="30" t="str">
        <x:v>Par-3/4 course</x:v>
      </x:c>
      <x:c r="V262" s="30"/>
      <x:c r="W262" s="30"/>
      <x:c r="X262" s="30"/>
      <x:c r="Y262" s="30" t="str">
        <x:v>https://www.jagerspaadje.nl/</x:v>
      </x:c>
      <x:c r="Z262" s="30" t="b">
        <x:f>IF(AND(F262="Netherlands",ISNUMBER(L262),ISNUMBER(M262),L262&gt;=50.7,L262&lt;=53.7,M262&gt;=3.2,M262&lt;=7.3,AC262&lt;&gt;"Closed"),TRUE,FALSE)</x:f>
        <x:v>1</x:v>
      </x:c>
      <x:c r="AA262" s="30" t="b">
        <x:f>Z262</x:f>
        <x:v>1</x:v>
      </x:c>
      <x:c r="AB262" s="30" t="str">
        <x:f>IF(Z262,"verified_coordinate_and_open","not_map_ready")</x:f>
        <x:v>verified_coordinate_and_open</x:v>
      </x:c>
      <x:c r="AC262" s="30" t="str">
        <x:v>Open</x:v>
      </x:c>
      <x:c r="AD262" s="30" t="str">
        <x:v>Public — handicap 54 or lower</x:v>
      </x:c>
      <x:c r="AE262" s="31" t="b">
        <x:v>1</x:v>
      </x:c>
      <x:c r="AF262" s="31" t="b">
        <x:v>0</x:v>
      </x:c>
      <x:c r="AG262" s="30"/>
      <x:c r="AH262" s="30"/>
      <x:c r="AI262" s="30"/>
      <x:c r="AJ262" s="31" t="b">
        <x:v>0</x:v>
      </x:c>
      <x:c r="AK262" s="31" t="b">
        <x:v>0</x:v>
      </x:c>
      <x:c r="AL262" s="30" t="str">
        <x:v>Verified — national register and exact BAG address</x:v>
      </x:c>
      <x:c r="AM262" s="30" t="str">
        <x:v>https://www.golf.nl/de-baan-op/banenzoeker/overzicht</x:v>
      </x:c>
      <x:c r="AN262" s="30" t="str">
        <x:v>2026-08-15</x:v>
      </x:c>
      <x:c r="AO262" s="30" t="str">
        <x:v>+31 6-41513658</x:v>
      </x:c>
      <x:c r="AP262" s="30" t="str">
        <x:v>Current NGF/GOLF.NL listing: 9 holes, par 30, 1400 metres. Listed as qualifying.</x:v>
      </x:c>
    </x:row>
    <x:row r="263">
      <x:c r="A263" s="30" t="str">
        <x:v>NL-C0168</x:v>
      </x:c>
      <x:c r="B263" s="30" t="str">
        <x:v>NL-0262</x:v>
      </x:c>
      <x:c r="C263" s="30" t="str">
        <x:v>Golfclub Amsterdam Old Course</x:v>
      </x:c>
      <x:c r="D263" s="30" t="str">
        <x:v>Golfclub Amsterdam Old Course</x:v>
      </x:c>
      <x:c r="E263" s="30" t="str">
        <x:v>Course</x:v>
      </x:c>
      <x:c r="F263" s="30" t="str">
        <x:v>Netherlands</x:v>
      </x:c>
      <x:c r="G263" s="30" t="str">
        <x:v>Noord-Holland</x:v>
      </x:c>
      <x:c r="H263" s="30" t="str">
        <x:v>Ouder-Amstel</x:v>
      </x:c>
      <x:c r="I263" s="30" t="str">
        <x:v>Amsterdam-Duivendrecht</x:v>
      </x:c>
      <x:c r="J263" s="30" t="str">
        <x:v>Zwarte Laantje 4</x:v>
      </x:c>
      <x:c r="K263" s="30" t="str">
        <x:v>1114 BA</x:v>
      </x:c>
      <x:c r="L263" s="32" t="n">
        <x:v>52.31850793</x:v>
      </x:c>
      <x:c r="M263" s="32" t="n">
        <x:v>4.93652328</x:v>
      </x:c>
      <x:c r="N263" s="30" t="str">
        <x:v>WGS84 / EPSG:4326</x:v>
      </x:c>
      <x:c r="O263" s="30" t="str">
        <x:v>Verified BAG address point via PDOK</x:v>
      </x:c>
      <x:c r="P263" s="30" t="str">
        <x:v>2026-08-15</x:v>
      </x:c>
      <x:c r="Q263" s="33" t="n">
        <x:f>IF(R263="","",ROUND(R263/0.9144,0))</x:f>
        <x:v>2805</x:v>
      </x:c>
      <x:c r="R263" s="33" t="n">
        <x:v>2565</x:v>
      </x:c>
      <x:c r="S263" s="33" t="n">
        <x:v>9</x:v>
      </x:c>
      <x:c r="T263" s="33" t="n">
        <x:v>36</x:v>
      </x:c>
      <x:c r="U263" s="30" t="str">
        <x:v>Full-length course</x:v>
      </x:c>
      <x:c r="V263" s="30"/>
      <x:c r="W263" s="30"/>
      <x:c r="X263" s="30"/>
      <x:c r="Y263" s="30" t="str">
        <x:v>https://www.amsterdamoldcourse.nl/</x:v>
      </x:c>
      <x:c r="Z263" s="30" t="b">
        <x:f>IF(AND(F263="Netherlands",ISNUMBER(L263),ISNUMBER(M263),L263&gt;=50.7,L263&lt;=53.7,M263&gt;=3.2,M263&lt;=7.3,AC263&lt;&gt;"Closed"),TRUE,FALSE)</x:f>
        <x:v>1</x:v>
      </x:c>
      <x:c r="AA263" s="30" t="b">
        <x:f>Z263</x:f>
        <x:v>1</x:v>
      </x:c>
      <x:c r="AB263" s="30" t="str">
        <x:f>IF(Z263,"verified_coordinate_and_open","not_map_ready")</x:f>
        <x:v>verified_coordinate_and_open</x:v>
      </x:c>
      <x:c r="AC263" s="30" t="str">
        <x:v>Open</x:v>
      </x:c>
      <x:c r="AD263" s="30" t="str">
        <x:v>Public — handicap 54 or lower</x:v>
      </x:c>
      <x:c r="AE263" s="31" t="b">
        <x:v>1</x:v>
      </x:c>
      <x:c r="AF263" s="31" t="b">
        <x:v>0</x:v>
      </x:c>
      <x:c r="AG263" s="30"/>
      <x:c r="AH263" s="30"/>
      <x:c r="AI263" s="30"/>
      <x:c r="AJ263" s="31" t="b">
        <x:v>0</x:v>
      </x:c>
      <x:c r="AK263" s="31" t="b">
        <x:v>0</x:v>
      </x:c>
      <x:c r="AL263" s="30" t="str">
        <x:v>Verified — national register and exact BAG address</x:v>
      </x:c>
      <x:c r="AM263" s="30" t="str">
        <x:v>https://www.golf.nl/de-baan-op/banenzoeker/overzicht</x:v>
      </x:c>
      <x:c r="AN263" s="30" t="str">
        <x:v>2026-08-15</x:v>
      </x:c>
      <x:c r="AO263" s="30" t="str">
        <x:v>+31 20-6943650</x:v>
      </x:c>
      <x:c r="AP263" s="30" t="str">
        <x:v>Current NGF/GOLF.NL listing: 9 holes, par 36, 2565 metres. Listed as qualifying.</x:v>
      </x:c>
    </x:row>
    <x:row r="264">
      <x:c r="A264" s="30" t="str">
        <x:v>NL-C0169</x:v>
      </x:c>
      <x:c r="B264" s="30" t="str">
        <x:v>NL-0263</x:v>
      </x:c>
      <x:c r="C264" s="30" t="str">
        <x:v>Golfclub Houtrak — Noord</x:v>
      </x:c>
      <x:c r="D264" s="30" t="str">
        <x:v>Golfclub Houtrak</x:v>
      </x:c>
      <x:c r="E264" s="30" t="str">
        <x:v>Noord</x:v>
      </x:c>
      <x:c r="F264" s="30" t="str">
        <x:v>Netherlands</x:v>
      </x:c>
      <x:c r="G264" s="30" t="str">
        <x:v>Noord-Holland</x:v>
      </x:c>
      <x:c r="H264" s="30" t="str">
        <x:v>Haarlemmermeer</x:v>
      </x:c>
      <x:c r="I264" s="30" t="str">
        <x:v>Halfweg</x:v>
      </x:c>
      <x:c r="J264" s="30" t="str">
        <x:v>Machineweg 1b</x:v>
      </x:c>
      <x:c r="K264" s="30" t="str">
        <x:v>1165 NB</x:v>
      </x:c>
      <x:c r="L264" s="32" t="n">
        <x:v>52.4042206</x:v>
      </x:c>
      <x:c r="M264" s="32" t="n">
        <x:v>4.72791347</x:v>
      </x:c>
      <x:c r="N264" s="30" t="str">
        <x:v>WGS84 / EPSG:4326</x:v>
      </x:c>
      <x:c r="O264" s="30" t="str">
        <x:v>Verified BAG address point via PDOK</x:v>
      </x:c>
      <x:c r="P264" s="30" t="str">
        <x:v>2026-08-15</x:v>
      </x:c>
      <x:c r="Q264" s="33" t="n">
        <x:f>IF(R264="","",ROUND(R264/0.9144,0))</x:f>
        <x:v>3608</x:v>
      </x:c>
      <x:c r="R264" s="33" t="n">
        <x:v>3299</x:v>
      </x:c>
      <x:c r="S264" s="33" t="n">
        <x:v>9</x:v>
      </x:c>
      <x:c r="T264" s="33" t="n">
        <x:v>36</x:v>
      </x:c>
      <x:c r="U264" s="30" t="str">
        <x:v>Full-length course</x:v>
      </x:c>
      <x:c r="V264" s="30"/>
      <x:c r="W264" s="30"/>
      <x:c r="X264" s="30"/>
      <x:c r="Y264" s="30" t="str">
        <x:v>https://houtrak.nl/</x:v>
      </x:c>
      <x:c r="Z264" s="30" t="b">
        <x:f>IF(AND(F264="Netherlands",ISNUMBER(L264),ISNUMBER(M264),L264&gt;=50.7,L264&lt;=53.7,M264&gt;=3.2,M264&lt;=7.3,AC264&lt;&gt;"Closed"),TRUE,FALSE)</x:f>
        <x:v>1</x:v>
      </x:c>
      <x:c r="AA264" s="30" t="b">
        <x:f>Z264</x:f>
        <x:v>1</x:v>
      </x:c>
      <x:c r="AB264" s="30" t="str">
        <x:f>IF(Z264,"verified_coordinate_and_open","not_map_ready")</x:f>
        <x:v>verified_coordinate_and_open</x:v>
      </x:c>
      <x:c r="AC264" s="30" t="str">
        <x:v>Open</x:v>
      </x:c>
      <x:c r="AD264" s="30" t="str">
        <x:v>Public — handicap 36 or lower</x:v>
      </x:c>
      <x:c r="AE264" s="31" t="b">
        <x:v>1</x:v>
      </x:c>
      <x:c r="AF264" s="31" t="b">
        <x:v>0</x:v>
      </x:c>
      <x:c r="AG264" s="30"/>
      <x:c r="AH264" s="30"/>
      <x:c r="AI264" s="30"/>
      <x:c r="AJ264" s="31" t="b">
        <x:v>0</x:v>
      </x:c>
      <x:c r="AK264" s="31" t="b">
        <x:v>0</x:v>
      </x:c>
      <x:c r="AL264" s="30" t="str">
        <x:v>Verified — national register and exact BAG address</x:v>
      </x:c>
      <x:c r="AM264" s="30" t="str">
        <x:v>https://www.golf.nl/de-baan-op/banenzoeker/overzicht</x:v>
      </x:c>
      <x:c r="AN264" s="30" t="str">
        <x:v>2026-08-15</x:v>
      </x:c>
      <x:c r="AO264" s="30" t="str">
        <x:v>+31 23-5132939</x:v>
      </x:c>
      <x:c r="AP264" s="30" t="str">
        <x:v>Current NGF/GOLF.NL listing: 9 holes, par 36, 3299 metres. Listed as qualifying.</x:v>
      </x:c>
    </x:row>
    <x:row r="265">
      <x:c r="A265" s="30" t="str">
        <x:v>NL-C0169</x:v>
      </x:c>
      <x:c r="B265" s="30" t="str">
        <x:v>NL-0264</x:v>
      </x:c>
      <x:c r="C265" s="30" t="str">
        <x:v>Golfclub Houtrak — Zuid</x:v>
      </x:c>
      <x:c r="D265" s="30" t="str">
        <x:v>Golfclub Houtrak</x:v>
      </x:c>
      <x:c r="E265" s="30" t="str">
        <x:v>Zuid</x:v>
      </x:c>
      <x:c r="F265" s="30" t="str">
        <x:v>Netherlands</x:v>
      </x:c>
      <x:c r="G265" s="30" t="str">
        <x:v>Noord-Holland</x:v>
      </x:c>
      <x:c r="H265" s="30" t="str">
        <x:v>Haarlemmermeer</x:v>
      </x:c>
      <x:c r="I265" s="30" t="str">
        <x:v>Halfweg</x:v>
      </x:c>
      <x:c r="J265" s="30" t="str">
        <x:v>Machineweg 1b</x:v>
      </x:c>
      <x:c r="K265" s="30" t="str">
        <x:v>1165 NB</x:v>
      </x:c>
      <x:c r="L265" s="32" t="n">
        <x:v>52.4042206</x:v>
      </x:c>
      <x:c r="M265" s="32" t="n">
        <x:v>4.72791347</x:v>
      </x:c>
      <x:c r="N265" s="30" t="str">
        <x:v>WGS84 / EPSG:4326</x:v>
      </x:c>
      <x:c r="O265" s="30" t="str">
        <x:v>Verified BAG address point via PDOK</x:v>
      </x:c>
      <x:c r="P265" s="30" t="str">
        <x:v>2026-08-15</x:v>
      </x:c>
      <x:c r="Q265" s="33" t="n">
        <x:f>IF(R265="","",ROUND(R265/0.9144,0))</x:f>
        <x:v>3503</x:v>
      </x:c>
      <x:c r="R265" s="33" t="n">
        <x:v>3203</x:v>
      </x:c>
      <x:c r="S265" s="33" t="n">
        <x:v>9</x:v>
      </x:c>
      <x:c r="T265" s="33" t="n">
        <x:v>36</x:v>
      </x:c>
      <x:c r="U265" s="30" t="str">
        <x:v>Full-length course</x:v>
      </x:c>
      <x:c r="V265" s="30"/>
      <x:c r="W265" s="30"/>
      <x:c r="X265" s="30"/>
      <x:c r="Y265" s="30" t="str">
        <x:v>https://houtrak.nl/</x:v>
      </x:c>
      <x:c r="Z265" s="30" t="b">
        <x:f>IF(AND(F265="Netherlands",ISNUMBER(L265),ISNUMBER(M265),L265&gt;=50.7,L265&lt;=53.7,M265&gt;=3.2,M265&lt;=7.3,AC265&lt;&gt;"Closed"),TRUE,FALSE)</x:f>
        <x:v>1</x:v>
      </x:c>
      <x:c r="AA265" s="30" t="b">
        <x:f>Z265</x:f>
        <x:v>1</x:v>
      </x:c>
      <x:c r="AB265" s="30" t="str">
        <x:f>IF(Z265,"verified_coordinate_and_open","not_map_ready")</x:f>
        <x:v>verified_coordinate_and_open</x:v>
      </x:c>
      <x:c r="AC265" s="30" t="str">
        <x:v>Open</x:v>
      </x:c>
      <x:c r="AD265" s="30" t="str">
        <x:v>Public — handicap 36 or lower</x:v>
      </x:c>
      <x:c r="AE265" s="31" t="b">
        <x:v>1</x:v>
      </x:c>
      <x:c r="AF265" s="31" t="b">
        <x:v>0</x:v>
      </x:c>
      <x:c r="AG265" s="30"/>
      <x:c r="AH265" s="30"/>
      <x:c r="AI265" s="30"/>
      <x:c r="AJ265" s="31" t="b">
        <x:v>0</x:v>
      </x:c>
      <x:c r="AK265" s="31" t="b">
        <x:v>0</x:v>
      </x:c>
      <x:c r="AL265" s="30" t="str">
        <x:v>Verified — national register and exact BAG address</x:v>
      </x:c>
      <x:c r="AM265" s="30" t="str">
        <x:v>https://www.golf.nl/de-baan-op/banenzoeker/overzicht</x:v>
      </x:c>
      <x:c r="AN265" s="30" t="str">
        <x:v>2026-08-15</x:v>
      </x:c>
      <x:c r="AO265" s="30" t="str">
        <x:v>+31 23-5132939</x:v>
      </x:c>
      <x:c r="AP265" s="30" t="str">
        <x:v>Current NGF/GOLF.NL listing: 9 holes, par 36, 3203 metres. Listed as qualifying.</x:v>
      </x:c>
    </x:row>
    <x:row r="266">
      <x:c r="A266" s="30" t="str">
        <x:v>NL-C0170</x:v>
      </x:c>
      <x:c r="B266" s="30" t="str">
        <x:v>NL-0265</x:v>
      </x:c>
      <x:c r="C266" s="30" t="str">
        <x:v>Golfclub Mariënweide</x:v>
      </x:c>
      <x:c r="D266" s="30" t="str">
        <x:v>Golfclub Mariënweide</x:v>
      </x:c>
      <x:c r="E266" s="30" t="str">
        <x:v>Course</x:v>
      </x:c>
      <x:c r="F266" s="30" t="str">
        <x:v>Netherlands</x:v>
      </x:c>
      <x:c r="G266" s="30" t="str">
        <x:v>Noord-Holland</x:v>
      </x:c>
      <x:c r="H266" s="30" t="str">
        <x:v>Bloemendaal</x:v>
      </x:c>
      <x:c r="I266" s="30" t="str">
        <x:v>Aerdenhout</x:v>
      </x:c>
      <x:c r="J266" s="30" t="str">
        <x:v>Zwaluwenweg 11</x:v>
      </x:c>
      <x:c r="K266" s="30" t="str">
        <x:v>2111 HC</x:v>
      </x:c>
      <x:c r="L266" s="32" t="n">
        <x:v>52.35486862</x:v>
      </x:c>
      <x:c r="M266" s="32" t="n">
        <x:v>4.58248383</x:v>
      </x:c>
      <x:c r="N266" s="30" t="str">
        <x:v>WGS84 / EPSG:4326</x:v>
      </x:c>
      <x:c r="O266" s="30" t="str">
        <x:v>Verified BAG address point via PDOK</x:v>
      </x:c>
      <x:c r="P266" s="30" t="str">
        <x:v>2026-08-15</x:v>
      </x:c>
      <x:c r="Q266" s="33" t="n">
        <x:f>IF(R266="","",ROUND(R266/0.9144,0))</x:f>
        <x:v>1118</x:v>
      </x:c>
      <x:c r="R266" s="33" t="n">
        <x:v>1022</x:v>
      </x:c>
      <x:c r="S266" s="33" t="n">
        <x:v>9</x:v>
      </x:c>
      <x:c r="T266" s="33" t="n">
        <x:v>27</x:v>
      </x:c>
      <x:c r="U266" s="30" t="str">
        <x:v>Par-3 course</x:v>
      </x:c>
      <x:c r="V266" s="30"/>
      <x:c r="W266" s="30"/>
      <x:c r="X266" s="30"/>
      <x:c r="Y266" s="30" t="str">
        <x:v>https://www.marienweide.nl/</x:v>
      </x:c>
      <x:c r="Z266" s="30" t="b">
        <x:f>IF(AND(F266="Netherlands",ISNUMBER(L266),ISNUMBER(M266),L266&gt;=50.7,L266&lt;=53.7,M266&gt;=3.2,M266&lt;=7.3,AC266&lt;&gt;"Closed"),TRUE,FALSE)</x:f>
        <x:v>1</x:v>
      </x:c>
      <x:c r="AA266" s="30" t="b">
        <x:f>Z266</x:f>
        <x:v>1</x:v>
      </x:c>
      <x:c r="AB266" s="30" t="str">
        <x:f>IF(Z266,"verified_coordinate_and_open","not_map_ready")</x:f>
        <x:v>verified_coordinate_and_open</x:v>
      </x:c>
      <x:c r="AC266" s="30" t="str">
        <x:v>Open</x:v>
      </x:c>
      <x:c r="AD266" s="30" t="str">
        <x:v>Public — handicap 54 or lower</x:v>
      </x:c>
      <x:c r="AE266" s="31" t="b">
        <x:v>1</x:v>
      </x:c>
      <x:c r="AF266" s="31" t="b">
        <x:v>0</x:v>
      </x:c>
      <x:c r="AG266" s="30"/>
      <x:c r="AH266" s="30"/>
      <x:c r="AI266" s="30"/>
      <x:c r="AJ266" s="31" t="b">
        <x:v>0</x:v>
      </x:c>
      <x:c r="AK266" s="31" t="b">
        <x:v>0</x:v>
      </x:c>
      <x:c r="AL266" s="30" t="str">
        <x:v>Verified — national register and exact BAG address</x:v>
      </x:c>
      <x:c r="AM266" s="30" t="str">
        <x:v>https://www.golf.nl/de-baan-op/banenzoeker/overzicht</x:v>
      </x:c>
      <x:c r="AN266" s="30" t="str">
        <x:v>2026-08-15</x:v>
      </x:c>
      <x:c r="AO266" s="30" t="str">
        <x:v>+31 23-5246245</x:v>
      </x:c>
      <x:c r="AP266" s="30" t="str">
        <x:v>Current NGF/GOLF.NL listing: 9 holes, par 27, 1022 metres. Listed as qualifying.</x:v>
      </x:c>
    </x:row>
    <x:row r="267">
      <x:c r="A267" s="30" t="str">
        <x:v>NL-C0171</x:v>
      </x:c>
      <x:c r="B267" s="30" t="str">
        <x:v>NL-0266</x:v>
      </x:c>
      <x:c r="C267" s="30" t="str">
        <x:v>Golfclub Ooghduyne — Familiebaan</x:v>
      </x:c>
      <x:c r="D267" s="30" t="str">
        <x:v>Golfclub Ooghduyne</x:v>
      </x:c>
      <x:c r="E267" s="30" t="str">
        <x:v>Familiebaan</x:v>
      </x:c>
      <x:c r="F267" s="30" t="str">
        <x:v>Netherlands</x:v>
      </x:c>
      <x:c r="G267" s="30" t="str">
        <x:v>Noord-Holland</x:v>
      </x:c>
      <x:c r="H267" s="30" t="str">
        <x:v>Den Helder</x:v>
      </x:c>
      <x:c r="I267" s="30" t="str">
        <x:v>Julianadorp</x:v>
      </x:c>
      <x:c r="J267" s="30" t="str">
        <x:v>Ooghduyne 1</x:v>
      </x:c>
      <x:c r="K267" s="30" t="str">
        <x:v>1787 PS</x:v>
      </x:c>
      <x:c r="L267" s="32" t="n">
        <x:v>52.88537521</x:v>
      </x:c>
      <x:c r="M267" s="32" t="n">
        <x:v>4.72699652</x:v>
      </x:c>
      <x:c r="N267" s="30" t="str">
        <x:v>WGS84 / EPSG:4326</x:v>
      </x:c>
      <x:c r="O267" s="30" t="str">
        <x:v>Verified BAG address point via PDOK</x:v>
      </x:c>
      <x:c r="P267" s="30" t="str">
        <x:v>2026-08-15</x:v>
      </x:c>
      <x:c r="Q267" s="33" t="n">
        <x:f>IF(R267="","",ROUND(R267/0.9144,0))</x:f>
        <x:v>542</x:v>
      </x:c>
      <x:c r="R267" s="33" t="n">
        <x:v>496</x:v>
      </x:c>
      <x:c r="S267" s="33" t="n">
        <x:v>9</x:v>
      </x:c>
      <x:c r="T267" s="33" t="n">
        <x:v>27</x:v>
      </x:c>
      <x:c r="U267" s="30" t="str">
        <x:v>Par-3 course</x:v>
      </x:c>
      <x:c r="V267" s="30"/>
      <x:c r="W267" s="30"/>
      <x:c r="X267" s="30"/>
      <x:c r="Y267" s="30" t="str">
        <x:v>https://golfbaanooghduyne.nl/</x:v>
      </x:c>
      <x:c r="Z267" s="30" t="b">
        <x:f>IF(AND(F267="Netherlands",ISNUMBER(L267),ISNUMBER(M267),L267&gt;=50.7,L267&lt;=53.7,M267&gt;=3.2,M267&lt;=7.3,AC267&lt;&gt;"Closed"),TRUE,FALSE)</x:f>
        <x:v>1</x:v>
      </x:c>
      <x:c r="AA267" s="30" t="b">
        <x:f>Z267</x:f>
        <x:v>1</x:v>
      </x:c>
      <x:c r="AB267" s="30" t="str">
        <x:f>IF(Z267,"verified_coordinate_and_open","not_map_ready")</x:f>
        <x:v>verified_coordinate_and_open</x:v>
      </x:c>
      <x:c r="AC267" s="30" t="str">
        <x:v>Open</x:v>
      </x:c>
      <x:c r="AD267" s="30" t="str">
        <x:v>Public — no playing requirement</x:v>
      </x:c>
      <x:c r="AE267" s="31" t="b">
        <x:v>0</x:v>
      </x:c>
      <x:c r="AF267" s="31" t="b">
        <x:v>0</x:v>
      </x:c>
      <x:c r="AG267" s="30"/>
      <x:c r="AH267" s="30"/>
      <x:c r="AI267" s="30"/>
      <x:c r="AJ267" s="31" t="b">
        <x:v>0</x:v>
      </x:c>
      <x:c r="AK267" s="31" t="b">
        <x:v>0</x:v>
      </x:c>
      <x:c r="AL267" s="30" t="str">
        <x:v>Verified — national register and exact BAG address</x:v>
      </x:c>
      <x:c r="AM267" s="30" t="str">
        <x:v>https://www.golf.nl/de-baan-op/banenzoeker/overzicht</x:v>
      </x:c>
      <x:c r="AN267" s="30" t="str">
        <x:v>2026-08-15</x:v>
      </x:c>
      <x:c r="AO267" s="30" t="str">
        <x:v>+31 223-691225</x:v>
      </x:c>
      <x:c r="AP267" s="30" t="str">
        <x:v>Current NGF/GOLF.NL listing: 9 holes, par 27, 496 metres. Listed as non-qualifying.</x:v>
      </x:c>
    </x:row>
    <x:row r="268">
      <x:c r="A268" s="30" t="str">
        <x:v>NL-C0171</x:v>
      </x:c>
      <x:c r="B268" s="30" t="str">
        <x:v>NL-0267</x:v>
      </x:c>
      <x:c r="C268" s="30" t="str">
        <x:v>Golfclub Ooghduyne — Main Course</x:v>
      </x:c>
      <x:c r="D268" s="30" t="str">
        <x:v>Golfclub Ooghduyne</x:v>
      </x:c>
      <x:c r="E268" s="30" t="str">
        <x:v>Main Course</x:v>
      </x:c>
      <x:c r="F268" s="30" t="str">
        <x:v>Netherlands</x:v>
      </x:c>
      <x:c r="G268" s="30" t="str">
        <x:v>Noord-Holland</x:v>
      </x:c>
      <x:c r="H268" s="30" t="str">
        <x:v>Den Helder</x:v>
      </x:c>
      <x:c r="I268" s="30" t="str">
        <x:v>Julianadorp</x:v>
      </x:c>
      <x:c r="J268" s="30" t="str">
        <x:v>Ooghduyne 1</x:v>
      </x:c>
      <x:c r="K268" s="30" t="str">
        <x:v>1787 PS</x:v>
      </x:c>
      <x:c r="L268" s="32" t="n">
        <x:v>52.88537521</x:v>
      </x:c>
      <x:c r="M268" s="32" t="n">
        <x:v>4.72699652</x:v>
      </x:c>
      <x:c r="N268" s="30" t="str">
        <x:v>WGS84 / EPSG:4326</x:v>
      </x:c>
      <x:c r="O268" s="30" t="str">
        <x:v>Verified BAG address point via PDOK</x:v>
      </x:c>
      <x:c r="P268" s="30" t="str">
        <x:v>2026-08-15</x:v>
      </x:c>
      <x:c r="Q268" s="33" t="n">
        <x:f>IF(R268="","",ROUND(R268/0.9144,0))</x:f>
        <x:v>3024</x:v>
      </x:c>
      <x:c r="R268" s="33" t="n">
        <x:v>2765</x:v>
      </x:c>
      <x:c r="S268" s="33" t="n">
        <x:v>9</x:v>
      </x:c>
      <x:c r="T268" s="33" t="n">
        <x:v>35</x:v>
      </x:c>
      <x:c r="U268" s="30" t="str">
        <x:v>Full-length course</x:v>
      </x:c>
      <x:c r="V268" s="30"/>
      <x:c r="W268" s="30"/>
      <x:c r="X268" s="30"/>
      <x:c r="Y268" s="30" t="str">
        <x:v>https://golfbaanooghduyne.nl/</x:v>
      </x:c>
      <x:c r="Z268" s="30" t="b">
        <x:f>IF(AND(F268="Netherlands",ISNUMBER(L268),ISNUMBER(M268),L268&gt;=50.7,L268&lt;=53.7,M268&gt;=3.2,M268&lt;=7.3,AC268&lt;&gt;"Closed"),TRUE,FALSE)</x:f>
        <x:v>1</x:v>
      </x:c>
      <x:c r="AA268" s="30" t="b">
        <x:f>Z268</x:f>
        <x:v>1</x:v>
      </x:c>
      <x:c r="AB268" s="30" t="str">
        <x:f>IF(Z268,"verified_coordinate_and_open","not_map_ready")</x:f>
        <x:v>verified_coordinate_and_open</x:v>
      </x:c>
      <x:c r="AC268" s="30" t="str">
        <x:v>Open</x:v>
      </x:c>
      <x:c r="AD268" s="30" t="str">
        <x:v>Public — handicap 54 or lower</x:v>
      </x:c>
      <x:c r="AE268" s="31" t="b">
        <x:v>1</x:v>
      </x:c>
      <x:c r="AF268" s="31" t="b">
        <x:v>0</x:v>
      </x:c>
      <x:c r="AG268" s="30"/>
      <x:c r="AH268" s="30"/>
      <x:c r="AI268" s="30"/>
      <x:c r="AJ268" s="31" t="b">
        <x:v>0</x:v>
      </x:c>
      <x:c r="AK268" s="31" t="b">
        <x:v>0</x:v>
      </x:c>
      <x:c r="AL268" s="30" t="str">
        <x:v>Verified — national register and exact BAG address</x:v>
      </x:c>
      <x:c r="AM268" s="30" t="str">
        <x:v>https://www.golf.nl/de-baan-op/banenzoeker/overzicht</x:v>
      </x:c>
      <x:c r="AN268" s="30" t="str">
        <x:v>2026-08-15</x:v>
      </x:c>
      <x:c r="AO268" s="30" t="str">
        <x:v>+31 223-691225</x:v>
      </x:c>
      <x:c r="AP268" s="30" t="str">
        <x:v>Current NGF/GOLF.NL listing: 9 holes, par 35, 2765 metres. Listed as qualifying.</x:v>
      </x:c>
    </x:row>
    <x:row r="269">
      <x:c r="A269" s="30" t="str">
        <x:v>NL-C0172</x:v>
      </x:c>
      <x:c r="B269" s="30" t="str">
        <x:v>NL-0268</x:v>
      </x:c>
      <x:c r="C269" s="30" t="str">
        <x:v>Golfclub Ookmeer</x:v>
      </x:c>
      <x:c r="D269" s="30" t="str">
        <x:v>Golfclub Ookmeer</x:v>
      </x:c>
      <x:c r="E269" s="30" t="str">
        <x:v>Course</x:v>
      </x:c>
      <x:c r="F269" s="30" t="str">
        <x:v>Netherlands</x:v>
      </x:c>
      <x:c r="G269" s="30" t="str">
        <x:v>Noord-Holland</x:v>
      </x:c>
      <x:c r="H269" s="30" t="str">
        <x:v>Amsterdam</x:v>
      </x:c>
      <x:c r="I269" s="30" t="str">
        <x:v>Amsterdam</x:v>
      </x:c>
      <x:c r="J269" s="30" t="str">
        <x:v>Sportpark Ookmeer Abe Lenstralaan 8</x:v>
      </x:c>
      <x:c r="K269" s="30" t="str">
        <x:v>1067 MV</x:v>
      </x:c>
      <x:c r="L269" s="32" t="n">
        <x:v>52.3723841</x:v>
      </x:c>
      <x:c r="M269" s="32" t="n">
        <x:v>4.7972952</x:v>
      </x:c>
      <x:c r="N269" s="30" t="str">
        <x:v>WGS84 / EPSG:4326</x:v>
      </x:c>
      <x:c r="O269" s="30" t="str">
        <x:v>Verified BAG address point via PDOK</x:v>
      </x:c>
      <x:c r="P269" s="30" t="str">
        <x:v>2026-08-15</x:v>
      </x:c>
      <x:c r="Q269" s="33" t="n">
        <x:f>IF(R269="","",ROUND(R269/0.9144,0))</x:f>
        <x:v>1895</x:v>
      </x:c>
      <x:c r="R269" s="33" t="n">
        <x:v>1733</x:v>
      </x:c>
      <x:c r="S269" s="33" t="n">
        <x:v>9</x:v>
      </x:c>
      <x:c r="T269" s="33" t="n">
        <x:v>31</x:v>
      </x:c>
      <x:c r="U269" s="30" t="str">
        <x:v>Par-3/4 course</x:v>
      </x:c>
      <x:c r="V269" s="30"/>
      <x:c r="W269" s="30"/>
      <x:c r="X269" s="30"/>
      <x:c r="Y269" s="30" t="str">
        <x:v>https://golfclubookmeer.nl/</x:v>
      </x:c>
      <x:c r="Z269" s="30" t="b">
        <x:f>IF(AND(F269="Netherlands",ISNUMBER(L269),ISNUMBER(M269),L269&gt;=50.7,L269&lt;=53.7,M269&gt;=3.2,M269&lt;=7.3,AC269&lt;&gt;"Closed"),TRUE,FALSE)</x:f>
        <x:v>1</x:v>
      </x:c>
      <x:c r="AA269" s="30" t="b">
        <x:f>Z269</x:f>
        <x:v>1</x:v>
      </x:c>
      <x:c r="AB269" s="30" t="str">
        <x:f>IF(Z269,"verified_coordinate_and_open","not_map_ready")</x:f>
        <x:v>verified_coordinate_and_open</x:v>
      </x:c>
      <x:c r="AC269" s="30" t="str">
        <x:v>Open</x:v>
      </x:c>
      <x:c r="AD269" s="30" t="str">
        <x:v>Public — handicap 54 or lower</x:v>
      </x:c>
      <x:c r="AE269" s="31" t="b">
        <x:v>1</x:v>
      </x:c>
      <x:c r="AF269" s="31" t="b">
        <x:v>0</x:v>
      </x:c>
      <x:c r="AG269" s="30"/>
      <x:c r="AH269" s="30"/>
      <x:c r="AI269" s="30"/>
      <x:c r="AJ269" s="31" t="b">
        <x:v>0</x:v>
      </x:c>
      <x:c r="AK269" s="31" t="b">
        <x:v>0</x:v>
      </x:c>
      <x:c r="AL269" s="30" t="str">
        <x:v>Verified — national register and exact BAG address</x:v>
      </x:c>
      <x:c r="AM269" s="30" t="str">
        <x:v>https://www.golf.nl/de-baan-op/banenzoeker/overzicht</x:v>
      </x:c>
      <x:c r="AN269" s="30" t="str">
        <x:v>2026-08-15</x:v>
      </x:c>
      <x:c r="AO269" s="30" t="str">
        <x:v>+31 252-673463</x:v>
      </x:c>
      <x:c r="AP269" s="30" t="str">
        <x:v>Current NGF/GOLF.NL listing: 9 holes, par 31, 1733 metres. Listed as qualifying.</x:v>
      </x:c>
    </x:row>
    <x:row r="270">
      <x:c r="A270" s="30" t="str">
        <x:v>NL-C0173</x:v>
      </x:c>
      <x:c r="B270" s="30" t="str">
        <x:v>NL-0269</x:v>
      </x:c>
      <x:c r="C270" s="30" t="str">
        <x:v>Golfclub Sloten</x:v>
      </x:c>
      <x:c r="D270" s="30" t="str">
        <x:v>Golfclub Sloten</x:v>
      </x:c>
      <x:c r="E270" s="30" t="str">
        <x:v>Course</x:v>
      </x:c>
      <x:c r="F270" s="30" t="str">
        <x:v>Netherlands</x:v>
      </x:c>
      <x:c r="G270" s="30" t="str">
        <x:v>Noord-Holland</x:v>
      </x:c>
      <x:c r="H270" s="30" t="str">
        <x:v>Amsterdam</x:v>
      </x:c>
      <x:c r="I270" s="30" t="str">
        <x:v>Amsterdam</x:v>
      </x:c>
      <x:c r="J270" s="30" t="str">
        <x:v>Sportpark Sloten Sloterweg 1045</x:v>
      </x:c>
      <x:c r="K270" s="30" t="str">
        <x:v>1066 CD</x:v>
      </x:c>
      <x:c r="L270" s="32" t="n">
        <x:v>52.33961512</x:v>
      </x:c>
      <x:c r="M270" s="32" t="n">
        <x:v>4.80649079</x:v>
      </x:c>
      <x:c r="N270" s="30" t="str">
        <x:v>WGS84 / EPSG:4326</x:v>
      </x:c>
      <x:c r="O270" s="30" t="str">
        <x:v>Verified BAG address point via PDOK</x:v>
      </x:c>
      <x:c r="P270" s="30" t="str">
        <x:v>2026-08-15</x:v>
      </x:c>
      <x:c r="Q270" s="33" t="n">
        <x:f>IF(R270="","",ROUND(R270/0.9144,0))</x:f>
        <x:v>1499</x:v>
      </x:c>
      <x:c r="R270" s="33" t="n">
        <x:v>1371</x:v>
      </x:c>
      <x:c r="S270" s="33" t="n">
        <x:v>9</x:v>
      </x:c>
      <x:c r="T270" s="33" t="n">
        <x:v>29</x:v>
      </x:c>
      <x:c r="U270" s="30" t="str">
        <x:v>Par-3/4 course</x:v>
      </x:c>
      <x:c r="V270" s="30"/>
      <x:c r="W270" s="30"/>
      <x:c r="X270" s="30"/>
      <x:c r="Y270" s="30" t="str">
        <x:v>https://golfbaansloten.nl/</x:v>
      </x:c>
      <x:c r="Z270" s="30" t="b">
        <x:f>IF(AND(F270="Netherlands",ISNUMBER(L270),ISNUMBER(M270),L270&gt;=50.7,L270&lt;=53.7,M270&gt;=3.2,M270&lt;=7.3,AC270&lt;&gt;"Closed"),TRUE,FALSE)</x:f>
        <x:v>1</x:v>
      </x:c>
      <x:c r="AA270" s="30" t="b">
        <x:f>Z270</x:f>
        <x:v>1</x:v>
      </x:c>
      <x:c r="AB270" s="30" t="str">
        <x:f>IF(Z270,"verified_coordinate_and_open","not_map_ready")</x:f>
        <x:v>verified_coordinate_and_open</x:v>
      </x:c>
      <x:c r="AC270" s="30" t="str">
        <x:v>Open</x:v>
      </x:c>
      <x:c r="AD270" s="30" t="str">
        <x:v>Public — handicap 54 or lower</x:v>
      </x:c>
      <x:c r="AE270" s="31" t="b">
        <x:v>1</x:v>
      </x:c>
      <x:c r="AF270" s="31" t="b">
        <x:v>0</x:v>
      </x:c>
      <x:c r="AG270" s="30"/>
      <x:c r="AH270" s="30"/>
      <x:c r="AI270" s="30"/>
      <x:c r="AJ270" s="31" t="b">
        <x:v>0</x:v>
      </x:c>
      <x:c r="AK270" s="31" t="b">
        <x:v>0</x:v>
      </x:c>
      <x:c r="AL270" s="30" t="str">
        <x:v>Verified — national register and exact BAG address</x:v>
      </x:c>
      <x:c r="AM270" s="30" t="str">
        <x:v>https://www.golf.nl/de-baan-op/banenzoeker/overzicht</x:v>
      </x:c>
      <x:c r="AN270" s="30" t="str">
        <x:v>2026-08-15</x:v>
      </x:c>
      <x:c r="AO270" s="30" t="str">
        <x:v>+31 20-6142402</x:v>
      </x:c>
      <x:c r="AP270" s="30" t="str">
        <x:v>Current NGF/GOLF.NL listing: 9 holes, par 29, 1371 metres. Listed as qualifying.</x:v>
      </x:c>
    </x:row>
    <x:row r="271">
      <x:c r="A271" s="30" t="str">
        <x:v>NL-C0174</x:v>
      </x:c>
      <x:c r="B271" s="30" t="str">
        <x:v>NL-0270</x:v>
      </x:c>
      <x:c r="C271" s="30" t="str">
        <x:v>Golfpark De Purmer — Geel</x:v>
      </x:c>
      <x:c r="D271" s="30" t="str">
        <x:v>Golfpark De Purmer</x:v>
      </x:c>
      <x:c r="E271" s="30" t="str">
        <x:v>Geel</x:v>
      </x:c>
      <x:c r="F271" s="30" t="str">
        <x:v>Netherlands</x:v>
      </x:c>
      <x:c r="G271" s="30" t="str">
        <x:v>Noord-Holland</x:v>
      </x:c>
      <x:c r="H271" s="30" t="str">
        <x:v>Purmerend</x:v>
      </x:c>
      <x:c r="I271" s="30" t="str">
        <x:v>Purmerend</x:v>
      </x:c>
      <x:c r="J271" s="30" t="str">
        <x:v>Westerweg 60</x:v>
      </x:c>
      <x:c r="K271" s="30" t="str">
        <x:v>1445 AD</x:v>
      </x:c>
      <x:c r="L271" s="32" t="n">
        <x:v>52.50055429</x:v>
      </x:c>
      <x:c r="M271" s="32" t="n">
        <x:v>4.99351316</x:v>
      </x:c>
      <x:c r="N271" s="30" t="str">
        <x:v>WGS84 / EPSG:4326</x:v>
      </x:c>
      <x:c r="O271" s="30" t="str">
        <x:v>Verified BAG address point via PDOK</x:v>
      </x:c>
      <x:c r="P271" s="30" t="str">
        <x:v>2026-08-15</x:v>
      </x:c>
      <x:c r="Q271" s="33" t="n">
        <x:f>IF(R271="","",ROUND(R271/0.9144,0))</x:f>
        <x:v>3168</x:v>
      </x:c>
      <x:c r="R271" s="33" t="n">
        <x:v>2897</x:v>
      </x:c>
      <x:c r="S271" s="33" t="n">
        <x:v>9</x:v>
      </x:c>
      <x:c r="T271" s="33" t="n">
        <x:v>36</x:v>
      </x:c>
      <x:c r="U271" s="30" t="str">
        <x:v>Full-length course</x:v>
      </x:c>
      <x:c r="V271" s="30"/>
      <x:c r="W271" s="30"/>
      <x:c r="X271" s="30"/>
      <x:c r="Y271" s="30" t="str">
        <x:v>https://www.hollandschegolfclub.nl/golfpark/de-purmer/</x:v>
      </x:c>
      <x:c r="Z271" s="30" t="b">
        <x:f>IF(AND(F271="Netherlands",ISNUMBER(L271),ISNUMBER(M271),L271&gt;=50.7,L271&lt;=53.7,M271&gt;=3.2,M271&lt;=7.3,AC271&lt;&gt;"Closed"),TRUE,FALSE)</x:f>
        <x:v>1</x:v>
      </x:c>
      <x:c r="AA271" s="30" t="b">
        <x:f>Z271</x:f>
        <x:v>1</x:v>
      </x:c>
      <x:c r="AB271" s="30" t="str">
        <x:f>IF(Z271,"verified_coordinate_and_open","not_map_ready")</x:f>
        <x:v>verified_coordinate_and_open</x:v>
      </x:c>
      <x:c r="AC271" s="30" t="str">
        <x:v>Open</x:v>
      </x:c>
      <x:c r="AD271" s="30" t="str">
        <x:v>Public — handicap 54 or lower</x:v>
      </x:c>
      <x:c r="AE271" s="31" t="b">
        <x:v>1</x:v>
      </x:c>
      <x:c r="AF271" s="31" t="b">
        <x:v>0</x:v>
      </x:c>
      <x:c r="AG271" s="30"/>
      <x:c r="AH271" s="30"/>
      <x:c r="AI271" s="30"/>
      <x:c r="AJ271" s="31" t="b">
        <x:v>0</x:v>
      </x:c>
      <x:c r="AK271" s="31" t="b">
        <x:v>0</x:v>
      </x:c>
      <x:c r="AL271" s="30" t="str">
        <x:v>Verified — national register and exact BAG address</x:v>
      </x:c>
      <x:c r="AM271" s="30" t="str">
        <x:v>https://www.golf.nl/de-baan-op/banenzoeker/overzicht</x:v>
      </x:c>
      <x:c r="AN271" s="30" t="str">
        <x:v>2026-08-15</x:v>
      </x:c>
      <x:c r="AO271" s="30" t="str">
        <x:v>+31 299-481666</x:v>
      </x:c>
      <x:c r="AP271" s="30" t="str">
        <x:v>Current NGF/GOLF.NL listing: 9 holes, par 36, 2897 metres. Listed as qualifying.</x:v>
      </x:c>
    </x:row>
    <x:row r="272">
      <x:c r="A272" s="30" t="str">
        <x:v>NL-C0174</x:v>
      </x:c>
      <x:c r="B272" s="30" t="str">
        <x:v>NL-0271</x:v>
      </x:c>
      <x:c r="C272" s="30" t="str">
        <x:v>Golfpark De Purmer — Par-3 Course</x:v>
      </x:c>
      <x:c r="D272" s="30" t="str">
        <x:v>Golfpark De Purmer</x:v>
      </x:c>
      <x:c r="E272" s="30" t="str">
        <x:v>Par-3 Course</x:v>
      </x:c>
      <x:c r="F272" s="30" t="str">
        <x:v>Netherlands</x:v>
      </x:c>
      <x:c r="G272" s="30" t="str">
        <x:v>Noord-Holland</x:v>
      </x:c>
      <x:c r="H272" s="30" t="str">
        <x:v>Purmerend</x:v>
      </x:c>
      <x:c r="I272" s="30" t="str">
        <x:v>Purmerend</x:v>
      </x:c>
      <x:c r="J272" s="30" t="str">
        <x:v>Westerweg 60</x:v>
      </x:c>
      <x:c r="K272" s="30" t="str">
        <x:v>1445 AD</x:v>
      </x:c>
      <x:c r="L272" s="32" t="n">
        <x:v>52.50055429</x:v>
      </x:c>
      <x:c r="M272" s="32" t="n">
        <x:v>4.99351316</x:v>
      </x:c>
      <x:c r="N272" s="30" t="str">
        <x:v>WGS84 / EPSG:4326</x:v>
      </x:c>
      <x:c r="O272" s="30" t="str">
        <x:v>Verified BAG address point via PDOK</x:v>
      </x:c>
      <x:c r="P272" s="30" t="str">
        <x:v>2026-08-15</x:v>
      </x:c>
      <x:c r="Q272" s="33" t="n">
        <x:f>IF(R272="","",ROUND(R272/0.9144,0))</x:f>
        <x:v>780</x:v>
      </x:c>
      <x:c r="R272" s="33" t="n">
        <x:v>713</x:v>
      </x:c>
      <x:c r="S272" s="33" t="n">
        <x:v>9</x:v>
      </x:c>
      <x:c r="T272" s="33" t="n">
        <x:v>27</x:v>
      </x:c>
      <x:c r="U272" s="30" t="str">
        <x:v>Par-3 course</x:v>
      </x:c>
      <x:c r="V272" s="30"/>
      <x:c r="W272" s="30"/>
      <x:c r="X272" s="30"/>
      <x:c r="Y272" s="30" t="str">
        <x:v>https://www.hollandschegolfclub.nl/golfpark/de-purmer/</x:v>
      </x:c>
      <x:c r="Z272" s="30" t="b">
        <x:f>IF(AND(F272="Netherlands",ISNUMBER(L272),ISNUMBER(M272),L272&gt;=50.7,L272&lt;=53.7,M272&gt;=3.2,M272&lt;=7.3,AC272&lt;&gt;"Closed"),TRUE,FALSE)</x:f>
        <x:v>1</x:v>
      </x:c>
      <x:c r="AA272" s="30" t="b">
        <x:f>Z272</x:f>
        <x:v>1</x:v>
      </x:c>
      <x:c r="AB272" s="30" t="str">
        <x:f>IF(Z272,"verified_coordinate_and_open","not_map_ready")</x:f>
        <x:v>verified_coordinate_and_open</x:v>
      </x:c>
      <x:c r="AC272" s="30" t="str">
        <x:v>Open</x:v>
      </x:c>
      <x:c r="AD272" s="30" t="str">
        <x:v>Public — no playing requirement</x:v>
      </x:c>
      <x:c r="AE272" s="31" t="b">
        <x:v>1</x:v>
      </x:c>
      <x:c r="AF272" s="31" t="b">
        <x:v>0</x:v>
      </x:c>
      <x:c r="AG272" s="30"/>
      <x:c r="AH272" s="30"/>
      <x:c r="AI272" s="30"/>
      <x:c r="AJ272" s="31" t="b">
        <x:v>0</x:v>
      </x:c>
      <x:c r="AK272" s="31" t="b">
        <x:v>0</x:v>
      </x:c>
      <x:c r="AL272" s="30" t="str">
        <x:v>Verified — national register and exact BAG address</x:v>
      </x:c>
      <x:c r="AM272" s="30" t="str">
        <x:v>https://www.golf.nl/de-baan-op/banenzoeker/overzicht</x:v>
      </x:c>
      <x:c r="AN272" s="30" t="str">
        <x:v>2026-08-15</x:v>
      </x:c>
      <x:c r="AO272" s="30" t="str">
        <x:v>+31 299-481666</x:v>
      </x:c>
      <x:c r="AP272" s="30" t="str">
        <x:v>Current NGF/GOLF.NL listing: 9 holes, par 27, 713 metres. Listed as qualifying.</x:v>
      </x:c>
    </x:row>
    <x:row r="273">
      <x:c r="A273" s="30" t="str">
        <x:v>NL-C0174</x:v>
      </x:c>
      <x:c r="B273" s="30" t="str">
        <x:v>NL-0272</x:v>
      </x:c>
      <x:c r="C273" s="30" t="str">
        <x:v>Golfpark De Purmer — Rood</x:v>
      </x:c>
      <x:c r="D273" s="30" t="str">
        <x:v>Golfpark De Purmer</x:v>
      </x:c>
      <x:c r="E273" s="30" t="str">
        <x:v>Rood</x:v>
      </x:c>
      <x:c r="F273" s="30" t="str">
        <x:v>Netherlands</x:v>
      </x:c>
      <x:c r="G273" s="30" t="str">
        <x:v>Noord-Holland</x:v>
      </x:c>
      <x:c r="H273" s="30" t="str">
        <x:v>Purmerend</x:v>
      </x:c>
      <x:c r="I273" s="30" t="str">
        <x:v>Purmerend</x:v>
      </x:c>
      <x:c r="J273" s="30" t="str">
        <x:v>Westerweg 60</x:v>
      </x:c>
      <x:c r="K273" s="30" t="str">
        <x:v>1445 AD</x:v>
      </x:c>
      <x:c r="L273" s="32" t="n">
        <x:v>52.50055429</x:v>
      </x:c>
      <x:c r="M273" s="32" t="n">
        <x:v>4.99351316</x:v>
      </x:c>
      <x:c r="N273" s="30" t="str">
        <x:v>WGS84 / EPSG:4326</x:v>
      </x:c>
      <x:c r="O273" s="30" t="str">
        <x:v>Verified BAG address point via PDOK</x:v>
      </x:c>
      <x:c r="P273" s="30" t="str">
        <x:v>2026-08-15</x:v>
      </x:c>
      <x:c r="Q273" s="33" t="n">
        <x:f>IF(R273="","",ROUND(R273/0.9144,0))</x:f>
        <x:v>2942</x:v>
      </x:c>
      <x:c r="R273" s="33" t="n">
        <x:v>2690</x:v>
      </x:c>
      <x:c r="S273" s="33" t="n">
        <x:v>9</x:v>
      </x:c>
      <x:c r="T273" s="33" t="n">
        <x:v>35</x:v>
      </x:c>
      <x:c r="U273" s="30" t="str">
        <x:v>Full-length course</x:v>
      </x:c>
      <x:c r="V273" s="30"/>
      <x:c r="W273" s="30"/>
      <x:c r="X273" s="30"/>
      <x:c r="Y273" s="30" t="str">
        <x:v>https://www.hollandschegolfclub.nl/golfpark/de-purmer/</x:v>
      </x:c>
      <x:c r="Z273" s="30" t="b">
        <x:f>IF(AND(F273="Netherlands",ISNUMBER(L273),ISNUMBER(M273),L273&gt;=50.7,L273&lt;=53.7,M273&gt;=3.2,M273&lt;=7.3,AC273&lt;&gt;"Closed"),TRUE,FALSE)</x:f>
        <x:v>1</x:v>
      </x:c>
      <x:c r="AA273" s="30" t="b">
        <x:f>Z273</x:f>
        <x:v>1</x:v>
      </x:c>
      <x:c r="AB273" s="30" t="str">
        <x:f>IF(Z273,"verified_coordinate_and_open","not_map_ready")</x:f>
        <x:v>verified_coordinate_and_open</x:v>
      </x:c>
      <x:c r="AC273" s="30" t="str">
        <x:v>Open</x:v>
      </x:c>
      <x:c r="AD273" s="30" t="str">
        <x:v>Public — handicap 54 or lower</x:v>
      </x:c>
      <x:c r="AE273" s="31" t="b">
        <x:v>1</x:v>
      </x:c>
      <x:c r="AF273" s="31" t="b">
        <x:v>0</x:v>
      </x:c>
      <x:c r="AG273" s="30"/>
      <x:c r="AH273" s="30"/>
      <x:c r="AI273" s="30"/>
      <x:c r="AJ273" s="31" t="b">
        <x:v>0</x:v>
      </x:c>
      <x:c r="AK273" s="31" t="b">
        <x:v>0</x:v>
      </x:c>
      <x:c r="AL273" s="30" t="str">
        <x:v>Verified — national register and exact BAG address</x:v>
      </x:c>
      <x:c r="AM273" s="30" t="str">
        <x:v>https://www.golf.nl/de-baan-op/banenzoeker/overzicht</x:v>
      </x:c>
      <x:c r="AN273" s="30" t="str">
        <x:v>2026-08-15</x:v>
      </x:c>
      <x:c r="AO273" s="30" t="str">
        <x:v>+31 299-481666</x:v>
      </x:c>
      <x:c r="AP273" s="30" t="str">
        <x:v>Current NGF/GOLF.NL listing: 9 holes, par 35, 2690 metres. Listed as qualifying.</x:v>
      </x:c>
    </x:row>
    <x:row r="274">
      <x:c r="A274" s="30" t="str">
        <x:v>NL-C0174</x:v>
      </x:c>
      <x:c r="B274" s="30" t="str">
        <x:v>NL-0273</x:v>
      </x:c>
      <x:c r="C274" s="30" t="str">
        <x:v>Golfpark De Purmer — Wit</x:v>
      </x:c>
      <x:c r="D274" s="30" t="str">
        <x:v>Golfpark De Purmer</x:v>
      </x:c>
      <x:c r="E274" s="30" t="str">
        <x:v>Wit</x:v>
      </x:c>
      <x:c r="F274" s="30" t="str">
        <x:v>Netherlands</x:v>
      </x:c>
      <x:c r="G274" s="30" t="str">
        <x:v>Noord-Holland</x:v>
      </x:c>
      <x:c r="H274" s="30" t="str">
        <x:v>Purmerend</x:v>
      </x:c>
      <x:c r="I274" s="30" t="str">
        <x:v>Purmerend</x:v>
      </x:c>
      <x:c r="J274" s="30" t="str">
        <x:v>Westerweg 60</x:v>
      </x:c>
      <x:c r="K274" s="30" t="str">
        <x:v>1445 AD</x:v>
      </x:c>
      <x:c r="L274" s="32" t="n">
        <x:v>52.50055429</x:v>
      </x:c>
      <x:c r="M274" s="32" t="n">
        <x:v>4.99351316</x:v>
      </x:c>
      <x:c r="N274" s="30" t="str">
        <x:v>WGS84 / EPSG:4326</x:v>
      </x:c>
      <x:c r="O274" s="30" t="str">
        <x:v>Verified BAG address point via PDOK</x:v>
      </x:c>
      <x:c r="P274" s="30" t="str">
        <x:v>2026-08-15</x:v>
      </x:c>
      <x:c r="Q274" s="33" t="n">
        <x:f>IF(R274="","",ROUND(R274/0.9144,0))</x:f>
        <x:v>3489</x:v>
      </x:c>
      <x:c r="R274" s="33" t="n">
        <x:v>3190</x:v>
      </x:c>
      <x:c r="S274" s="33" t="n">
        <x:v>9</x:v>
      </x:c>
      <x:c r="T274" s="33" t="n">
        <x:v>36</x:v>
      </x:c>
      <x:c r="U274" s="30" t="str">
        <x:v>Full-length course</x:v>
      </x:c>
      <x:c r="V274" s="30"/>
      <x:c r="W274" s="30"/>
      <x:c r="X274" s="30"/>
      <x:c r="Y274" s="30" t="str">
        <x:v>https://www.hollandschegolfclub.nl/golfpark/de-purmer/</x:v>
      </x:c>
      <x:c r="Z274" s="30" t="b">
        <x:f>IF(AND(F274="Netherlands",ISNUMBER(L274),ISNUMBER(M274),L274&gt;=50.7,L274&lt;=53.7,M274&gt;=3.2,M274&lt;=7.3,AC274&lt;&gt;"Closed"),TRUE,FALSE)</x:f>
        <x:v>1</x:v>
      </x:c>
      <x:c r="AA274" s="30" t="b">
        <x:f>Z274</x:f>
        <x:v>1</x:v>
      </x:c>
      <x:c r="AB274" s="30" t="str">
        <x:f>IF(Z274,"verified_coordinate_and_open","not_map_ready")</x:f>
        <x:v>verified_coordinate_and_open</x:v>
      </x:c>
      <x:c r="AC274" s="30" t="str">
        <x:v>Open</x:v>
      </x:c>
      <x:c r="AD274" s="30" t="str">
        <x:v>Public — handicap 54 or lower</x:v>
      </x:c>
      <x:c r="AE274" s="31" t="b">
        <x:v>1</x:v>
      </x:c>
      <x:c r="AF274" s="31" t="b">
        <x:v>0</x:v>
      </x:c>
      <x:c r="AG274" s="30"/>
      <x:c r="AH274" s="30"/>
      <x:c r="AI274" s="30"/>
      <x:c r="AJ274" s="31" t="b">
        <x:v>0</x:v>
      </x:c>
      <x:c r="AK274" s="31" t="b">
        <x:v>0</x:v>
      </x:c>
      <x:c r="AL274" s="30" t="str">
        <x:v>Verified — national register and exact BAG address</x:v>
      </x:c>
      <x:c r="AM274" s="30" t="str">
        <x:v>https://www.golf.nl/de-baan-op/banenzoeker/overzicht</x:v>
      </x:c>
      <x:c r="AN274" s="30" t="str">
        <x:v>2026-08-15</x:v>
      </x:c>
      <x:c r="AO274" s="30" t="str">
        <x:v>+31 299-481666</x:v>
      </x:c>
      <x:c r="AP274" s="30" t="str">
        <x:v>Current NGF/GOLF.NL listing: 9 holes, par 36, 3190 metres. Listed as qualifying.</x:v>
      </x:c>
    </x:row>
    <x:row r="275">
      <x:c r="A275" s="30" t="str">
        <x:v>NL-C0175</x:v>
      </x:c>
      <x:c r="B275" s="30" t="str">
        <x:v>NL-0274</x:v>
      </x:c>
      <x:c r="C275" s="30" t="str">
        <x:v>Golfpark Spandersbosch — Boschbaan</x:v>
      </x:c>
      <x:c r="D275" s="30" t="str">
        <x:v>Golfpark Spandersbosch</x:v>
      </x:c>
      <x:c r="E275" s="30" t="str">
        <x:v>Boschbaan</x:v>
      </x:c>
      <x:c r="F275" s="30" t="str">
        <x:v>Netherlands</x:v>
      </x:c>
      <x:c r="G275" s="30" t="str">
        <x:v>Noord-Holland</x:v>
      </x:c>
      <x:c r="H275" s="30" t="str">
        <x:v>Hilversum</x:v>
      </x:c>
      <x:c r="I275" s="30" t="str">
        <x:v>Hilversum</x:v>
      </x:c>
      <x:c r="J275" s="30" t="str">
        <x:v>Sportpark Crailoo 26</x:v>
      </x:c>
      <x:c r="K275" s="30" t="str">
        <x:v>1222 AA</x:v>
      </x:c>
      <x:c r="L275" s="32" t="n">
        <x:v>52.25546657</x:v>
      </x:c>
      <x:c r="M275" s="32" t="n">
        <x:v>5.17100265</x:v>
      </x:c>
      <x:c r="N275" s="30" t="str">
        <x:v>WGS84 / EPSG:4326</x:v>
      </x:c>
      <x:c r="O275" s="30" t="str">
        <x:v>Verified BAG address point via PDOK</x:v>
      </x:c>
      <x:c r="P275" s="30" t="str">
        <x:v>2026-08-15</x:v>
      </x:c>
      <x:c r="Q275" s="33" t="n">
        <x:f>IF(R275="","",ROUND(R275/0.9144,0))</x:f>
        <x:v>2268</x:v>
      </x:c>
      <x:c r="R275" s="33" t="n">
        <x:v>2074</x:v>
      </x:c>
      <x:c r="S275" s="33" t="n">
        <x:v>9</x:v>
      </x:c>
      <x:c r="T275" s="33" t="n">
        <x:v>32</x:v>
      </x:c>
      <x:c r="U275" s="30" t="str">
        <x:v>Par-3/4 course</x:v>
      </x:c>
      <x:c r="V275" s="30"/>
      <x:c r="W275" s="30"/>
      <x:c r="X275" s="30"/>
      <x:c r="Y275" s="30" t="str">
        <x:v>https://golfparkspandersbosch.nl/</x:v>
      </x:c>
      <x:c r="Z275" s="30" t="b">
        <x:f>IF(AND(F275="Netherlands",ISNUMBER(L275),ISNUMBER(M275),L275&gt;=50.7,L275&lt;=53.7,M275&gt;=3.2,M275&lt;=7.3,AC275&lt;&gt;"Closed"),TRUE,FALSE)</x:f>
        <x:v>1</x:v>
      </x:c>
      <x:c r="AA275" s="30" t="b">
        <x:f>Z275</x:f>
        <x:v>1</x:v>
      </x:c>
      <x:c r="AB275" s="30" t="str">
        <x:f>IF(Z275,"verified_coordinate_and_open","not_map_ready")</x:f>
        <x:v>verified_coordinate_and_open</x:v>
      </x:c>
      <x:c r="AC275" s="30" t="str">
        <x:v>Open</x:v>
      </x:c>
      <x:c r="AD275" s="30" t="str">
        <x:v>Public — handicap 54 or lower</x:v>
      </x:c>
      <x:c r="AE275" s="31" t="b">
        <x:v>1</x:v>
      </x:c>
      <x:c r="AF275" s="31" t="b">
        <x:v>0</x:v>
      </x:c>
      <x:c r="AG275" s="30"/>
      <x:c r="AH275" s="30"/>
      <x:c r="AI275" s="30"/>
      <x:c r="AJ275" s="31" t="b">
        <x:v>0</x:v>
      </x:c>
      <x:c r="AK275" s="31" t="b">
        <x:v>0</x:v>
      </x:c>
      <x:c r="AL275" s="30" t="str">
        <x:v>Verified — national register and exact BAG address</x:v>
      </x:c>
      <x:c r="AM275" s="30" t="str">
        <x:v>https://www.golf.nl/de-baan-op/banenzoeker/overzicht</x:v>
      </x:c>
      <x:c r="AN275" s="30" t="str">
        <x:v>2026-08-15</x:v>
      </x:c>
      <x:c r="AO275" s="30" t="str">
        <x:v>+31 35-6857328</x:v>
      </x:c>
      <x:c r="AP275" s="30" t="str">
        <x:v>Current NGF/GOLF.NL listing: 9 holes, par 32, 2074 metres. Listed as qualifying.</x:v>
      </x:c>
    </x:row>
    <x:row r="276">
      <x:c r="A276" s="30" t="str">
        <x:v>NL-C0175</x:v>
      </x:c>
      <x:c r="B276" s="30" t="str">
        <x:v>NL-0275</x:v>
      </x:c>
      <x:c r="C276" s="30" t="str">
        <x:v>Golfpark Spandersbosch — Crailoobaan</x:v>
      </x:c>
      <x:c r="D276" s="30" t="str">
        <x:v>Golfpark Spandersbosch</x:v>
      </x:c>
      <x:c r="E276" s="30" t="str">
        <x:v>Crailoobaan</x:v>
      </x:c>
      <x:c r="F276" s="30" t="str">
        <x:v>Netherlands</x:v>
      </x:c>
      <x:c r="G276" s="30" t="str">
        <x:v>Noord-Holland</x:v>
      </x:c>
      <x:c r="H276" s="30" t="str">
        <x:v>Hilversum</x:v>
      </x:c>
      <x:c r="I276" s="30" t="str">
        <x:v>Hilversum</x:v>
      </x:c>
      <x:c r="J276" s="30" t="str">
        <x:v>Sportpark Crailoo 26</x:v>
      </x:c>
      <x:c r="K276" s="30" t="str">
        <x:v>1222 AA</x:v>
      </x:c>
      <x:c r="L276" s="32" t="n">
        <x:v>52.25546657</x:v>
      </x:c>
      <x:c r="M276" s="32" t="n">
        <x:v>5.17100265</x:v>
      </x:c>
      <x:c r="N276" s="30" t="str">
        <x:v>WGS84 / EPSG:4326</x:v>
      </x:c>
      <x:c r="O276" s="30" t="str">
        <x:v>Verified BAG address point via PDOK</x:v>
      </x:c>
      <x:c r="P276" s="30" t="str">
        <x:v>2026-08-15</x:v>
      </x:c>
      <x:c r="Q276" s="33" t="n">
        <x:f>IF(R276="","",ROUND(R276/0.9144,0))</x:f>
        <x:v>1014</x:v>
      </x:c>
      <x:c r="R276" s="33" t="n">
        <x:v>927</x:v>
      </x:c>
      <x:c r="S276" s="33" t="n">
        <x:v>9</x:v>
      </x:c>
      <x:c r="T276" s="33" t="n">
        <x:v>27</x:v>
      </x:c>
      <x:c r="U276" s="30" t="str">
        <x:v>Par-3 course</x:v>
      </x:c>
      <x:c r="V276" s="30"/>
      <x:c r="W276" s="30"/>
      <x:c r="X276" s="30"/>
      <x:c r="Y276" s="30" t="str">
        <x:v>https://golfparkspandersbosch.nl/</x:v>
      </x:c>
      <x:c r="Z276" s="30" t="b">
        <x:f>IF(AND(F276="Netherlands",ISNUMBER(L276),ISNUMBER(M276),L276&gt;=50.7,L276&lt;=53.7,M276&gt;=3.2,M276&lt;=7.3,AC276&lt;&gt;"Closed"),TRUE,FALSE)</x:f>
        <x:v>1</x:v>
      </x:c>
      <x:c r="AA276" s="30" t="b">
        <x:f>Z276</x:f>
        <x:v>1</x:v>
      </x:c>
      <x:c r="AB276" s="30" t="str">
        <x:f>IF(Z276,"verified_coordinate_and_open","not_map_ready")</x:f>
        <x:v>verified_coordinate_and_open</x:v>
      </x:c>
      <x:c r="AC276" s="30" t="str">
        <x:v>Open</x:v>
      </x:c>
      <x:c r="AD276" s="30" t="str">
        <x:v>Public — NGF course permission</x:v>
      </x:c>
      <x:c r="AE276" s="31" t="b">
        <x:v>1</x:v>
      </x:c>
      <x:c r="AF276" s="31" t="b">
        <x:v>0</x:v>
      </x:c>
      <x:c r="AG276" s="30"/>
      <x:c r="AH276" s="30"/>
      <x:c r="AI276" s="30"/>
      <x:c r="AJ276" s="31" t="b">
        <x:v>0</x:v>
      </x:c>
      <x:c r="AK276" s="31" t="b">
        <x:v>0</x:v>
      </x:c>
      <x:c r="AL276" s="30" t="str">
        <x:v>Verified — national register and exact BAG address</x:v>
      </x:c>
      <x:c r="AM276" s="30" t="str">
        <x:v>https://www.golf.nl/de-baan-op/banenzoeker/overzicht</x:v>
      </x:c>
      <x:c r="AN276" s="30" t="str">
        <x:v>2026-08-15</x:v>
      </x:c>
      <x:c r="AO276" s="30" t="str">
        <x:v>+31 35-6857328</x:v>
      </x:c>
      <x:c r="AP276" s="30" t="str">
        <x:v>Current NGF/GOLF.NL listing: 9 holes, par 27, 927 metres. Listed as qualifying.</x:v>
      </x:c>
    </x:row>
    <x:row r="277">
      <x:c r="A277" s="30" t="str">
        <x:v>NL-C0176</x:v>
      </x:c>
      <x:c r="B277" s="30" t="str">
        <x:v>NL-0276</x:v>
      </x:c>
      <x:c r="C277" s="30" t="str">
        <x:v>Golfvereniging A.M.V.J. — Polderbaan</x:v>
      </x:c>
      <x:c r="D277" s="30" t="str">
        <x:v>Golfvereniging A.M.V.J.</x:v>
      </x:c>
      <x:c r="E277" s="30" t="str">
        <x:v>Polderbaan</x:v>
      </x:c>
      <x:c r="F277" s="30" t="str">
        <x:v>Netherlands</x:v>
      </x:c>
      <x:c r="G277" s="30" t="str">
        <x:v>Noord-Holland</x:v>
      </x:c>
      <x:c r="H277" s="30" t="str">
        <x:v>Amstelveen</x:v>
      </x:c>
      <x:c r="I277" s="30" t="str">
        <x:v>Amstelveen</x:v>
      </x:c>
      <x:c r="J277" s="30" t="str">
        <x:v>Sportpark Het Loopveld Aanloop 3</x:v>
      </x:c>
      <x:c r="K277" s="30" t="str">
        <x:v>1183 SZ</x:v>
      </x:c>
      <x:c r="L277" s="32" t="n">
        <x:v>52.31905238</x:v>
      </x:c>
      <x:c r="M277" s="32" t="n">
        <x:v>4.88380792</x:v>
      </x:c>
      <x:c r="N277" s="30" t="str">
        <x:v>WGS84 / EPSG:4326</x:v>
      </x:c>
      <x:c r="O277" s="30" t="str">
        <x:v>Verified BAG address point via PDOK</x:v>
      </x:c>
      <x:c r="P277" s="30" t="str">
        <x:v>2026-08-15</x:v>
      </x:c>
      <x:c r="Q277" s="33" t="n">
        <x:f>IF(R277="","",ROUND(R277/0.9144,0))</x:f>
        <x:v>1312</x:v>
      </x:c>
      <x:c r="R277" s="33" t="n">
        <x:v>1200</x:v>
      </x:c>
      <x:c r="S277" s="33" t="n">
        <x:v>9</x:v>
      </x:c>
      <x:c r="T277" s="33" t="n">
        <x:v>28</x:v>
      </x:c>
      <x:c r="U277" s="30" t="str">
        <x:v>Par-3/4 course</x:v>
      </x:c>
      <x:c r="V277" s="30"/>
      <x:c r="W277" s="30"/>
      <x:c r="X277" s="30"/>
      <x:c r="Y277" s="30" t="str">
        <x:v>https://www.amvj-golf.nl/home/</x:v>
      </x:c>
      <x:c r="Z277" s="30" t="b">
        <x:f>IF(AND(F277="Netherlands",ISNUMBER(L277),ISNUMBER(M277),L277&gt;=50.7,L277&lt;=53.7,M277&gt;=3.2,M277&lt;=7.3,AC277&lt;&gt;"Closed"),TRUE,FALSE)</x:f>
        <x:v>1</x:v>
      </x:c>
      <x:c r="AA277" s="30" t="b">
        <x:f>Z277</x:f>
        <x:v>1</x:v>
      </x:c>
      <x:c r="AB277" s="30" t="str">
        <x:f>IF(Z277,"verified_coordinate_and_open","not_map_ready")</x:f>
        <x:v>verified_coordinate_and_open</x:v>
      </x:c>
      <x:c r="AC277" s="30" t="str">
        <x:v>Open</x:v>
      </x:c>
      <x:c r="AD277" s="30" t="str">
        <x:v>Public — NGF course permission</x:v>
      </x:c>
      <x:c r="AE277" s="31" t="b">
        <x:v>1</x:v>
      </x:c>
      <x:c r="AF277" s="31" t="b">
        <x:v>0</x:v>
      </x:c>
      <x:c r="AG277" s="30"/>
      <x:c r="AH277" s="30"/>
      <x:c r="AI277" s="30"/>
      <x:c r="AJ277" s="31" t="b">
        <x:v>0</x:v>
      </x:c>
      <x:c r="AK277" s="31" t="b">
        <x:v>0</x:v>
      </x:c>
      <x:c r="AL277" s="30" t="str">
        <x:v>Verified — national register and exact BAG address</x:v>
      </x:c>
      <x:c r="AM277" s="30" t="str">
        <x:v>https://www.golf.nl/de-baan-op/banenzoeker/overzicht</x:v>
      </x:c>
      <x:c r="AN277" s="30" t="str">
        <x:v>2026-08-15</x:v>
      </x:c>
      <x:c r="AO277" s="30" t="str">
        <x:v>+31 6-53438183</x:v>
      </x:c>
      <x:c r="AP277" s="30" t="str">
        <x:v>Current NGF/GOLF.NL listing: 9 holes, par 28, 1200 metres. Listed as qualifying.</x:v>
      </x:c>
    </x:row>
    <x:row r="278">
      <x:c r="A278" s="30" t="str">
        <x:v>NL-C0176</x:v>
      </x:c>
      <x:c r="B278" s="30" t="str">
        <x:v>NL-0277</x:v>
      </x:c>
      <x:c r="C278" s="30" t="str">
        <x:v>Golfvereniging A.M.V.J. — Veldenbaan</x:v>
      </x:c>
      <x:c r="D278" s="30" t="str">
        <x:v>Golfvereniging A.M.V.J.</x:v>
      </x:c>
      <x:c r="E278" s="30" t="str">
        <x:v>Veldenbaan</x:v>
      </x:c>
      <x:c r="F278" s="30" t="str">
        <x:v>Netherlands</x:v>
      </x:c>
      <x:c r="G278" s="30" t="str">
        <x:v>Noord-Holland</x:v>
      </x:c>
      <x:c r="H278" s="30" t="str">
        <x:v>Amstelveen</x:v>
      </x:c>
      <x:c r="I278" s="30" t="str">
        <x:v>Amstelveen</x:v>
      </x:c>
      <x:c r="J278" s="30" t="str">
        <x:v>Sportpark Het Loopveld Aanloop 3</x:v>
      </x:c>
      <x:c r="K278" s="30" t="str">
        <x:v>1183 SZ</x:v>
      </x:c>
      <x:c r="L278" s="32" t="n">
        <x:v>52.31905238</x:v>
      </x:c>
      <x:c r="M278" s="32" t="n">
        <x:v>4.88380792</x:v>
      </x:c>
      <x:c r="N278" s="30" t="str">
        <x:v>WGS84 / EPSG:4326</x:v>
      </x:c>
      <x:c r="O278" s="30" t="str">
        <x:v>Verified BAG address point via PDOK</x:v>
      </x:c>
      <x:c r="P278" s="30" t="str">
        <x:v>2026-08-15</x:v>
      </x:c>
      <x:c r="Q278" s="33" t="n">
        <x:f>IF(R278="","",ROUND(R278/0.9144,0))</x:f>
        <x:v>1623</x:v>
      </x:c>
      <x:c r="R278" s="33" t="n">
        <x:v>1484</x:v>
      </x:c>
      <x:c r="S278" s="33" t="n">
        <x:v>9</x:v>
      </x:c>
      <x:c r="T278" s="33" t="n">
        <x:v>27</x:v>
      </x:c>
      <x:c r="U278" s="30" t="str">
        <x:v>Par-3 course</x:v>
      </x:c>
      <x:c r="V278" s="30"/>
      <x:c r="W278" s="30"/>
      <x:c r="X278" s="30"/>
      <x:c r="Y278" s="30" t="str">
        <x:v>https://www.amvj-golf.nl/home/</x:v>
      </x:c>
      <x:c r="Z278" s="30" t="b">
        <x:f>IF(AND(F278="Netherlands",ISNUMBER(L278),ISNUMBER(M278),L278&gt;=50.7,L278&lt;=53.7,M278&gt;=3.2,M278&lt;=7.3,AC278&lt;&gt;"Closed"),TRUE,FALSE)</x:f>
        <x:v>1</x:v>
      </x:c>
      <x:c r="AA278" s="30" t="b">
        <x:f>Z278</x:f>
        <x:v>1</x:v>
      </x:c>
      <x:c r="AB278" s="30" t="str">
        <x:f>IF(Z278,"verified_coordinate_and_open","not_map_ready")</x:f>
        <x:v>verified_coordinate_and_open</x:v>
      </x:c>
      <x:c r="AC278" s="30" t="str">
        <x:v>Open</x:v>
      </x:c>
      <x:c r="AD278" s="30" t="str">
        <x:v>Public — NGF course permission</x:v>
      </x:c>
      <x:c r="AE278" s="31" t="b">
        <x:v>1</x:v>
      </x:c>
      <x:c r="AF278" s="31" t="b">
        <x:v>0</x:v>
      </x:c>
      <x:c r="AG278" s="30"/>
      <x:c r="AH278" s="30"/>
      <x:c r="AI278" s="30"/>
      <x:c r="AJ278" s="31" t="b">
        <x:v>0</x:v>
      </x:c>
      <x:c r="AK278" s="31" t="b">
        <x:v>0</x:v>
      </x:c>
      <x:c r="AL278" s="30" t="str">
        <x:v>Verified — national register and exact BAG address</x:v>
      </x:c>
      <x:c r="AM278" s="30" t="str">
        <x:v>https://www.golf.nl/de-baan-op/banenzoeker/overzicht</x:v>
      </x:c>
      <x:c r="AN278" s="30" t="str">
        <x:v>2026-08-15</x:v>
      </x:c>
      <x:c r="AO278" s="30" t="str">
        <x:v>+31 6-53438183</x:v>
      </x:c>
      <x:c r="AP278" s="30" t="str">
        <x:v>Current NGF/GOLF.NL listing: 9 holes, par 27, 1484 metres. Listed as qualifying.</x:v>
      </x:c>
    </x:row>
    <x:row r="279">
      <x:c r="A279" s="30" t="str">
        <x:v>NL-C0177</x:v>
      </x:c>
      <x:c r="B279" s="30" t="str">
        <x:v>NL-0278</x:v>
      </x:c>
      <x:c r="C279" s="30" t="str">
        <x:v>Haarlemmermeersche Golfclub — Bolstra</x:v>
      </x:c>
      <x:c r="D279" s="30" t="str">
        <x:v>Haarlemmermeersche Golfclub</x:v>
      </x:c>
      <x:c r="E279" s="30" t="str">
        <x:v>Bolstra</x:v>
      </x:c>
      <x:c r="F279" s="30" t="str">
        <x:v>Netherlands</x:v>
      </x:c>
      <x:c r="G279" s="30" t="str">
        <x:v>Noord-Holland</x:v>
      </x:c>
      <x:c r="H279" s="30" t="str">
        <x:v>Haarlemmermeer</x:v>
      </x:c>
      <x:c r="I279" s="30" t="str">
        <x:v>Cruquius</x:v>
      </x:c>
      <x:c r="J279" s="30" t="str">
        <x:v>Spieringweg 745</x:v>
      </x:c>
      <x:c r="K279" s="30" t="str">
        <x:v>2142 ED</x:v>
      </x:c>
      <x:c r="L279" s="32" t="n">
        <x:v>52.33830617</x:v>
      </x:c>
      <x:c r="M279" s="32" t="n">
        <x:v>4.6575458</x:v>
      </x:c>
      <x:c r="N279" s="30" t="str">
        <x:v>WGS84 / EPSG:4326</x:v>
      </x:c>
      <x:c r="O279" s="30" t="str">
        <x:v>Verified BAG address point via PDOK</x:v>
      </x:c>
      <x:c r="P279" s="30" t="str">
        <x:v>2026-08-15</x:v>
      </x:c>
      <x:c r="Q279" s="33" t="n">
        <x:f>IF(R279="","",ROUND(R279/0.9144,0))</x:f>
        <x:v>1102</x:v>
      </x:c>
      <x:c r="R279" s="33" t="n">
        <x:v>1008</x:v>
      </x:c>
      <x:c r="S279" s="33" t="n">
        <x:v>9</x:v>
      </x:c>
      <x:c r="T279" s="33" t="n">
        <x:v>27</x:v>
      </x:c>
      <x:c r="U279" s="30" t="str">
        <x:v>Par-3 course</x:v>
      </x:c>
      <x:c r="V279" s="30"/>
      <x:c r="W279" s="30"/>
      <x:c r="X279" s="30"/>
      <x:c r="Y279" s="30" t="str">
        <x:v>https://www.hgcgolf.nl/</x:v>
      </x:c>
      <x:c r="Z279" s="30" t="b">
        <x:f>IF(AND(F279="Netherlands",ISNUMBER(L279),ISNUMBER(M279),L279&gt;=50.7,L279&lt;=53.7,M279&gt;=3.2,M279&lt;=7.3,AC279&lt;&gt;"Closed"),TRUE,FALSE)</x:f>
        <x:v>1</x:v>
      </x:c>
      <x:c r="AA279" s="30" t="b">
        <x:f>Z279</x:f>
        <x:v>1</x:v>
      </x:c>
      <x:c r="AB279" s="30" t="str">
        <x:f>IF(Z279,"verified_coordinate_and_open","not_map_ready")</x:f>
        <x:v>verified_coordinate_and_open</x:v>
      </x:c>
      <x:c r="AC279" s="30" t="str">
        <x:v>Open</x:v>
      </x:c>
      <x:c r="AD279" s="30" t="str">
        <x:v>Public — NGF course permission</x:v>
      </x:c>
      <x:c r="AE279" s="31" t="b">
        <x:v>1</x:v>
      </x:c>
      <x:c r="AF279" s="31" t="b">
        <x:v>0</x:v>
      </x:c>
      <x:c r="AG279" s="30"/>
      <x:c r="AH279" s="30"/>
      <x:c r="AI279" s="30"/>
      <x:c r="AJ279" s="31" t="b">
        <x:v>0</x:v>
      </x:c>
      <x:c r="AK279" s="31" t="b">
        <x:v>0</x:v>
      </x:c>
      <x:c r="AL279" s="30" t="str">
        <x:v>Verified — national register and exact BAG address</x:v>
      </x:c>
      <x:c r="AM279" s="30" t="str">
        <x:v>https://www.golf.nl/de-baan-op/banenzoeker/overzicht</x:v>
      </x:c>
      <x:c r="AN279" s="30" t="str">
        <x:v>2026-08-15</x:v>
      </x:c>
      <x:c r="AO279" s="30" t="str">
        <x:v>+31 23-5589001</x:v>
      </x:c>
      <x:c r="AP279" s="30" t="str">
        <x:v>Current NGF/GOLF.NL listing: 9 holes, par 27, 1008 metres. Listed as qualifying.</x:v>
      </x:c>
    </x:row>
    <x:row r="280">
      <x:c r="A280" s="30" t="str">
        <x:v>NL-C0177</x:v>
      </x:c>
      <x:c r="B280" s="30" t="str">
        <x:v>NL-0279</x:v>
      </x:c>
      <x:c r="C280" s="30" t="str">
        <x:v>Haarlemmermeersche Golfclub — Cruquius</x:v>
      </x:c>
      <x:c r="D280" s="30" t="str">
        <x:v>Haarlemmermeersche Golfclub</x:v>
      </x:c>
      <x:c r="E280" s="30" t="str">
        <x:v>Cruquius</x:v>
      </x:c>
      <x:c r="F280" s="30" t="str">
        <x:v>Netherlands</x:v>
      </x:c>
      <x:c r="G280" s="30" t="str">
        <x:v>Noord-Holland</x:v>
      </x:c>
      <x:c r="H280" s="30" t="str">
        <x:v>Haarlemmermeer</x:v>
      </x:c>
      <x:c r="I280" s="30" t="str">
        <x:v>Cruquius</x:v>
      </x:c>
      <x:c r="J280" s="30" t="str">
        <x:v>Spieringweg 745</x:v>
      </x:c>
      <x:c r="K280" s="30" t="str">
        <x:v>2142 ED</x:v>
      </x:c>
      <x:c r="L280" s="32" t="n">
        <x:v>52.33830617</x:v>
      </x:c>
      <x:c r="M280" s="32" t="n">
        <x:v>4.6575458</x:v>
      </x:c>
      <x:c r="N280" s="30" t="str">
        <x:v>WGS84 / EPSG:4326</x:v>
      </x:c>
      <x:c r="O280" s="30" t="str">
        <x:v>Verified BAG address point via PDOK</x:v>
      </x:c>
      <x:c r="P280" s="30" t="str">
        <x:v>2026-08-15</x:v>
      </x:c>
      <x:c r="Q280" s="33" t="n">
        <x:f>IF(R280="","",ROUND(R280/0.9144,0))</x:f>
        <x:v>2907</x:v>
      </x:c>
      <x:c r="R280" s="33" t="n">
        <x:v>2658</x:v>
      </x:c>
      <x:c r="S280" s="33" t="n">
        <x:v>9</x:v>
      </x:c>
      <x:c r="T280" s="33" t="n">
        <x:v>35</x:v>
      </x:c>
      <x:c r="U280" s="30" t="str">
        <x:v>Full-length course</x:v>
      </x:c>
      <x:c r="V280" s="30"/>
      <x:c r="W280" s="30"/>
      <x:c r="X280" s="30"/>
      <x:c r="Y280" s="30" t="str">
        <x:v>https://www.hgcgolf.nl/</x:v>
      </x:c>
      <x:c r="Z280" s="30" t="b">
        <x:f>IF(AND(F280="Netherlands",ISNUMBER(L280),ISNUMBER(M280),L280&gt;=50.7,L280&lt;=53.7,M280&gt;=3.2,M280&lt;=7.3,AC280&lt;&gt;"Closed"),TRUE,FALSE)</x:f>
        <x:v>1</x:v>
      </x:c>
      <x:c r="AA280" s="30" t="b">
        <x:f>Z280</x:f>
        <x:v>1</x:v>
      </x:c>
      <x:c r="AB280" s="30" t="str">
        <x:f>IF(Z280,"verified_coordinate_and_open","not_map_ready")</x:f>
        <x:v>verified_coordinate_and_open</x:v>
      </x:c>
      <x:c r="AC280" s="30" t="str">
        <x:v>Open</x:v>
      </x:c>
      <x:c r="AD280" s="30" t="str">
        <x:v>Public — handicap 54 or lower</x:v>
      </x:c>
      <x:c r="AE280" s="31" t="b">
        <x:v>1</x:v>
      </x:c>
      <x:c r="AF280" s="31" t="b">
        <x:v>0</x:v>
      </x:c>
      <x:c r="AG280" s="30"/>
      <x:c r="AH280" s="30"/>
      <x:c r="AI280" s="30"/>
      <x:c r="AJ280" s="31" t="b">
        <x:v>0</x:v>
      </x:c>
      <x:c r="AK280" s="31" t="b">
        <x:v>0</x:v>
      </x:c>
      <x:c r="AL280" s="30" t="str">
        <x:v>Verified — national register and exact BAG address</x:v>
      </x:c>
      <x:c r="AM280" s="30" t="str">
        <x:v>https://www.golf.nl/de-baan-op/banenzoeker/overzicht</x:v>
      </x:c>
      <x:c r="AN280" s="30" t="str">
        <x:v>2026-08-15</x:v>
      </x:c>
      <x:c r="AO280" s="30" t="str">
        <x:v>+31 23-5589001</x:v>
      </x:c>
      <x:c r="AP280" s="30" t="str">
        <x:v>Current NGF/GOLF.NL listing: 9 holes, par 35, 2658 metres. Listed as qualifying.</x:v>
      </x:c>
    </x:row>
    <x:row r="281">
      <x:c r="A281" s="30" t="str">
        <x:v>NL-C0177</x:v>
      </x:c>
      <x:c r="B281" s="30" t="str">
        <x:v>NL-0280</x:v>
      </x:c>
      <x:c r="C281" s="30" t="str">
        <x:v>Haarlemmermeersche Golfclub — Leeghwater</x:v>
      </x:c>
      <x:c r="D281" s="30" t="str">
        <x:v>Haarlemmermeersche Golfclub</x:v>
      </x:c>
      <x:c r="E281" s="30" t="str">
        <x:v>Leeghwater</x:v>
      </x:c>
      <x:c r="F281" s="30" t="str">
        <x:v>Netherlands</x:v>
      </x:c>
      <x:c r="G281" s="30" t="str">
        <x:v>Noord-Holland</x:v>
      </x:c>
      <x:c r="H281" s="30" t="str">
        <x:v>Haarlemmermeer</x:v>
      </x:c>
      <x:c r="I281" s="30" t="str">
        <x:v>Cruquius</x:v>
      </x:c>
      <x:c r="J281" s="30" t="str">
        <x:v>Spieringweg 745</x:v>
      </x:c>
      <x:c r="K281" s="30" t="str">
        <x:v>2142 ED</x:v>
      </x:c>
      <x:c r="L281" s="32" t="n">
        <x:v>52.33830617</x:v>
      </x:c>
      <x:c r="M281" s="32" t="n">
        <x:v>4.6575458</x:v>
      </x:c>
      <x:c r="N281" s="30" t="str">
        <x:v>WGS84 / EPSG:4326</x:v>
      </x:c>
      <x:c r="O281" s="30" t="str">
        <x:v>Verified BAG address point via PDOK</x:v>
      </x:c>
      <x:c r="P281" s="30" t="str">
        <x:v>2026-08-15</x:v>
      </x:c>
      <x:c r="Q281" s="33" t="n">
        <x:f>IF(R281="","",ROUND(R281/0.9144,0))</x:f>
        <x:v>3226</x:v>
      </x:c>
      <x:c r="R281" s="33" t="n">
        <x:v>2950</x:v>
      </x:c>
      <x:c r="S281" s="33" t="n">
        <x:v>9</x:v>
      </x:c>
      <x:c r="T281" s="33" t="n">
        <x:v>36</x:v>
      </x:c>
      <x:c r="U281" s="30" t="str">
        <x:v>Full-length course</x:v>
      </x:c>
      <x:c r="V281" s="30"/>
      <x:c r="W281" s="30"/>
      <x:c r="X281" s="30"/>
      <x:c r="Y281" s="30" t="str">
        <x:v>https://www.hgcgolf.nl/</x:v>
      </x:c>
      <x:c r="Z281" s="30" t="b">
        <x:f>IF(AND(F281="Netherlands",ISNUMBER(L281),ISNUMBER(M281),L281&gt;=50.7,L281&lt;=53.7,M281&gt;=3.2,M281&lt;=7.3,AC281&lt;&gt;"Closed"),TRUE,FALSE)</x:f>
        <x:v>1</x:v>
      </x:c>
      <x:c r="AA281" s="30" t="b">
        <x:f>Z281</x:f>
        <x:v>1</x:v>
      </x:c>
      <x:c r="AB281" s="30" t="str">
        <x:f>IF(Z281,"verified_coordinate_and_open","not_map_ready")</x:f>
        <x:v>verified_coordinate_and_open</x:v>
      </x:c>
      <x:c r="AC281" s="30" t="str">
        <x:v>Open</x:v>
      </x:c>
      <x:c r="AD281" s="30" t="str">
        <x:v>Public — handicap 54 or lower</x:v>
      </x:c>
      <x:c r="AE281" s="31" t="b">
        <x:v>1</x:v>
      </x:c>
      <x:c r="AF281" s="31" t="b">
        <x:v>0</x:v>
      </x:c>
      <x:c r="AG281" s="30"/>
      <x:c r="AH281" s="30"/>
      <x:c r="AI281" s="30"/>
      <x:c r="AJ281" s="31" t="b">
        <x:v>0</x:v>
      </x:c>
      <x:c r="AK281" s="31" t="b">
        <x:v>0</x:v>
      </x:c>
      <x:c r="AL281" s="30" t="str">
        <x:v>Verified — national register and exact BAG address</x:v>
      </x:c>
      <x:c r="AM281" s="30" t="str">
        <x:v>https://www.golf.nl/de-baan-op/banenzoeker/overzicht</x:v>
      </x:c>
      <x:c r="AN281" s="30" t="str">
        <x:v>2026-08-15</x:v>
      </x:c>
      <x:c r="AO281" s="30" t="str">
        <x:v>+31 23-5589001</x:v>
      </x:c>
      <x:c r="AP281" s="30" t="str">
        <x:v>Current NGF/GOLF.NL listing: 9 holes, par 36, 2950 metres. Listed as qualifying.</x:v>
      </x:c>
    </x:row>
    <x:row r="282">
      <x:c r="A282" s="30" t="str">
        <x:v>NL-C0177</x:v>
      </x:c>
      <x:c r="B282" s="30" t="str">
        <x:v>NL-0281</x:v>
      </x:c>
      <x:c r="C282" s="30" t="str">
        <x:v>Haarlemmermeersche Golfclub — Lynden</x:v>
      </x:c>
      <x:c r="D282" s="30" t="str">
        <x:v>Haarlemmermeersche Golfclub</x:v>
      </x:c>
      <x:c r="E282" s="30" t="str">
        <x:v>Lynden</x:v>
      </x:c>
      <x:c r="F282" s="30" t="str">
        <x:v>Netherlands</x:v>
      </x:c>
      <x:c r="G282" s="30" t="str">
        <x:v>Noord-Holland</x:v>
      </x:c>
      <x:c r="H282" s="30" t="str">
        <x:v>Haarlemmermeer</x:v>
      </x:c>
      <x:c r="I282" s="30" t="str">
        <x:v>Cruquius</x:v>
      </x:c>
      <x:c r="J282" s="30" t="str">
        <x:v>Spieringweg 745</x:v>
      </x:c>
      <x:c r="K282" s="30" t="str">
        <x:v>2142 ED</x:v>
      </x:c>
      <x:c r="L282" s="32" t="n">
        <x:v>52.33830617</x:v>
      </x:c>
      <x:c r="M282" s="32" t="n">
        <x:v>4.6575458</x:v>
      </x:c>
      <x:c r="N282" s="30" t="str">
        <x:v>WGS84 / EPSG:4326</x:v>
      </x:c>
      <x:c r="O282" s="30" t="str">
        <x:v>Verified BAG address point via PDOK</x:v>
      </x:c>
      <x:c r="P282" s="30" t="str">
        <x:v>2026-08-15</x:v>
      </x:c>
      <x:c r="Q282" s="33" t="n">
        <x:f>IF(R282="","",ROUND(R282/0.9144,0))</x:f>
        <x:v>3255</x:v>
      </x:c>
      <x:c r="R282" s="33" t="n">
        <x:v>2976</x:v>
      </x:c>
      <x:c r="S282" s="33" t="n">
        <x:v>9</x:v>
      </x:c>
      <x:c r="T282" s="33" t="n">
        <x:v>37</x:v>
      </x:c>
      <x:c r="U282" s="30" t="str">
        <x:v>Full-length course</x:v>
      </x:c>
      <x:c r="V282" s="30"/>
      <x:c r="W282" s="30"/>
      <x:c r="X282" s="30"/>
      <x:c r="Y282" s="30" t="str">
        <x:v>https://www.hgcgolf.nl/</x:v>
      </x:c>
      <x:c r="Z282" s="30" t="b">
        <x:f>IF(AND(F282="Netherlands",ISNUMBER(L282),ISNUMBER(M282),L282&gt;=50.7,L282&lt;=53.7,M282&gt;=3.2,M282&lt;=7.3,AC282&lt;&gt;"Closed"),TRUE,FALSE)</x:f>
        <x:v>1</x:v>
      </x:c>
      <x:c r="AA282" s="30" t="b">
        <x:f>Z282</x:f>
        <x:v>1</x:v>
      </x:c>
      <x:c r="AB282" s="30" t="str">
        <x:f>IF(Z282,"verified_coordinate_and_open","not_map_ready")</x:f>
        <x:v>verified_coordinate_and_open</x:v>
      </x:c>
      <x:c r="AC282" s="30" t="str">
        <x:v>Open</x:v>
      </x:c>
      <x:c r="AD282" s="30" t="str">
        <x:v>Public — handicap 54 or lower</x:v>
      </x:c>
      <x:c r="AE282" s="31" t="b">
        <x:v>1</x:v>
      </x:c>
      <x:c r="AF282" s="31" t="b">
        <x:v>0</x:v>
      </x:c>
      <x:c r="AG282" s="30"/>
      <x:c r="AH282" s="30"/>
      <x:c r="AI282" s="30"/>
      <x:c r="AJ282" s="31" t="b">
        <x:v>0</x:v>
      </x:c>
      <x:c r="AK282" s="31" t="b">
        <x:v>0</x:v>
      </x:c>
      <x:c r="AL282" s="30" t="str">
        <x:v>Verified — national register and exact BAG address</x:v>
      </x:c>
      <x:c r="AM282" s="30" t="str">
        <x:v>https://www.golf.nl/de-baan-op/banenzoeker/overzicht</x:v>
      </x:c>
      <x:c r="AN282" s="30" t="str">
        <x:v>2026-08-15</x:v>
      </x:c>
      <x:c r="AO282" s="30" t="str">
        <x:v>+31 23-5589001</x:v>
      </x:c>
      <x:c r="AP282" s="30" t="str">
        <x:v>Current NGF/GOLF.NL listing: 9 holes, par 37, 2976 metres. Listed as qualifying.</x:v>
      </x:c>
    </x:row>
    <x:row r="283">
      <x:c r="A283" s="30" t="str">
        <x:v>NL-C0178</x:v>
      </x:c>
      <x:c r="B283" s="30" t="str">
        <x:v>NL-0282</x:v>
      </x:c>
      <x:c r="C283" s="30" t="str">
        <x:v>Heemskerkse Golfclub — Main Course</x:v>
      </x:c>
      <x:c r="D283" s="30" t="str">
        <x:v>Heemskerkse Golfclub</x:v>
      </x:c>
      <x:c r="E283" s="30" t="str">
        <x:v>Main Course</x:v>
      </x:c>
      <x:c r="F283" s="30" t="str">
        <x:v>Netherlands</x:v>
      </x:c>
      <x:c r="G283" s="30" t="str">
        <x:v>Noord-Holland</x:v>
      </x:c>
      <x:c r="H283" s="30" t="str">
        <x:v>Heemskerk</x:v>
      </x:c>
      <x:c r="I283" s="30" t="str">
        <x:v>Heemskerk</x:v>
      </x:c>
      <x:c r="J283" s="30" t="str">
        <x:v>Communicatieweg 18</x:v>
      </x:c>
      <x:c r="K283" s="30" t="str">
        <x:v>1967 PR</x:v>
      </x:c>
      <x:c r="L283" s="32" t="n">
        <x:v>52.49640814</x:v>
      </x:c>
      <x:c r="M283" s="32" t="n">
        <x:v>4.7102557</x:v>
      </x:c>
      <x:c r="N283" s="30" t="str">
        <x:v>WGS84 / EPSG:4326</x:v>
      </x:c>
      <x:c r="O283" s="30" t="str">
        <x:v>Verified BAG address point via PDOK</x:v>
      </x:c>
      <x:c r="P283" s="30" t="str">
        <x:v>2026-08-15</x:v>
      </x:c>
      <x:c r="Q283" s="33" t="n">
        <x:f>IF(R283="","",ROUND(R283/0.9144,0))</x:f>
        <x:v>6947</x:v>
      </x:c>
      <x:c r="R283" s="33" t="n">
        <x:v>6352</x:v>
      </x:c>
      <x:c r="S283" s="33" t="n">
        <x:v>18</x:v>
      </x:c>
      <x:c r="T283" s="33" t="n">
        <x:v>72</x:v>
      </x:c>
      <x:c r="U283" s="30" t="str">
        <x:v>Full-length course</x:v>
      </x:c>
      <x:c r="V283" s="30"/>
      <x:c r="W283" s="30"/>
      <x:c r="X283" s="30"/>
      <x:c r="Y283" s="30" t="str">
        <x:v>https://www.heemskerksegolfclub.nl/</x:v>
      </x:c>
      <x:c r="Z283" s="30" t="b">
        <x:f>IF(AND(F283="Netherlands",ISNUMBER(L283),ISNUMBER(M283),L283&gt;=50.7,L283&lt;=53.7,M283&gt;=3.2,M283&lt;=7.3,AC283&lt;&gt;"Closed"),TRUE,FALSE)</x:f>
        <x:v>1</x:v>
      </x:c>
      <x:c r="AA283" s="30" t="b">
        <x:f>Z283</x:f>
        <x:v>1</x:v>
      </x:c>
      <x:c r="AB283" s="30" t="str">
        <x:f>IF(Z283,"verified_coordinate_and_open","not_map_ready")</x:f>
        <x:v>verified_coordinate_and_open</x:v>
      </x:c>
      <x:c r="AC283" s="30" t="str">
        <x:v>Open</x:v>
      </x:c>
      <x:c r="AD283" s="30" t="str">
        <x:v>Public — handicap 54 or lower</x:v>
      </x:c>
      <x:c r="AE283" s="31" t="b">
        <x:v>1</x:v>
      </x:c>
      <x:c r="AF283" s="31" t="b">
        <x:v>0</x:v>
      </x:c>
      <x:c r="AG283" s="30"/>
      <x:c r="AH283" s="30"/>
      <x:c r="AI283" s="30"/>
      <x:c r="AJ283" s="31" t="b">
        <x:v>0</x:v>
      </x:c>
      <x:c r="AK283" s="31" t="b">
        <x:v>0</x:v>
      </x:c>
      <x:c r="AL283" s="30" t="str">
        <x:v>Verified — national register and exact BAG address</x:v>
      </x:c>
      <x:c r="AM283" s="30" t="str">
        <x:v>https://www.golf.nl/de-baan-op/banenzoeker/overzicht</x:v>
      </x:c>
      <x:c r="AN283" s="30" t="str">
        <x:v>2026-08-15</x:v>
      </x:c>
      <x:c r="AO283" s="30" t="str">
        <x:v>0251-250088</x:v>
      </x:c>
      <x:c r="AP283" s="30" t="str">
        <x:v>Current NGF/GOLF.NL listing: 18 holes, par 72, 6352 metres. Combined from exact NGF-listed constituent nine-hole loops: 1ste negen (9 holes, par 36, 3110 m); 2de negen (9 holes, par 36, 3242 m) The current official facility contact page and BAG address replace the postcode typo in the NGF overview (Communicatieweg 18, 1976 PR Heemskerk). Listed as qualifying.</x:v>
      </x:c>
    </x:row>
    <x:row r="284">
      <x:c r="A284" s="30" t="str">
        <x:v>NL-C0178</x:v>
      </x:c>
      <x:c r="B284" s="30" t="str">
        <x:v>NL-0283</x:v>
      </x:c>
      <x:c r="C284" s="30" t="str">
        <x:v>Heemskerkse Golfclub — Par-3 Course</x:v>
      </x:c>
      <x:c r="D284" s="30" t="str">
        <x:v>Heemskerkse Golfclub</x:v>
      </x:c>
      <x:c r="E284" s="30" t="str">
        <x:v>Par-3 Course</x:v>
      </x:c>
      <x:c r="F284" s="30" t="str">
        <x:v>Netherlands</x:v>
      </x:c>
      <x:c r="G284" s="30" t="str">
        <x:v>Noord-Holland</x:v>
      </x:c>
      <x:c r="H284" s="30" t="str">
        <x:v>Heemskerk</x:v>
      </x:c>
      <x:c r="I284" s="30" t="str">
        <x:v>Heemskerk</x:v>
      </x:c>
      <x:c r="J284" s="30" t="str">
        <x:v>Communicatieweg 18</x:v>
      </x:c>
      <x:c r="K284" s="30" t="str">
        <x:v>1967 PR</x:v>
      </x:c>
      <x:c r="L284" s="32" t="n">
        <x:v>52.49640814</x:v>
      </x:c>
      <x:c r="M284" s="32" t="n">
        <x:v>4.7102557</x:v>
      </x:c>
      <x:c r="N284" s="30" t="str">
        <x:v>WGS84 / EPSG:4326</x:v>
      </x:c>
      <x:c r="O284" s="30" t="str">
        <x:v>Verified BAG address point via PDOK</x:v>
      </x:c>
      <x:c r="P284" s="30" t="str">
        <x:v>2026-08-15</x:v>
      </x:c>
      <x:c r="Q284" s="33" t="n">
        <x:f>IF(R284="","",ROUND(R284/0.9144,0))</x:f>
        <x:v>1182</x:v>
      </x:c>
      <x:c r="R284" s="33" t="n">
        <x:v>1081</x:v>
      </x:c>
      <x:c r="S284" s="33" t="n">
        <x:v>9</x:v>
      </x:c>
      <x:c r="T284" s="33" t="n">
        <x:v>27</x:v>
      </x:c>
      <x:c r="U284" s="30" t="str">
        <x:v>Par-3 course</x:v>
      </x:c>
      <x:c r="V284" s="30"/>
      <x:c r="W284" s="30"/>
      <x:c r="X284" s="30"/>
      <x:c r="Y284" s="30" t="str">
        <x:v>https://www.heemskerksegolfclub.nl/</x:v>
      </x:c>
      <x:c r="Z284" s="30" t="b">
        <x:f>IF(AND(F284="Netherlands",ISNUMBER(L284),ISNUMBER(M284),L284&gt;=50.7,L284&lt;=53.7,M284&gt;=3.2,M284&lt;=7.3,AC284&lt;&gt;"Closed"),TRUE,FALSE)</x:f>
        <x:v>1</x:v>
      </x:c>
      <x:c r="AA284" s="30" t="b">
        <x:f>Z284</x:f>
        <x:v>1</x:v>
      </x:c>
      <x:c r="AB284" s="30" t="str">
        <x:f>IF(Z284,"verified_coordinate_and_open","not_map_ready")</x:f>
        <x:v>verified_coordinate_and_open</x:v>
      </x:c>
      <x:c r="AC284" s="30" t="str">
        <x:v>Open</x:v>
      </x:c>
      <x:c r="AD284" s="30" t="str">
        <x:v>Public — no playing requirement</x:v>
      </x:c>
      <x:c r="AE284" s="31" t="b">
        <x:v>1</x:v>
      </x:c>
      <x:c r="AF284" s="31" t="b">
        <x:v>0</x:v>
      </x:c>
      <x:c r="AG284" s="30"/>
      <x:c r="AH284" s="30"/>
      <x:c r="AI284" s="30"/>
      <x:c r="AJ284" s="31" t="b">
        <x:v>0</x:v>
      </x:c>
      <x:c r="AK284" s="31" t="b">
        <x:v>0</x:v>
      </x:c>
      <x:c r="AL284" s="30" t="str">
        <x:v>Verified — national register and exact BAG address</x:v>
      </x:c>
      <x:c r="AM284" s="30" t="str">
        <x:v>https://www.golf.nl/de-baan-op/banenzoeker/overzicht</x:v>
      </x:c>
      <x:c r="AN284" s="30" t="str">
        <x:v>2026-08-15</x:v>
      </x:c>
      <x:c r="AO284" s="30" t="str">
        <x:v>0251-250088</x:v>
      </x:c>
      <x:c r="AP284" s="30" t="str">
        <x:v>Current NGF/GOLF.NL listing: 9 holes, par 27, 1081 metres. The current official facility contact page and BAG address replace the postcode typo in the NGF overview (Communicatieweg 18, 1976 PR Heemskerk). Listed as qualifying.</x:v>
      </x:c>
    </x:row>
    <x:row r="285">
      <x:c r="A285" s="30" t="str">
        <x:v>NL-C0179</x:v>
      </x:c>
      <x:c r="B285" s="30" t="str">
        <x:v>NL-0284</x:v>
      </x:c>
      <x:c r="C285" s="30" t="str">
        <x:v>Hilversumsche Golf Club — Main Course</x:v>
      </x:c>
      <x:c r="D285" s="30" t="str">
        <x:v>Hilversumsche Golf Club</x:v>
      </x:c>
      <x:c r="E285" s="30" t="str">
        <x:v>Main Course</x:v>
      </x:c>
      <x:c r="F285" s="30" t="str">
        <x:v>Netherlands</x:v>
      </x:c>
      <x:c r="G285" s="30" t="str">
        <x:v>Noord-Holland</x:v>
      </x:c>
      <x:c r="H285" s="30" t="str">
        <x:v>Hilversum</x:v>
      </x:c>
      <x:c r="I285" s="30" t="str">
        <x:v>Hilversum</x:v>
      </x:c>
      <x:c r="J285" s="30" t="str">
        <x:v>Soestdijkerstraatweg 172</x:v>
      </x:c>
      <x:c r="K285" s="30" t="str">
        <x:v>1213 XJ</x:v>
      </x:c>
      <x:c r="L285" s="32" t="n">
        <x:v>52.20611302</x:v>
      </x:c>
      <x:c r="M285" s="32" t="n">
        <x:v>5.20920557</x:v>
      </x:c>
      <x:c r="N285" s="30" t="str">
        <x:v>WGS84 / EPSG:4326</x:v>
      </x:c>
      <x:c r="O285" s="30" t="str">
        <x:v>Verified BAG address point via PDOK</x:v>
      </x:c>
      <x:c r="P285" s="30" t="str">
        <x:v>2026-08-15</x:v>
      </x:c>
      <x:c r="Q285" s="33" t="n">
        <x:f>IF(R285="","",ROUND(R285/0.9144,0))</x:f>
        <x:v>6893</x:v>
      </x:c>
      <x:c r="R285" s="33" t="n">
        <x:v>6303</x:v>
      </x:c>
      <x:c r="S285" s="33" t="n">
        <x:v>18</x:v>
      </x:c>
      <x:c r="T285" s="33" t="n">
        <x:v>72</x:v>
      </x:c>
      <x:c r="U285" s="30" t="str">
        <x:v>Full-length course</x:v>
      </x:c>
      <x:c r="V285" s="30"/>
      <x:c r="W285" s="30"/>
      <x:c r="X285" s="30"/>
      <x:c r="Y285" s="30" t="str">
        <x:v>https://www.hilversumschegolfclub.nl/</x:v>
      </x:c>
      <x:c r="Z285" s="30" t="b">
        <x:f>IF(AND(F285="Netherlands",ISNUMBER(L285),ISNUMBER(M285),L285&gt;=50.7,L285&lt;=53.7,M285&gt;=3.2,M285&lt;=7.3,AC285&lt;&gt;"Closed"),TRUE,FALSE)</x:f>
        <x:v>1</x:v>
      </x:c>
      <x:c r="AA285" s="30" t="b">
        <x:f>Z285</x:f>
        <x:v>1</x:v>
      </x:c>
      <x:c r="AB285" s="30" t="str">
        <x:f>IF(Z285,"verified_coordinate_and_open","not_map_ready")</x:f>
        <x:v>verified_coordinate_and_open</x:v>
      </x:c>
      <x:c r="AC285" s="30" t="str">
        <x:v>Open</x:v>
      </x:c>
      <x:c r="AD285" s="30" t="str">
        <x:v>Public — handicap 24 or lower</x:v>
      </x:c>
      <x:c r="AE285" s="31" t="b">
        <x:v>1</x:v>
      </x:c>
      <x:c r="AF285" s="31" t="b">
        <x:v>0</x:v>
      </x:c>
      <x:c r="AG285" s="30"/>
      <x:c r="AH285" s="30"/>
      <x:c r="AI285" s="30"/>
      <x:c r="AJ285" s="31" t="b">
        <x:v>0</x:v>
      </x:c>
      <x:c r="AK285" s="31" t="b">
        <x:v>0</x:v>
      </x:c>
      <x:c r="AL285" s="30" t="str">
        <x:v>Verified — national register and exact BAG address</x:v>
      </x:c>
      <x:c r="AM285" s="30" t="str">
        <x:v>https://www.golf.nl/de-baan-op/banenzoeker/overzicht</x:v>
      </x:c>
      <x:c r="AN285" s="30" t="str">
        <x:v>2026-08-15</x:v>
      </x:c>
      <x:c r="AO285" s="30" t="str">
        <x:v>+31 35-6857060</x:v>
      </x:c>
      <x:c r="AP285" s="30" t="str">
        <x:v>Current NGF/GOLF.NL listing: 18 holes, par 72, 6303 metres. Combined from exact NGF-listed constituent nine-hole loops: 1ste negen (9 holes, par 36, 3201 m); 2de negen (9 holes, par 36, 3102 m) Listed as qualifying.</x:v>
      </x:c>
    </x:row>
    <x:row r="286">
      <x:c r="A286" s="30" t="str">
        <x:v>NL-C0180</x:v>
      </x:c>
      <x:c r="B286" s="30" t="str">
        <x:v>NL-0285</x:v>
      </x:c>
      <x:c r="C286" s="30" t="str">
        <x:v>Kennemer Golf &amp; Country Club — A-course</x:v>
      </x:c>
      <x:c r="D286" s="30" t="str">
        <x:v>Kennemer Golf &amp; Country Club</x:v>
      </x:c>
      <x:c r="E286" s="30" t="str">
        <x:v>A-course</x:v>
      </x:c>
      <x:c r="F286" s="30" t="str">
        <x:v>Netherlands</x:v>
      </x:c>
      <x:c r="G286" s="30" t="str">
        <x:v>Noord-Holland</x:v>
      </x:c>
      <x:c r="H286" s="30" t="str">
        <x:v>Zandvoort</x:v>
      </x:c>
      <x:c r="I286" s="30" t="str">
        <x:v>Zandvoort</x:v>
      </x:c>
      <x:c r="J286" s="30" t="str">
        <x:v>Kennemerweg 78</x:v>
      </x:c>
      <x:c r="K286" s="30" t="str">
        <x:v>2042 XT</x:v>
      </x:c>
      <x:c r="L286" s="32" t="n">
        <x:v>52.3696995</x:v>
      </x:c>
      <x:c r="M286" s="32" t="n">
        <x:v>4.55272954</x:v>
      </x:c>
      <x:c r="N286" s="30" t="str">
        <x:v>WGS84 / EPSG:4326</x:v>
      </x:c>
      <x:c r="O286" s="30" t="str">
        <x:v>Verified BAG address point via PDOK</x:v>
      </x:c>
      <x:c r="P286" s="30" t="str">
        <x:v>2026-08-15</x:v>
      </x:c>
      <x:c r="Q286" s="33" t="n">
        <x:f>IF(R286="","",ROUND(R286/0.9144,0))</x:f>
        <x:v>3536</x:v>
      </x:c>
      <x:c r="R286" s="33" t="n">
        <x:v>3233</x:v>
      </x:c>
      <x:c r="S286" s="33" t="n">
        <x:v>9</x:v>
      </x:c>
      <x:c r="T286" s="33" t="n">
        <x:v>36</x:v>
      </x:c>
      <x:c r="U286" s="30" t="str">
        <x:v>Full-length course</x:v>
      </x:c>
      <x:c r="V286" s="30"/>
      <x:c r="W286" s="30"/>
      <x:c r="X286" s="30"/>
      <x:c r="Y286" s="30" t="str">
        <x:v>https://kennemergolf.nl/</x:v>
      </x:c>
      <x:c r="Z286" s="30" t="b">
        <x:f>IF(AND(F286="Netherlands",ISNUMBER(L286),ISNUMBER(M286),L286&gt;=50.7,L286&lt;=53.7,M286&gt;=3.2,M286&lt;=7.3,AC286&lt;&gt;"Closed"),TRUE,FALSE)</x:f>
        <x:v>1</x:v>
      </x:c>
      <x:c r="AA286" s="30" t="b">
        <x:f>Z286</x:f>
        <x:v>1</x:v>
      </x:c>
      <x:c r="AB286" s="30" t="str">
        <x:f>IF(Z286,"verified_coordinate_and_open","not_map_ready")</x:f>
        <x:v>verified_coordinate_and_open</x:v>
      </x:c>
      <x:c r="AC286" s="30" t="str">
        <x:v>Open</x:v>
      </x:c>
      <x:c r="AD286" s="30" t="str">
        <x:v>Public — handicap 24 or lower</x:v>
      </x:c>
      <x:c r="AE286" s="31" t="b">
        <x:v>1</x:v>
      </x:c>
      <x:c r="AF286" s="31" t="b">
        <x:v>0</x:v>
      </x:c>
      <x:c r="AG286" s="30"/>
      <x:c r="AH286" s="30"/>
      <x:c r="AI286" s="30"/>
      <x:c r="AJ286" s="31" t="b">
        <x:v>0</x:v>
      </x:c>
      <x:c r="AK286" s="31" t="b">
        <x:v>0</x:v>
      </x:c>
      <x:c r="AL286" s="30" t="str">
        <x:v>Verified — national register and exact BAG address</x:v>
      </x:c>
      <x:c r="AM286" s="30" t="str">
        <x:v>https://www.golf.nl/de-baan-op/banenzoeker/overzicht</x:v>
      </x:c>
      <x:c r="AN286" s="30" t="str">
        <x:v>2026-08-15</x:v>
      </x:c>
      <x:c r="AO286" s="30" t="str">
        <x:v>+31 23-5712836</x:v>
      </x:c>
      <x:c r="AP286" s="30" t="str">
        <x:v>Current NGF/GOLF.NL listing: 9 holes, par 36, 3233 metres. Listed as qualifying.</x:v>
      </x:c>
    </x:row>
    <x:row r="287">
      <x:c r="A287" s="30" t="str">
        <x:v>NL-C0180</x:v>
      </x:c>
      <x:c r="B287" s="30" t="str">
        <x:v>NL-0286</x:v>
      </x:c>
      <x:c r="C287" s="30" t="str">
        <x:v>Kennemer Golf &amp; Country Club — B-course</x:v>
      </x:c>
      <x:c r="D287" s="30" t="str">
        <x:v>Kennemer Golf &amp; Country Club</x:v>
      </x:c>
      <x:c r="E287" s="30" t="str">
        <x:v>B-course</x:v>
      </x:c>
      <x:c r="F287" s="30" t="str">
        <x:v>Netherlands</x:v>
      </x:c>
      <x:c r="G287" s="30" t="str">
        <x:v>Noord-Holland</x:v>
      </x:c>
      <x:c r="H287" s="30" t="str">
        <x:v>Zandvoort</x:v>
      </x:c>
      <x:c r="I287" s="30" t="str">
        <x:v>Zandvoort</x:v>
      </x:c>
      <x:c r="J287" s="30" t="str">
        <x:v>Kennemerweg 78</x:v>
      </x:c>
      <x:c r="K287" s="30" t="str">
        <x:v>2042 XT</x:v>
      </x:c>
      <x:c r="L287" s="32" t="n">
        <x:v>52.3696995</x:v>
      </x:c>
      <x:c r="M287" s="32" t="n">
        <x:v>4.55272954</x:v>
      </x:c>
      <x:c r="N287" s="30" t="str">
        <x:v>WGS84 / EPSG:4326</x:v>
      </x:c>
      <x:c r="O287" s="30" t="str">
        <x:v>Verified BAG address point via PDOK</x:v>
      </x:c>
      <x:c r="P287" s="30" t="str">
        <x:v>2026-08-15</x:v>
      </x:c>
      <x:c r="Q287" s="33" t="n">
        <x:f>IF(R287="","",ROUND(R287/0.9144,0))</x:f>
        <x:v>3287</x:v>
      </x:c>
      <x:c r="R287" s="33" t="n">
        <x:v>3006</x:v>
      </x:c>
      <x:c r="S287" s="33" t="n">
        <x:v>9</x:v>
      </x:c>
      <x:c r="T287" s="33" t="n">
        <x:v>36</x:v>
      </x:c>
      <x:c r="U287" s="30" t="str">
        <x:v>Full-length course</x:v>
      </x:c>
      <x:c r="V287" s="30"/>
      <x:c r="W287" s="30"/>
      <x:c r="X287" s="30"/>
      <x:c r="Y287" s="30" t="str">
        <x:v>https://kennemergolf.nl/</x:v>
      </x:c>
      <x:c r="Z287" s="30" t="b">
        <x:f>IF(AND(F287="Netherlands",ISNUMBER(L287),ISNUMBER(M287),L287&gt;=50.7,L287&lt;=53.7,M287&gt;=3.2,M287&lt;=7.3,AC287&lt;&gt;"Closed"),TRUE,FALSE)</x:f>
        <x:v>1</x:v>
      </x:c>
      <x:c r="AA287" s="30" t="b">
        <x:f>Z287</x:f>
        <x:v>1</x:v>
      </x:c>
      <x:c r="AB287" s="30" t="str">
        <x:f>IF(Z287,"verified_coordinate_and_open","not_map_ready")</x:f>
        <x:v>verified_coordinate_and_open</x:v>
      </x:c>
      <x:c r="AC287" s="30" t="str">
        <x:v>Open</x:v>
      </x:c>
      <x:c r="AD287" s="30" t="str">
        <x:v>Public — handicap 24 or lower</x:v>
      </x:c>
      <x:c r="AE287" s="31" t="b">
        <x:v>1</x:v>
      </x:c>
      <x:c r="AF287" s="31" t="b">
        <x:v>0</x:v>
      </x:c>
      <x:c r="AG287" s="30"/>
      <x:c r="AH287" s="30"/>
      <x:c r="AI287" s="30"/>
      <x:c r="AJ287" s="31" t="b">
        <x:v>0</x:v>
      </x:c>
      <x:c r="AK287" s="31" t="b">
        <x:v>0</x:v>
      </x:c>
      <x:c r="AL287" s="30" t="str">
        <x:v>Verified — national register and exact BAG address</x:v>
      </x:c>
      <x:c r="AM287" s="30" t="str">
        <x:v>https://www.golf.nl/de-baan-op/banenzoeker/overzicht</x:v>
      </x:c>
      <x:c r="AN287" s="30" t="str">
        <x:v>2026-08-15</x:v>
      </x:c>
      <x:c r="AO287" s="30" t="str">
        <x:v>+31 23-5712836</x:v>
      </x:c>
      <x:c r="AP287" s="30" t="str">
        <x:v>Current NGF/GOLF.NL listing: 9 holes, par 36, 3006 metres. Listed as qualifying.</x:v>
      </x:c>
    </x:row>
    <x:row r="288">
      <x:c r="A288" s="30" t="str">
        <x:v>NL-C0180</x:v>
      </x:c>
      <x:c r="B288" s="30" t="str">
        <x:v>NL-0287</x:v>
      </x:c>
      <x:c r="C288" s="30" t="str">
        <x:v>Kennemer Golf &amp; Country Club — C-course</x:v>
      </x:c>
      <x:c r="D288" s="30" t="str">
        <x:v>Kennemer Golf &amp; Country Club</x:v>
      </x:c>
      <x:c r="E288" s="30" t="str">
        <x:v>C-course</x:v>
      </x:c>
      <x:c r="F288" s="30" t="str">
        <x:v>Netherlands</x:v>
      </x:c>
      <x:c r="G288" s="30" t="str">
        <x:v>Noord-Holland</x:v>
      </x:c>
      <x:c r="H288" s="30" t="str">
        <x:v>Zandvoort</x:v>
      </x:c>
      <x:c r="I288" s="30" t="str">
        <x:v>Zandvoort</x:v>
      </x:c>
      <x:c r="J288" s="30" t="str">
        <x:v>Kennemerweg 78</x:v>
      </x:c>
      <x:c r="K288" s="30" t="str">
        <x:v>2042 XT</x:v>
      </x:c>
      <x:c r="L288" s="32" t="n">
        <x:v>52.3696995</x:v>
      </x:c>
      <x:c r="M288" s="32" t="n">
        <x:v>4.55272954</x:v>
      </x:c>
      <x:c r="N288" s="30" t="str">
        <x:v>WGS84 / EPSG:4326</x:v>
      </x:c>
      <x:c r="O288" s="30" t="str">
        <x:v>Verified BAG address point via PDOK</x:v>
      </x:c>
      <x:c r="P288" s="30" t="str">
        <x:v>2026-08-15</x:v>
      </x:c>
      <x:c r="Q288" s="33" t="n">
        <x:f>IF(R288="","",ROUND(R288/0.9144,0))</x:f>
        <x:v>3338</x:v>
      </x:c>
      <x:c r="R288" s="33" t="n">
        <x:v>3052</x:v>
      </x:c>
      <x:c r="S288" s="33" t="n">
        <x:v>9</x:v>
      </x:c>
      <x:c r="T288" s="33" t="n">
        <x:v>36</x:v>
      </x:c>
      <x:c r="U288" s="30" t="str">
        <x:v>Full-length course</x:v>
      </x:c>
      <x:c r="V288" s="30"/>
      <x:c r="W288" s="30"/>
      <x:c r="X288" s="30"/>
      <x:c r="Y288" s="30" t="str">
        <x:v>https://kennemergolf.nl/</x:v>
      </x:c>
      <x:c r="Z288" s="30" t="b">
        <x:f>IF(AND(F288="Netherlands",ISNUMBER(L288),ISNUMBER(M288),L288&gt;=50.7,L288&lt;=53.7,M288&gt;=3.2,M288&lt;=7.3,AC288&lt;&gt;"Closed"),TRUE,FALSE)</x:f>
        <x:v>1</x:v>
      </x:c>
      <x:c r="AA288" s="30" t="b">
        <x:f>Z288</x:f>
        <x:v>1</x:v>
      </x:c>
      <x:c r="AB288" s="30" t="str">
        <x:f>IF(Z288,"verified_coordinate_and_open","not_map_ready")</x:f>
        <x:v>verified_coordinate_and_open</x:v>
      </x:c>
      <x:c r="AC288" s="30" t="str">
        <x:v>Open</x:v>
      </x:c>
      <x:c r="AD288" s="30" t="str">
        <x:v>Public — handicap 24 or lower</x:v>
      </x:c>
      <x:c r="AE288" s="31" t="b">
        <x:v>1</x:v>
      </x:c>
      <x:c r="AF288" s="31" t="b">
        <x:v>0</x:v>
      </x:c>
      <x:c r="AG288" s="30"/>
      <x:c r="AH288" s="30"/>
      <x:c r="AI288" s="30"/>
      <x:c r="AJ288" s="31" t="b">
        <x:v>0</x:v>
      </x:c>
      <x:c r="AK288" s="31" t="b">
        <x:v>0</x:v>
      </x:c>
      <x:c r="AL288" s="30" t="str">
        <x:v>Verified — national register and exact BAG address</x:v>
      </x:c>
      <x:c r="AM288" s="30" t="str">
        <x:v>https://www.golf.nl/de-baan-op/banenzoeker/overzicht</x:v>
      </x:c>
      <x:c r="AN288" s="30" t="str">
        <x:v>2026-08-15</x:v>
      </x:c>
      <x:c r="AO288" s="30" t="str">
        <x:v>+31 23-5712836</x:v>
      </x:c>
      <x:c r="AP288" s="30" t="str">
        <x:v>Current NGF/GOLF.NL listing: 9 holes, par 36, 3052 metres. Listed as qualifying.</x:v>
      </x:c>
    </x:row>
    <x:row r="289">
      <x:c r="A289" s="30" t="str">
        <x:v>NL-C0181</x:v>
      </x:c>
      <x:c r="B289" s="30" t="str">
        <x:v>NL-0288</x:v>
      </x:c>
      <x:c r="C289" s="30" t="str">
        <x:v>Marine Golf Club Nieuwediep</x:v>
      </x:c>
      <x:c r="D289" s="30" t="str">
        <x:v>Marine Golf Club Nieuwediep</x:v>
      </x:c>
      <x:c r="E289" s="30" t="str">
        <x:v>Course</x:v>
      </x:c>
      <x:c r="F289" s="30" t="str">
        <x:v>Netherlands</x:v>
      </x:c>
      <x:c r="G289" s="30" t="str">
        <x:v>Noord-Holland</x:v>
      </x:c>
      <x:c r="H289" s="30" t="str">
        <x:v>Den Helder</x:v>
      </x:c>
      <x:c r="I289" s="30" t="str">
        <x:v>Den Helder</x:v>
      </x:c>
      <x:c r="J289" s="30" t="str">
        <x:v>Kortevliet 1-BB</x:v>
      </x:c>
      <x:c r="K289" s="30" t="str">
        <x:v>1786 PK</x:v>
      </x:c>
      <x:c r="L289" s="32" t="n">
        <x:v>52.92460605</x:v>
      </x:c>
      <x:c r="M289" s="32" t="n">
        <x:v>4.77639055</x:v>
      </x:c>
      <x:c r="N289" s="30" t="str">
        <x:v>WGS84 / EPSG:4326</x:v>
      </x:c>
      <x:c r="O289" s="30" t="str">
        <x:v>Verified BAG address point via PDOK</x:v>
      </x:c>
      <x:c r="P289" s="30" t="str">
        <x:v>2026-08-15</x:v>
      </x:c>
      <x:c r="Q289" s="33" t="n">
        <x:f>IF(R289="","",ROUND(R289/0.9144,0))</x:f>
        <x:v>2986</x:v>
      </x:c>
      <x:c r="R289" s="33" t="n">
        <x:v>2730</x:v>
      </x:c>
      <x:c r="S289" s="33" t="n">
        <x:v>9</x:v>
      </x:c>
      <x:c r="T289" s="33" t="n">
        <x:v>35</x:v>
      </x:c>
      <x:c r="U289" s="30" t="str">
        <x:v>Full-length course</x:v>
      </x:c>
      <x:c r="V289" s="30"/>
      <x:c r="W289" s="30"/>
      <x:c r="X289" s="30"/>
      <x:c r="Y289" s="30" t="str">
        <x:v>https://www.marinegolfclub.nl/</x:v>
      </x:c>
      <x:c r="Z289" s="30" t="b">
        <x:f>IF(AND(F289="Netherlands",ISNUMBER(L289),ISNUMBER(M289),L289&gt;=50.7,L289&lt;=53.7,M289&gt;=3.2,M289&lt;=7.3,AC289&lt;&gt;"Closed"),TRUE,FALSE)</x:f>
        <x:v>1</x:v>
      </x:c>
      <x:c r="AA289" s="30" t="b">
        <x:f>Z289</x:f>
        <x:v>1</x:v>
      </x:c>
      <x:c r="AB289" s="30" t="str">
        <x:f>IF(Z289,"verified_coordinate_and_open","not_map_ready")</x:f>
        <x:v>verified_coordinate_and_open</x:v>
      </x:c>
      <x:c r="AC289" s="30" t="str">
        <x:v>Open</x:v>
      </x:c>
      <x:c r="AD289" s="30" t="str">
        <x:v>Public — handicap 54 or lower</x:v>
      </x:c>
      <x:c r="AE289" s="31" t="b">
        <x:v>1</x:v>
      </x:c>
      <x:c r="AF289" s="31" t="b">
        <x:v>0</x:v>
      </x:c>
      <x:c r="AG289" s="30"/>
      <x:c r="AH289" s="30"/>
      <x:c r="AI289" s="30"/>
      <x:c r="AJ289" s="31" t="b">
        <x:v>0</x:v>
      </x:c>
      <x:c r="AK289" s="31" t="b">
        <x:v>0</x:v>
      </x:c>
      <x:c r="AL289" s="30" t="str">
        <x:v>Verified — national register and exact BAG address</x:v>
      </x:c>
      <x:c r="AM289" s="30" t="str">
        <x:v>https://www.golf.nl/de-baan-op/banenzoeker/overzicht</x:v>
      </x:c>
      <x:c r="AN289" s="30" t="str">
        <x:v>2026-08-15</x:v>
      </x:c>
      <x:c r="AO289" s="30" t="str">
        <x:v>+31 223-533446</x:v>
      </x:c>
      <x:c r="AP289" s="30" t="str">
        <x:v>Current NGF/GOLF.NL listing: 9 holes, par 35, 2730 metres. Listed as qualifying.</x:v>
      </x:c>
    </x:row>
    <x:row r="290">
      <x:c r="A290" s="30" t="str">
        <x:v>NL-C0182</x:v>
      </x:c>
      <x:c r="B290" s="30" t="str">
        <x:v>NL-0289</x:v>
      </x:c>
      <x:c r="C290" s="30" t="str">
        <x:v>Schaerweijde Golf</x:v>
      </x:c>
      <x:c r="D290" s="30" t="str">
        <x:v>Schaerweijde Golf</x:v>
      </x:c>
      <x:c r="E290" s="30" t="str">
        <x:v>Course</x:v>
      </x:c>
      <x:c r="F290" s="30" t="str">
        <x:v>Netherlands</x:v>
      </x:c>
      <x:c r="G290" s="30" t="str">
        <x:v>Noord-Holland</x:v>
      </x:c>
      <x:c r="H290" s="30" t="str">
        <x:v>Zeist</x:v>
      </x:c>
      <x:c r="I290" s="30" t="str">
        <x:v>Zeist</x:v>
      </x:c>
      <x:c r="J290" s="30" t="str">
        <x:v>Hein Bottingalaan 1</x:v>
      </x:c>
      <x:c r="K290" s="30" t="str">
        <x:v>3707 NX</x:v>
      </x:c>
      <x:c r="L290" s="32" t="n">
        <x:v>52.10378967</x:v>
      </x:c>
      <x:c r="M290" s="32" t="n">
        <x:v>5.26678811</x:v>
      </x:c>
      <x:c r="N290" s="30" t="str">
        <x:v>WGS84 / EPSG:4326</x:v>
      </x:c>
      <x:c r="O290" s="30" t="str">
        <x:v>Verified BAG address point via PDOK</x:v>
      </x:c>
      <x:c r="P290" s="30" t="str">
        <x:v>2026-08-15</x:v>
      </x:c>
      <x:c r="Q290" s="33" t="n">
        <x:f>IF(R290="","",ROUND(R290/0.9144,0))</x:f>
        <x:v>1526</x:v>
      </x:c>
      <x:c r="R290" s="33" t="n">
        <x:v>1395</x:v>
      </x:c>
      <x:c r="S290" s="33" t="n">
        <x:v>9</x:v>
      </x:c>
      <x:c r="T290" s="33" t="n">
        <x:v>28</x:v>
      </x:c>
      <x:c r="U290" s="30" t="str">
        <x:v>Par-3/4 course</x:v>
      </x:c>
      <x:c r="V290" s="30"/>
      <x:c r="W290" s="30"/>
      <x:c r="X290" s="30"/>
      <x:c r="Y290" s="30" t="str">
        <x:v>https://schaerweijde-golf.nl/</x:v>
      </x:c>
      <x:c r="Z290" s="30" t="b">
        <x:f>IF(AND(F290="Netherlands",ISNUMBER(L290),ISNUMBER(M290),L290&gt;=50.7,L290&lt;=53.7,M290&gt;=3.2,M290&lt;=7.3,AC290&lt;&gt;"Closed"),TRUE,FALSE)</x:f>
        <x:v>1</x:v>
      </x:c>
      <x:c r="AA290" s="30" t="b">
        <x:f>Z290</x:f>
        <x:v>1</x:v>
      </x:c>
      <x:c r="AB290" s="30" t="str">
        <x:f>IF(Z290,"verified_coordinate_and_open","not_map_ready")</x:f>
        <x:v>verified_coordinate_and_open</x:v>
      </x:c>
      <x:c r="AC290" s="30" t="str">
        <x:v>Open</x:v>
      </x:c>
      <x:c r="AD290" s="30" t="str">
        <x:v>Public — handicap 54 or lower</x:v>
      </x:c>
      <x:c r="AE290" s="31" t="b">
        <x:v>1</x:v>
      </x:c>
      <x:c r="AF290" s="31" t="b">
        <x:v>0</x:v>
      </x:c>
      <x:c r="AG290" s="30"/>
      <x:c r="AH290" s="30"/>
      <x:c r="AI290" s="30"/>
      <x:c r="AJ290" s="31" t="b">
        <x:v>0</x:v>
      </x:c>
      <x:c r="AK290" s="31" t="b">
        <x:v>0</x:v>
      </x:c>
      <x:c r="AL290" s="30" t="str">
        <x:v>Verified — national register and exact BAG address</x:v>
      </x:c>
      <x:c r="AM290" s="30" t="str">
        <x:v>https://www.golf.nl/de-baan-op/banenzoeker/overzicht</x:v>
      </x:c>
      <x:c r="AN290" s="30" t="str">
        <x:v>2026-08-15</x:v>
      </x:c>
      <x:c r="AO290" s="30" t="str">
        <x:v>+31 30-6920272</x:v>
      </x:c>
      <x:c r="AP290" s="30" t="str">
        <x:v>Current NGF/GOLF.NL listing: 9 holes, par 28, 1395 metres. Listed as qualifying.</x:v>
      </x:c>
    </x:row>
    <x:row r="291">
      <x:c r="A291" s="30" t="str">
        <x:v>NL-C0183</x:v>
      </x:c>
      <x:c r="B291" s="30" t="str">
        <x:v>NL-0290</x:v>
      </x:c>
      <x:c r="C291" s="30" t="str">
        <x:v>The Dunes</x:v>
      </x:c>
      <x:c r="D291" s="30" t="str">
        <x:v>The Dunes</x:v>
      </x:c>
      <x:c r="E291" s="30" t="str">
        <x:v>Course</x:v>
      </x:c>
      <x:c r="F291" s="30" t="str">
        <x:v>Netherlands</x:v>
      </x:c>
      <x:c r="G291" s="30" t="str">
        <x:v>Noord-Holland</x:v>
      </x:c>
      <x:c r="H291" s="30" t="str">
        <x:v>Zandvoort</x:v>
      </x:c>
      <x:c r="I291" s="30" t="str">
        <x:v>Zandvoort</x:v>
      </x:c>
      <x:c r="J291" s="30" t="str">
        <x:v>Duintjesveldweg 3</x:v>
      </x:c>
      <x:c r="K291" s="30" t="str">
        <x:v>2041 TZ</x:v>
      </x:c>
      <x:c r="L291" s="32" t="n">
        <x:v>52.38330285</x:v>
      </x:c>
      <x:c r="M291" s="32" t="n">
        <x:v>4.5485775</x:v>
      </x:c>
      <x:c r="N291" s="30" t="str">
        <x:v>WGS84 / EPSG:4326</x:v>
      </x:c>
      <x:c r="O291" s="30" t="str">
        <x:v>Verified BAG address point via PDOK</x:v>
      </x:c>
      <x:c r="P291" s="30" t="str">
        <x:v>2026-08-15</x:v>
      </x:c>
      <x:c r="Q291" s="33" t="n">
        <x:f>IF(R291="","",ROUND(R291/0.9144,0))</x:f>
        <x:v>1544</x:v>
      </x:c>
      <x:c r="R291" s="33" t="n">
        <x:v>1412</x:v>
      </x:c>
      <x:c r="S291" s="33" t="n">
        <x:v>9</x:v>
      </x:c>
      <x:c r="T291" s="33" t="n">
        <x:v>29</x:v>
      </x:c>
      <x:c r="U291" s="30" t="str">
        <x:v>Par-3/4 course</x:v>
      </x:c>
      <x:c r="V291" s="30"/>
      <x:c r="W291" s="30"/>
      <x:c r="X291" s="30"/>
      <x:c r="Y291" s="30" t="str">
        <x:v>https://thedunes.nl/</x:v>
      </x:c>
      <x:c r="Z291" s="30" t="b">
        <x:f>IF(AND(F291="Netherlands",ISNUMBER(L291),ISNUMBER(M291),L291&gt;=50.7,L291&lt;=53.7,M291&gt;=3.2,M291&lt;=7.3,AC291&lt;&gt;"Closed"),TRUE,FALSE)</x:f>
        <x:v>1</x:v>
      </x:c>
      <x:c r="AA291" s="30" t="b">
        <x:f>Z291</x:f>
        <x:v>1</x:v>
      </x:c>
      <x:c r="AB291" s="30" t="str">
        <x:f>IF(Z291,"verified_coordinate_and_open","not_map_ready")</x:f>
        <x:v>verified_coordinate_and_open</x:v>
      </x:c>
      <x:c r="AC291" s="30" t="str">
        <x:v>Open</x:v>
      </x:c>
      <x:c r="AD291" s="30" t="str">
        <x:v>Public — NGF course permission</x:v>
      </x:c>
      <x:c r="AE291" s="31" t="b">
        <x:v>1</x:v>
      </x:c>
      <x:c r="AF291" s="31" t="b">
        <x:v>0</x:v>
      </x:c>
      <x:c r="AG291" s="30"/>
      <x:c r="AH291" s="30"/>
      <x:c r="AI291" s="30"/>
      <x:c r="AJ291" s="31" t="b">
        <x:v>0</x:v>
      </x:c>
      <x:c r="AK291" s="31" t="b">
        <x:v>0</x:v>
      </x:c>
      <x:c r="AL291" s="30" t="str">
        <x:v>Verified — national register and exact BAG address</x:v>
      </x:c>
      <x:c r="AM291" s="30" t="str">
        <x:v>https://www.golf.nl/de-baan-op/banenzoeker/overzicht</x:v>
      </x:c>
      <x:c r="AN291" s="30" t="str">
        <x:v>2026-08-15</x:v>
      </x:c>
      <x:c r="AO291" s="30" t="str">
        <x:v>+31 23-5715743</x:v>
      </x:c>
      <x:c r="AP291" s="30" t="str">
        <x:v>Current NGF/GOLF.NL listing: 9 holes, par 29, 1412 metres. Listed as qualifying.</x:v>
      </x:c>
    </x:row>
    <x:row r="292">
      <x:c r="A292" s="30" t="str">
        <x:v>NL-C0184</x:v>
      </x:c>
      <x:c r="B292" s="30" t="str">
        <x:v>NL-0291</x:v>
      </x:c>
      <x:c r="C292" s="30" t="str">
        <x:v>The International Golf Club — Main Course</x:v>
      </x:c>
      <x:c r="D292" s="30" t="str">
        <x:v>The International Golf Club</x:v>
      </x:c>
      <x:c r="E292" s="30" t="str">
        <x:v>Main Course</x:v>
      </x:c>
      <x:c r="F292" s="30" t="str">
        <x:v>Netherlands</x:v>
      </x:c>
      <x:c r="G292" s="30" t="str">
        <x:v>Noord-Holland</x:v>
      </x:c>
      <x:c r="H292" s="30" t="str">
        <x:v>Haarlemmermeer</x:v>
      </x:c>
      <x:c r="I292" s="30" t="str">
        <x:v>Badhoevedorp</x:v>
      </x:c>
      <x:c r="J292" s="30" t="str">
        <x:v>Oude Haagseweg 200</x:v>
      </x:c>
      <x:c r="K292" s="30" t="str">
        <x:v>1171 PE</x:v>
      </x:c>
      <x:c r="L292" s="32" t="n">
        <x:v>52.32823917</x:v>
      </x:c>
      <x:c r="M292" s="32" t="n">
        <x:v>4.80343419</x:v>
      </x:c>
      <x:c r="N292" s="30" t="str">
        <x:v>WGS84 / EPSG:4326</x:v>
      </x:c>
      <x:c r="O292" s="30" t="str">
        <x:v>Verified BAG address point via PDOK</x:v>
      </x:c>
      <x:c r="P292" s="30" t="str">
        <x:v>2026-08-15</x:v>
      </x:c>
      <x:c r="Q292" s="33" t="n">
        <x:f>IF(R292="","",ROUND(R292/0.9144,0))</x:f>
        <x:v>7234</x:v>
      </x:c>
      <x:c r="R292" s="33" t="n">
        <x:v>6615</x:v>
      </x:c>
      <x:c r="S292" s="33" t="n">
        <x:v>18</x:v>
      </x:c>
      <x:c r="T292" s="33" t="n">
        <x:v>73</x:v>
      </x:c>
      <x:c r="U292" s="30" t="str">
        <x:v>Full-length course</x:v>
      </x:c>
      <x:c r="V292" s="30"/>
      <x:c r="W292" s="30"/>
      <x:c r="X292" s="30"/>
      <x:c r="Y292" s="30" t="str">
        <x:v>https://www.theinternational.nl/</x:v>
      </x:c>
      <x:c r="Z292" s="30" t="b">
        <x:f>IF(AND(F292="Netherlands",ISNUMBER(L292),ISNUMBER(M292),L292&gt;=50.7,L292&lt;=53.7,M292&gt;=3.2,M292&lt;=7.3,AC292&lt;&gt;"Closed"),TRUE,FALSE)</x:f>
        <x:v>1</x:v>
      </x:c>
      <x:c r="AA292" s="30" t="b">
        <x:f>Z292</x:f>
        <x:v>1</x:v>
      </x:c>
      <x:c r="AB292" s="30" t="str">
        <x:f>IF(Z292,"verified_coordinate_and_open","not_map_ready")</x:f>
        <x:v>verified_coordinate_and_open</x:v>
      </x:c>
      <x:c r="AC292" s="30" t="str">
        <x:v>Open</x:v>
      </x:c>
      <x:c r="AD292" s="30" t="str">
        <x:v>Public — handicap 54 or lower</x:v>
      </x:c>
      <x:c r="AE292" s="31" t="b">
        <x:v>1</x:v>
      </x:c>
      <x:c r="AF292" s="31" t="b">
        <x:v>0</x:v>
      </x:c>
      <x:c r="AG292" s="30"/>
      <x:c r="AH292" s="30"/>
      <x:c r="AI292" s="30"/>
      <x:c r="AJ292" s="31" t="b">
        <x:v>0</x:v>
      </x:c>
      <x:c r="AK292" s="31" t="b">
        <x:v>0</x:v>
      </x:c>
      <x:c r="AL292" s="30" t="str">
        <x:v>Verified — national register and exact BAG address</x:v>
      </x:c>
      <x:c r="AM292" s="30" t="str">
        <x:v>https://www.golf.nl/de-baan-op/banenzoeker/overzicht</x:v>
      </x:c>
      <x:c r="AN292" s="30" t="str">
        <x:v>2026-08-15</x:v>
      </x:c>
      <x:c r="AO292" s="30" t="str">
        <x:v>+31 20-3034444</x:v>
      </x:c>
      <x:c r="AP292" s="30" t="str">
        <x:v>Current NGF/GOLF.NL listing: 18 holes, par 73, 6615 metres. Combined from exact NGF-listed constituent nine-hole loops: 1ste negen (9 holes, par 37, 3347 m); 2de negen (9 holes, par 36, 3268 m) Listed as qualifying.</x:v>
      </x:c>
    </x:row>
    <x:row r="293">
      <x:c r="A293" s="30" t="str">
        <x:v>NL-C0185</x:v>
      </x:c>
      <x:c r="B293" s="30" t="str">
        <x:v>NL-0292</x:v>
      </x:c>
      <x:c r="C293" s="30" t="str">
        <x:v>Zaanse Golfclub — Main Course</x:v>
      </x:c>
      <x:c r="D293" s="30" t="str">
        <x:v>Zaanse Golfclub</x:v>
      </x:c>
      <x:c r="E293" s="30" t="str">
        <x:v>Main Course</x:v>
      </x:c>
      <x:c r="F293" s="30" t="str">
        <x:v>Netherlands</x:v>
      </x:c>
      <x:c r="G293" s="30" t="str">
        <x:v>Noord-Holland</x:v>
      </x:c>
      <x:c r="H293" s="30" t="str">
        <x:v>Wormerland</x:v>
      </x:c>
      <x:c r="I293" s="30" t="str">
        <x:v>Wijdewormer</x:v>
      </x:c>
      <x:c r="J293" s="30" t="str">
        <x:v>Zuiderweg 68</x:v>
      </x:c>
      <x:c r="K293" s="30" t="str">
        <x:v>1456 NH</x:v>
      </x:c>
      <x:c r="L293" s="32" t="n">
        <x:v>52.47057873</x:v>
      </x:c>
      <x:c r="M293" s="32" t="n">
        <x:v>4.86579679</x:v>
      </x:c>
      <x:c r="N293" s="30" t="str">
        <x:v>WGS84 / EPSG:4326</x:v>
      </x:c>
      <x:c r="O293" s="30" t="str">
        <x:v>Verified BAG address point via PDOK</x:v>
      </x:c>
      <x:c r="P293" s="30" t="str">
        <x:v>2026-08-15</x:v>
      </x:c>
      <x:c r="Q293" s="33" t="n">
        <x:f>IF(R293="","",ROUND(R293/0.9144,0))</x:f>
        <x:v>6290</x:v>
      </x:c>
      <x:c r="R293" s="33" t="n">
        <x:v>5752</x:v>
      </x:c>
      <x:c r="S293" s="33" t="n">
        <x:v>18</x:v>
      </x:c>
      <x:c r="T293" s="33" t="n">
        <x:v>71</x:v>
      </x:c>
      <x:c r="U293" s="30" t="str">
        <x:v>Full-length course</x:v>
      </x:c>
      <x:c r="V293" s="30"/>
      <x:c r="W293" s="30"/>
      <x:c r="X293" s="30"/>
      <x:c r="Y293" s="30" t="str">
        <x:v>https://dezaanse.nl/</x:v>
      </x:c>
      <x:c r="Z293" s="30" t="b">
        <x:f>IF(AND(F293="Netherlands",ISNUMBER(L293),ISNUMBER(M293),L293&gt;=50.7,L293&lt;=53.7,M293&gt;=3.2,M293&lt;=7.3,AC293&lt;&gt;"Closed"),TRUE,FALSE)</x:f>
        <x:v>1</x:v>
      </x:c>
      <x:c r="AA293" s="30" t="b">
        <x:f>Z293</x:f>
        <x:v>1</x:v>
      </x:c>
      <x:c r="AB293" s="30" t="str">
        <x:f>IF(Z293,"verified_coordinate_and_open","not_map_ready")</x:f>
        <x:v>verified_coordinate_and_open</x:v>
      </x:c>
      <x:c r="AC293" s="30" t="str">
        <x:v>Open</x:v>
      </x:c>
      <x:c r="AD293" s="30" t="str">
        <x:v>Public — NGF course permission</x:v>
      </x:c>
      <x:c r="AE293" s="31" t="b">
        <x:v>1</x:v>
      </x:c>
      <x:c r="AF293" s="31" t="b">
        <x:v>0</x:v>
      </x:c>
      <x:c r="AG293" s="30"/>
      <x:c r="AH293" s="30"/>
      <x:c r="AI293" s="30"/>
      <x:c r="AJ293" s="31" t="b">
        <x:v>0</x:v>
      </x:c>
      <x:c r="AK293" s="31" t="b">
        <x:v>0</x:v>
      </x:c>
      <x:c r="AL293" s="30" t="str">
        <x:v>Verified — national register and exact BAG address</x:v>
      </x:c>
      <x:c r="AM293" s="30" t="str">
        <x:v>https://www.golf.nl/de-baan-op/banenzoeker/overzicht</x:v>
      </x:c>
      <x:c r="AN293" s="30" t="str">
        <x:v>2026-08-15</x:v>
      </x:c>
      <x:c r="AO293" s="30" t="str">
        <x:v>+31 299-438199</x:v>
      </x:c>
      <x:c r="AP293" s="30" t="str">
        <x:v>Current NGF/GOLF.NL listing: 18 holes, par 71, 5752 metres. Combined from exact NGF-listed constituent nine-hole loops: 1ste negen (9 holes, par 36, 2959 m); 2de negen (9 holes, par 35, 2793 m) Listed as qualifying.</x:v>
      </x:c>
    </x:row>
    <x:row r="294">
      <x:c r="A294" s="30" t="str">
        <x:v>NL-C0186</x:v>
      </x:c>
      <x:c r="B294" s="30" t="str">
        <x:v>NL-0293</x:v>
      </x:c>
      <x:c r="C294" s="30" t="str">
        <x:v>Dutch Golf Hattem</x:v>
      </x:c>
      <x:c r="D294" s="30" t="str">
        <x:v>Dutch Golf Hattem</x:v>
      </x:c>
      <x:c r="E294" s="30" t="str">
        <x:v>Course</x:v>
      </x:c>
      <x:c r="F294" s="30" t="str">
        <x:v>Netherlands</x:v>
      </x:c>
      <x:c r="G294" s="30" t="str">
        <x:v>Overijssel</x:v>
      </x:c>
      <x:c r="H294" s="30" t="str">
        <x:v>Hattem</x:v>
      </x:c>
      <x:c r="I294" s="30" t="str">
        <x:v>Hattem</x:v>
      </x:c>
      <x:c r="J294" s="30" t="str">
        <x:v>Konijnenbergerweg 3</x:v>
      </x:c>
      <x:c r="K294" s="30" t="str">
        <x:v>8051 CC</x:v>
      </x:c>
      <x:c r="L294" s="32" t="n">
        <x:v>52.45867368</x:v>
      </x:c>
      <x:c r="M294" s="32" t="n">
        <x:v>6.07199403</x:v>
      </x:c>
      <x:c r="N294" s="30" t="str">
        <x:v>WGS84 / EPSG:4326</x:v>
      </x:c>
      <x:c r="O294" s="30" t="str">
        <x:v>Verified BAG address point via PDOK</x:v>
      </x:c>
      <x:c r="P294" s="30" t="str">
        <x:v>2026-08-15</x:v>
      </x:c>
      <x:c r="Q294" s="33" t="n">
        <x:f>IF(R294="","",ROUND(R294/0.9144,0))</x:f>
        <x:v>1461</x:v>
      </x:c>
      <x:c r="R294" s="33" t="n">
        <x:v>1336</x:v>
      </x:c>
      <x:c r="S294" s="33" t="n">
        <x:v>9</x:v>
      </x:c>
      <x:c r="T294" s="33" t="n">
        <x:v>30</x:v>
      </x:c>
      <x:c r="U294" s="30" t="str">
        <x:v>Par-3/4 course</x:v>
      </x:c>
      <x:c r="V294" s="30"/>
      <x:c r="W294" s="30"/>
      <x:c r="X294" s="30"/>
      <x:c r="Y294" s="30" t="str">
        <x:v>https://www.dutchgolf.nl/</x:v>
      </x:c>
      <x:c r="Z294" s="30" t="b">
        <x:f>IF(AND(F294="Netherlands",ISNUMBER(L294),ISNUMBER(M294),L294&gt;=50.7,L294&lt;=53.7,M294&gt;=3.2,M294&lt;=7.3,AC294&lt;&gt;"Closed"),TRUE,FALSE)</x:f>
        <x:v>1</x:v>
      </x:c>
      <x:c r="AA294" s="30" t="b">
        <x:f>Z294</x:f>
        <x:v>1</x:v>
      </x:c>
      <x:c r="AB294" s="30" t="str">
        <x:f>IF(Z294,"verified_coordinate_and_open","not_map_ready")</x:f>
        <x:v>verified_coordinate_and_open</x:v>
      </x:c>
      <x:c r="AC294" s="30" t="str">
        <x:v>Open</x:v>
      </x:c>
      <x:c r="AD294" s="30" t="str">
        <x:v>Public — NGF course permission</x:v>
      </x:c>
      <x:c r="AE294" s="31" t="b">
        <x:v>1</x:v>
      </x:c>
      <x:c r="AF294" s="31" t="b">
        <x:v>0</x:v>
      </x:c>
      <x:c r="AG294" s="30"/>
      <x:c r="AH294" s="30"/>
      <x:c r="AI294" s="30"/>
      <x:c r="AJ294" s="31" t="b">
        <x:v>0</x:v>
      </x:c>
      <x:c r="AK294" s="31" t="b">
        <x:v>0</x:v>
      </x:c>
      <x:c r="AL294" s="30" t="str">
        <x:v>Verified — national register and exact BAG address</x:v>
      </x:c>
      <x:c r="AM294" s="30" t="str">
        <x:v>https://www.golf.nl/de-baan-op/banenzoeker/overzicht</x:v>
      </x:c>
      <x:c r="AN294" s="30" t="str">
        <x:v>2026-08-15</x:v>
      </x:c>
      <x:c r="AO294" s="30" t="str">
        <x:v>+31 38-4440620</x:v>
      </x:c>
      <x:c r="AP294" s="30" t="str">
        <x:v>Current NGF/GOLF.NL listing: 9 holes, par 30, 1336 metres. Listed as qualifying.</x:v>
      </x:c>
    </x:row>
    <x:row r="295">
      <x:c r="A295" s="30" t="str">
        <x:v>NL-C0187</x:v>
      </x:c>
      <x:c r="B295" s="30" t="str">
        <x:v>NL-0294</x:v>
      </x:c>
      <x:c r="C295" s="30" t="str">
        <x:v>Golf &amp; Country Club 't Kruisselt</x:v>
      </x:c>
      <x:c r="D295" s="30" t="str">
        <x:v>Golf &amp; Country Club 't Kruisselt</x:v>
      </x:c>
      <x:c r="E295" s="30" t="str">
        <x:v>Course</x:v>
      </x:c>
      <x:c r="F295" s="30" t="str">
        <x:v>Netherlands</x:v>
      </x:c>
      <x:c r="G295" s="30" t="str">
        <x:v>Overijssel</x:v>
      </x:c>
      <x:c r="H295" s="30" t="str">
        <x:v>Losser</x:v>
      </x:c>
      <x:c r="I295" s="30" t="str">
        <x:v>de Lutte</x:v>
      </x:c>
      <x:c r="J295" s="30" t="str">
        <x:v>Kruisseltlaan 3</x:v>
      </x:c>
      <x:c r="K295" s="30" t="str">
        <x:v>7587 NM</x:v>
      </x:c>
      <x:c r="L295" s="32" t="n">
        <x:v>52.31908992</x:v>
      </x:c>
      <x:c r="M295" s="32" t="n">
        <x:v>6.96704045</x:v>
      </x:c>
      <x:c r="N295" s="30" t="str">
        <x:v>WGS84 / EPSG:4326</x:v>
      </x:c>
      <x:c r="O295" s="30" t="str">
        <x:v>Verified BAG address point via PDOK</x:v>
      </x:c>
      <x:c r="P295" s="30" t="str">
        <x:v>2026-08-15</x:v>
      </x:c>
      <x:c r="Q295" s="33" t="n">
        <x:f>IF(R295="","",ROUND(R295/0.9144,0))</x:f>
        <x:v>756</x:v>
      </x:c>
      <x:c r="R295" s="33" t="n">
        <x:v>691</x:v>
      </x:c>
      <x:c r="S295" s="33" t="n">
        <x:v>9</x:v>
      </x:c>
      <x:c r="T295" s="33" t="n">
        <x:v>27</x:v>
      </x:c>
      <x:c r="U295" s="30" t="str">
        <x:v>Par-3 course</x:v>
      </x:c>
      <x:c r="V295" s="30"/>
      <x:c r="W295" s="30"/>
      <x:c r="X295" s="30"/>
      <x:c r="Y295" s="30" t="str">
        <x:v>https://www.kruisselt.nl/golf/</x:v>
      </x:c>
      <x:c r="Z295" s="30" t="b">
        <x:f>IF(AND(F295="Netherlands",ISNUMBER(L295),ISNUMBER(M295),L295&gt;=50.7,L295&lt;=53.7,M295&gt;=3.2,M295&lt;=7.3,AC295&lt;&gt;"Closed"),TRUE,FALSE)</x:f>
        <x:v>1</x:v>
      </x:c>
      <x:c r="AA295" s="30" t="b">
        <x:f>Z295</x:f>
        <x:v>1</x:v>
      </x:c>
      <x:c r="AB295" s="30" t="str">
        <x:f>IF(Z295,"verified_coordinate_and_open","not_map_ready")</x:f>
        <x:v>verified_coordinate_and_open</x:v>
      </x:c>
      <x:c r="AC295" s="30" t="str">
        <x:v>Open</x:v>
      </x:c>
      <x:c r="AD295" s="30" t="str">
        <x:v>Public — NGF course permission</x:v>
      </x:c>
      <x:c r="AE295" s="31" t="b">
        <x:v>1</x:v>
      </x:c>
      <x:c r="AF295" s="31" t="b">
        <x:v>0</x:v>
      </x:c>
      <x:c r="AG295" s="30"/>
      <x:c r="AH295" s="30"/>
      <x:c r="AI295" s="30"/>
      <x:c r="AJ295" s="31" t="b">
        <x:v>0</x:v>
      </x:c>
      <x:c r="AK295" s="31" t="b">
        <x:v>0</x:v>
      </x:c>
      <x:c r="AL295" s="30" t="str">
        <x:v>Verified — national register and exact BAG address</x:v>
      </x:c>
      <x:c r="AM295" s="30" t="str">
        <x:v>https://www.golf.nl/de-baan-op/banenzoeker/overzicht</x:v>
      </x:c>
      <x:c r="AN295" s="30" t="str">
        <x:v>2026-08-15</x:v>
      </x:c>
      <x:c r="AO295" s="30" t="str">
        <x:v>+31 541-551567</x:v>
      </x:c>
      <x:c r="AP295" s="30" t="str">
        <x:v>Current NGF/GOLF.NL listing: 9 holes, par 27, 691 metres. Listed as qualifying.</x:v>
      </x:c>
    </x:row>
    <x:row r="296">
      <x:c r="A296" s="30" t="str">
        <x:v>NL-C0188</x:v>
      </x:c>
      <x:c r="B296" s="30" t="str">
        <x:v>NL-0295</x:v>
      </x:c>
      <x:c r="C296" s="30" t="str">
        <x:v>Golfbaan De Lage Mors</x:v>
      </x:c>
      <x:c r="D296" s="30" t="str">
        <x:v>Golfbaan De Lage Mors</x:v>
      </x:c>
      <x:c r="E296" s="30" t="str">
        <x:v>Course</x:v>
      </x:c>
      <x:c r="F296" s="30" t="str">
        <x:v>Netherlands</x:v>
      </x:c>
      <x:c r="G296" s="30" t="str">
        <x:v>Overijssel</x:v>
      </x:c>
      <x:c r="H296" s="30" t="str">
        <x:v>Hof van Twente</x:v>
      </x:c>
      <x:c r="I296" s="30" t="str">
        <x:v>Delden</x:v>
      </x:c>
      <x:c r="J296" s="30" t="str">
        <x:v>Sportlaan 7</x:v>
      </x:c>
      <x:c r="K296" s="30" t="str">
        <x:v>7491 DG</x:v>
      </x:c>
      <x:c r="L296" s="32" t="n">
        <x:v>52.25644954</x:v>
      </x:c>
      <x:c r="M296" s="32" t="n">
        <x:v>6.73012703</x:v>
      </x:c>
      <x:c r="N296" s="30" t="str">
        <x:v>WGS84 / EPSG:4326</x:v>
      </x:c>
      <x:c r="O296" s="30" t="str">
        <x:v>Verified BAG address point via PDOK</x:v>
      </x:c>
      <x:c r="P296" s="30" t="str">
        <x:v>2026-08-15</x:v>
      </x:c>
      <x:c r="Q296" s="33" t="n">
        <x:f>IF(R296="","",ROUND(R296/0.9144,0))</x:f>
        <x:v>2607</x:v>
      </x:c>
      <x:c r="R296" s="33" t="n">
        <x:v>2384</x:v>
      </x:c>
      <x:c r="S296" s="33" t="n">
        <x:v>9</x:v>
      </x:c>
      <x:c r="T296" s="33" t="n">
        <x:v>35</x:v>
      </x:c>
      <x:c r="U296" s="30" t="str">
        <x:v>Full-length course</x:v>
      </x:c>
      <x:c r="V296" s="30"/>
      <x:c r="W296" s="30"/>
      <x:c r="X296" s="30"/>
      <x:c r="Y296" s="30" t="str">
        <x:v>https://www.golfbaandelagemors.nl/</x:v>
      </x:c>
      <x:c r="Z296" s="30" t="b">
        <x:f>IF(AND(F296="Netherlands",ISNUMBER(L296),ISNUMBER(M296),L296&gt;=50.7,L296&lt;=53.7,M296&gt;=3.2,M296&lt;=7.3,AC296&lt;&gt;"Closed"),TRUE,FALSE)</x:f>
        <x:v>1</x:v>
      </x:c>
      <x:c r="AA296" s="30" t="b">
        <x:f>Z296</x:f>
        <x:v>1</x:v>
      </x:c>
      <x:c r="AB296" s="30" t="str">
        <x:f>IF(Z296,"verified_coordinate_and_open","not_map_ready")</x:f>
        <x:v>verified_coordinate_and_open</x:v>
      </x:c>
      <x:c r="AC296" s="30" t="str">
        <x:v>Open</x:v>
      </x:c>
      <x:c r="AD296" s="30" t="str">
        <x:v>Public — handicap 54 or lower</x:v>
      </x:c>
      <x:c r="AE296" s="31" t="b">
        <x:v>1</x:v>
      </x:c>
      <x:c r="AF296" s="31" t="b">
        <x:v>0</x:v>
      </x:c>
      <x:c r="AG296" s="30"/>
      <x:c r="AH296" s="30"/>
      <x:c r="AI296" s="30"/>
      <x:c r="AJ296" s="31" t="b">
        <x:v>0</x:v>
      </x:c>
      <x:c r="AK296" s="31" t="b">
        <x:v>0</x:v>
      </x:c>
      <x:c r="AL296" s="30" t="str">
        <x:v>Verified — national register and exact BAG address</x:v>
      </x:c>
      <x:c r="AM296" s="30" t="str">
        <x:v>https://www.golf.nl/de-baan-op/banenzoeker/overzicht</x:v>
      </x:c>
      <x:c r="AN296" s="30" t="str">
        <x:v>2026-08-15</x:v>
      </x:c>
      <x:c r="AO296" s="30" t="str">
        <x:v>+31 74-3777600</x:v>
      </x:c>
      <x:c r="AP296" s="30" t="str">
        <x:v>Current NGF/GOLF.NL listing: 9 holes, par 35, 2384 metres. Listed as qualifying.</x:v>
      </x:c>
    </x:row>
    <x:row r="297">
      <x:c r="A297" s="30" t="str">
        <x:v>NL-C0189</x:v>
      </x:c>
      <x:c r="B297" s="30" t="str">
        <x:v>NL-0296</x:v>
      </x:c>
      <x:c r="C297" s="30" t="str">
        <x:v>Golfbaan Het Rijk van Sybrook — Noord</x:v>
      </x:c>
      <x:c r="D297" s="30" t="str">
        <x:v>Golfbaan Het Rijk van Sybrook</x:v>
      </x:c>
      <x:c r="E297" s="30" t="str">
        <x:v>Noord</x:v>
      </x:c>
      <x:c r="F297" s="30" t="str">
        <x:v>Netherlands</x:v>
      </x:c>
      <x:c r="G297" s="30" t="str">
        <x:v>Overijssel</x:v>
      </x:c>
      <x:c r="H297" s="30" t="str">
        <x:v>Enschede</x:v>
      </x:c>
      <x:c r="I297" s="30" t="str">
        <x:v>Enschede</x:v>
      </x:c>
      <x:c r="J297" s="30" t="str">
        <x:v>Veendijk 100</x:v>
      </x:c>
      <x:c r="K297" s="30" t="str">
        <x:v>7525 PZ</x:v>
      </x:c>
      <x:c r="L297" s="32" t="n">
        <x:v>52.27396238</x:v>
      </x:c>
      <x:c r="M297" s="32" t="n">
        <x:v>6.93394937</x:v>
      </x:c>
      <x:c r="N297" s="30" t="str">
        <x:v>WGS84 / EPSG:4326</x:v>
      </x:c>
      <x:c r="O297" s="30" t="str">
        <x:v>Verified BAG address point via PDOK</x:v>
      </x:c>
      <x:c r="P297" s="30" t="str">
        <x:v>2026-08-15</x:v>
      </x:c>
      <x:c r="Q297" s="33" t="n">
        <x:f>IF(R297="","",ROUND(R297/0.9144,0))</x:f>
        <x:v>3330</x:v>
      </x:c>
      <x:c r="R297" s="33" t="n">
        <x:v>3045</x:v>
      </x:c>
      <x:c r="S297" s="33" t="n">
        <x:v>9</x:v>
      </x:c>
      <x:c r="T297" s="33" t="n">
        <x:v>36</x:v>
      </x:c>
      <x:c r="U297" s="30" t="str">
        <x:v>Full-length course</x:v>
      </x:c>
      <x:c r="V297" s="30"/>
      <x:c r="W297" s="30"/>
      <x:c r="X297" s="30"/>
      <x:c r="Y297" s="30" t="str">
        <x:v>https://www.golfenophetrijk.nl/sybrook.html</x:v>
      </x:c>
      <x:c r="Z297" s="30" t="b">
        <x:f>IF(AND(F297="Netherlands",ISNUMBER(L297),ISNUMBER(M297),L297&gt;=50.7,L297&lt;=53.7,M297&gt;=3.2,M297&lt;=7.3,AC297&lt;&gt;"Closed"),TRUE,FALSE)</x:f>
        <x:v>1</x:v>
      </x:c>
      <x:c r="AA297" s="30" t="b">
        <x:f>Z297</x:f>
        <x:v>1</x:v>
      </x:c>
      <x:c r="AB297" s="30" t="str">
        <x:f>IF(Z297,"verified_coordinate_and_open","not_map_ready")</x:f>
        <x:v>verified_coordinate_and_open</x:v>
      </x:c>
      <x:c r="AC297" s="30" t="str">
        <x:v>Open</x:v>
      </x:c>
      <x:c r="AD297" s="30" t="str">
        <x:v>Public — handicap 54 or lower</x:v>
      </x:c>
      <x:c r="AE297" s="31" t="b">
        <x:v>1</x:v>
      </x:c>
      <x:c r="AF297" s="31" t="b">
        <x:v>0</x:v>
      </x:c>
      <x:c r="AG297" s="30"/>
      <x:c r="AH297" s="30"/>
      <x:c r="AI297" s="30"/>
      <x:c r="AJ297" s="31" t="b">
        <x:v>0</x:v>
      </x:c>
      <x:c r="AK297" s="31" t="b">
        <x:v>0</x:v>
      </x:c>
      <x:c r="AL297" s="30" t="str">
        <x:v>Verified — national register and exact BAG address</x:v>
      </x:c>
      <x:c r="AM297" s="30" t="str">
        <x:v>https://www.golf.nl/de-baan-op/banenzoeker/overzicht</x:v>
      </x:c>
      <x:c r="AN297" s="30" t="str">
        <x:v>2026-08-15</x:v>
      </x:c>
      <x:c r="AO297" s="30" t="str">
        <x:v>+31 541-530331</x:v>
      </x:c>
      <x:c r="AP297" s="30" t="str">
        <x:v>Current NGF/GOLF.NL listing: 9 holes, par 36, 3045 metres. Listed as qualifying.</x:v>
      </x:c>
    </x:row>
    <x:row r="298">
      <x:c r="A298" s="30" t="str">
        <x:v>NL-C0189</x:v>
      </x:c>
      <x:c r="B298" s="30" t="str">
        <x:v>NL-0297</x:v>
      </x:c>
      <x:c r="C298" s="30" t="str">
        <x:v>Golfbaan Het Rijk van Sybrook — Oost</x:v>
      </x:c>
      <x:c r="D298" s="30" t="str">
        <x:v>Golfbaan Het Rijk van Sybrook</x:v>
      </x:c>
      <x:c r="E298" s="30" t="str">
        <x:v>Oost</x:v>
      </x:c>
      <x:c r="F298" s="30" t="str">
        <x:v>Netherlands</x:v>
      </x:c>
      <x:c r="G298" s="30" t="str">
        <x:v>Overijssel</x:v>
      </x:c>
      <x:c r="H298" s="30" t="str">
        <x:v>Enschede</x:v>
      </x:c>
      <x:c r="I298" s="30" t="str">
        <x:v>Enschede</x:v>
      </x:c>
      <x:c r="J298" s="30" t="str">
        <x:v>Veendijk 100</x:v>
      </x:c>
      <x:c r="K298" s="30" t="str">
        <x:v>7525 PZ</x:v>
      </x:c>
      <x:c r="L298" s="32" t="n">
        <x:v>52.27396238</x:v>
      </x:c>
      <x:c r="M298" s="32" t="n">
        <x:v>6.93394937</x:v>
      </x:c>
      <x:c r="N298" s="30" t="str">
        <x:v>WGS84 / EPSG:4326</x:v>
      </x:c>
      <x:c r="O298" s="30" t="str">
        <x:v>Verified BAG address point via PDOK</x:v>
      </x:c>
      <x:c r="P298" s="30" t="str">
        <x:v>2026-08-15</x:v>
      </x:c>
      <x:c r="Q298" s="33" t="n">
        <x:f>IF(R298="","",ROUND(R298/0.9144,0))</x:f>
        <x:v>3323</x:v>
      </x:c>
      <x:c r="R298" s="33" t="n">
        <x:v>3039</x:v>
      </x:c>
      <x:c r="S298" s="33" t="n">
        <x:v>9</x:v>
      </x:c>
      <x:c r="T298" s="33" t="n">
        <x:v>36</x:v>
      </x:c>
      <x:c r="U298" s="30" t="str">
        <x:v>Full-length course</x:v>
      </x:c>
      <x:c r="V298" s="30"/>
      <x:c r="W298" s="30"/>
      <x:c r="X298" s="30"/>
      <x:c r="Y298" s="30" t="str">
        <x:v>https://www.golfenophetrijk.nl/sybrook.html</x:v>
      </x:c>
      <x:c r="Z298" s="30" t="b">
        <x:f>IF(AND(F298="Netherlands",ISNUMBER(L298),ISNUMBER(M298),L298&gt;=50.7,L298&lt;=53.7,M298&gt;=3.2,M298&lt;=7.3,AC298&lt;&gt;"Closed"),TRUE,FALSE)</x:f>
        <x:v>1</x:v>
      </x:c>
      <x:c r="AA298" s="30" t="b">
        <x:f>Z298</x:f>
        <x:v>1</x:v>
      </x:c>
      <x:c r="AB298" s="30" t="str">
        <x:f>IF(Z298,"verified_coordinate_and_open","not_map_ready")</x:f>
        <x:v>verified_coordinate_and_open</x:v>
      </x:c>
      <x:c r="AC298" s="30" t="str">
        <x:v>Open</x:v>
      </x:c>
      <x:c r="AD298" s="30" t="str">
        <x:v>Public — handicap 54 or lower</x:v>
      </x:c>
      <x:c r="AE298" s="31" t="b">
        <x:v>1</x:v>
      </x:c>
      <x:c r="AF298" s="31" t="b">
        <x:v>0</x:v>
      </x:c>
      <x:c r="AG298" s="30"/>
      <x:c r="AH298" s="30"/>
      <x:c r="AI298" s="30"/>
      <x:c r="AJ298" s="31" t="b">
        <x:v>0</x:v>
      </x:c>
      <x:c r="AK298" s="31" t="b">
        <x:v>0</x:v>
      </x:c>
      <x:c r="AL298" s="30" t="str">
        <x:v>Verified — national register and exact BAG address</x:v>
      </x:c>
      <x:c r="AM298" s="30" t="str">
        <x:v>https://www.golf.nl/de-baan-op/banenzoeker/overzicht</x:v>
      </x:c>
      <x:c r="AN298" s="30" t="str">
        <x:v>2026-08-15</x:v>
      </x:c>
      <x:c r="AO298" s="30" t="str">
        <x:v>+31 541-530331</x:v>
      </x:c>
      <x:c r="AP298" s="30" t="str">
        <x:v>Current NGF/GOLF.NL listing: 9 holes, par 36, 3039 metres. Listed as qualifying.</x:v>
      </x:c>
    </x:row>
    <x:row r="299">
      <x:c r="A299" s="30" t="str">
        <x:v>NL-C0189</x:v>
      </x:c>
      <x:c r="B299" s="30" t="str">
        <x:v>NL-0298</x:v>
      </x:c>
      <x:c r="C299" s="30" t="str">
        <x:v>Golfbaan Het Rijk van Sybrook — Zuid</x:v>
      </x:c>
      <x:c r="D299" s="30" t="str">
        <x:v>Golfbaan Het Rijk van Sybrook</x:v>
      </x:c>
      <x:c r="E299" s="30" t="str">
        <x:v>Zuid</x:v>
      </x:c>
      <x:c r="F299" s="30" t="str">
        <x:v>Netherlands</x:v>
      </x:c>
      <x:c r="G299" s="30" t="str">
        <x:v>Overijssel</x:v>
      </x:c>
      <x:c r="H299" s="30" t="str">
        <x:v>Enschede</x:v>
      </x:c>
      <x:c r="I299" s="30" t="str">
        <x:v>Enschede</x:v>
      </x:c>
      <x:c r="J299" s="30" t="str">
        <x:v>Veendijk 100</x:v>
      </x:c>
      <x:c r="K299" s="30" t="str">
        <x:v>7525 PZ</x:v>
      </x:c>
      <x:c r="L299" s="32" t="n">
        <x:v>52.27396238</x:v>
      </x:c>
      <x:c r="M299" s="32" t="n">
        <x:v>6.93394937</x:v>
      </x:c>
      <x:c r="N299" s="30" t="str">
        <x:v>WGS84 / EPSG:4326</x:v>
      </x:c>
      <x:c r="O299" s="30" t="str">
        <x:v>Verified BAG address point via PDOK</x:v>
      </x:c>
      <x:c r="P299" s="30" t="str">
        <x:v>2026-08-15</x:v>
      </x:c>
      <x:c r="Q299" s="33" t="n">
        <x:f>IF(R299="","",ROUND(R299/0.9144,0))</x:f>
        <x:v>3397</x:v>
      </x:c>
      <x:c r="R299" s="33" t="n">
        <x:v>3106</x:v>
      </x:c>
      <x:c r="S299" s="33" t="n">
        <x:v>9</x:v>
      </x:c>
      <x:c r="T299" s="33" t="n">
        <x:v>36</x:v>
      </x:c>
      <x:c r="U299" s="30" t="str">
        <x:v>Full-length course</x:v>
      </x:c>
      <x:c r="V299" s="30"/>
      <x:c r="W299" s="30"/>
      <x:c r="X299" s="30"/>
      <x:c r="Y299" s="30" t="str">
        <x:v>https://www.golfenophetrijk.nl/sybrook.html</x:v>
      </x:c>
      <x:c r="Z299" s="30" t="b">
        <x:f>IF(AND(F299="Netherlands",ISNUMBER(L299),ISNUMBER(M299),L299&gt;=50.7,L299&lt;=53.7,M299&gt;=3.2,M299&lt;=7.3,AC299&lt;&gt;"Closed"),TRUE,FALSE)</x:f>
        <x:v>1</x:v>
      </x:c>
      <x:c r="AA299" s="30" t="b">
        <x:f>Z299</x:f>
        <x:v>1</x:v>
      </x:c>
      <x:c r="AB299" s="30" t="str">
        <x:f>IF(Z299,"verified_coordinate_and_open","not_map_ready")</x:f>
        <x:v>verified_coordinate_and_open</x:v>
      </x:c>
      <x:c r="AC299" s="30" t="str">
        <x:v>Open</x:v>
      </x:c>
      <x:c r="AD299" s="30" t="str">
        <x:v>Public — handicap 54 or lower</x:v>
      </x:c>
      <x:c r="AE299" s="31" t="b">
        <x:v>1</x:v>
      </x:c>
      <x:c r="AF299" s="31" t="b">
        <x:v>0</x:v>
      </x:c>
      <x:c r="AG299" s="30"/>
      <x:c r="AH299" s="30"/>
      <x:c r="AI299" s="30"/>
      <x:c r="AJ299" s="31" t="b">
        <x:v>0</x:v>
      </x:c>
      <x:c r="AK299" s="31" t="b">
        <x:v>0</x:v>
      </x:c>
      <x:c r="AL299" s="30" t="str">
        <x:v>Verified — national register and exact BAG address</x:v>
      </x:c>
      <x:c r="AM299" s="30" t="str">
        <x:v>https://www.golf.nl/de-baan-op/banenzoeker/overzicht</x:v>
      </x:c>
      <x:c r="AN299" s="30" t="str">
        <x:v>2026-08-15</x:v>
      </x:c>
      <x:c r="AO299" s="30" t="str">
        <x:v>+31 541-530331</x:v>
      </x:c>
      <x:c r="AP299" s="30" t="str">
        <x:v>Current NGF/GOLF.NL listing: 9 holes, par 36, 3106 metres. Listed as qualifying.</x:v>
      </x:c>
    </x:row>
    <x:row r="300">
      <x:c r="A300" s="30" t="str">
        <x:v>NL-C0190</x:v>
      </x:c>
      <x:c r="B300" s="30" t="str">
        <x:v>NL-0299</x:v>
      </x:c>
      <x:c r="C300" s="30" t="str">
        <x:v>Golfclub Almelo</x:v>
      </x:c>
      <x:c r="D300" s="30" t="str">
        <x:v>Golfclub Almelo</x:v>
      </x:c>
      <x:c r="E300" s="30" t="str">
        <x:v>Course</x:v>
      </x:c>
      <x:c r="F300" s="30" t="str">
        <x:v>Netherlands</x:v>
      </x:c>
      <x:c r="G300" s="30" t="str">
        <x:v>Overijssel</x:v>
      </x:c>
      <x:c r="H300" s="30" t="str">
        <x:v>Almelo</x:v>
      </x:c>
      <x:c r="I300" s="30" t="str">
        <x:v>Almelo</x:v>
      </x:c>
      <x:c r="J300" s="30" t="str">
        <x:v>Veenelandenweg 34</x:v>
      </x:c>
      <x:c r="K300" s="30" t="str">
        <x:v>7608 HB</x:v>
      </x:c>
      <x:c r="L300" s="32" t="n">
        <x:v>52.38339215</x:v>
      </x:c>
      <x:c r="M300" s="32" t="n">
        <x:v>6.67097559</x:v>
      </x:c>
      <x:c r="N300" s="30" t="str">
        <x:v>WGS84 / EPSG:4326</x:v>
      </x:c>
      <x:c r="O300" s="30" t="str">
        <x:v>Verified BAG address point via PDOK</x:v>
      </x:c>
      <x:c r="P300" s="30" t="str">
        <x:v>2026-08-15</x:v>
      </x:c>
      <x:c r="Q300" s="33" t="n">
        <x:f>IF(R300="","",ROUND(R300/0.9144,0))</x:f>
        <x:v>1506</x:v>
      </x:c>
      <x:c r="R300" s="33" t="n">
        <x:v>1377</x:v>
      </x:c>
      <x:c r="S300" s="33" t="n">
        <x:v>9</x:v>
      </x:c>
      <x:c r="T300" s="33" t="n">
        <x:v>30</x:v>
      </x:c>
      <x:c r="U300" s="30" t="str">
        <x:v>Par-3/4 course</x:v>
      </x:c>
      <x:c r="V300" s="30"/>
      <x:c r="W300" s="30"/>
      <x:c r="X300" s="30"/>
      <x:c r="Y300" s="30" t="str">
        <x:v>https://www.golfinalmelo.nl/</x:v>
      </x:c>
      <x:c r="Z300" s="30" t="b">
        <x:f>IF(AND(F300="Netherlands",ISNUMBER(L300),ISNUMBER(M300),L300&gt;=50.7,L300&lt;=53.7,M300&gt;=3.2,M300&lt;=7.3,AC300&lt;&gt;"Closed"),TRUE,FALSE)</x:f>
        <x:v>1</x:v>
      </x:c>
      <x:c r="AA300" s="30" t="b">
        <x:f>Z300</x:f>
        <x:v>1</x:v>
      </x:c>
      <x:c r="AB300" s="30" t="str">
        <x:f>IF(Z300,"verified_coordinate_and_open","not_map_ready")</x:f>
        <x:v>verified_coordinate_and_open</x:v>
      </x:c>
      <x:c r="AC300" s="30" t="str">
        <x:v>Open</x:v>
      </x:c>
      <x:c r="AD300" s="30" t="str">
        <x:v>Public — NGF course permission</x:v>
      </x:c>
      <x:c r="AE300" s="31" t="b">
        <x:v>1</x:v>
      </x:c>
      <x:c r="AF300" s="31" t="b">
        <x:v>0</x:v>
      </x:c>
      <x:c r="AG300" s="30"/>
      <x:c r="AH300" s="30"/>
      <x:c r="AI300" s="30"/>
      <x:c r="AJ300" s="31" t="b">
        <x:v>0</x:v>
      </x:c>
      <x:c r="AK300" s="31" t="b">
        <x:v>0</x:v>
      </x:c>
      <x:c r="AL300" s="30" t="str">
        <x:v>Verified — national register and exact BAG address</x:v>
      </x:c>
      <x:c r="AM300" s="30" t="str">
        <x:v>https://www.golf.nl/de-baan-op/banenzoeker/overzicht</x:v>
      </x:c>
      <x:c r="AN300" s="30" t="str">
        <x:v>2026-08-15</x:v>
      </x:c>
      <x:c r="AO300" s="30" t="str">
        <x:v>+31 546-568276</x:v>
      </x:c>
      <x:c r="AP300" s="30" t="str">
        <x:v>Current NGF/GOLF.NL listing: 9 holes, par 30, 1377 metres. Listed as qualifying.</x:v>
      </x:c>
    </x:row>
    <x:row r="301">
      <x:c r="A301" s="30" t="str">
        <x:v>NL-C0191</x:v>
      </x:c>
      <x:c r="B301" s="30" t="str">
        <x:v>NL-0300</x:v>
      </x:c>
      <x:c r="C301" s="30" t="str">
        <x:v>Golfclub De Koepel — Main Course</x:v>
      </x:c>
      <x:c r="D301" s="30" t="str">
        <x:v>Golfclub De Koepel</x:v>
      </x:c>
      <x:c r="E301" s="30" t="str">
        <x:v>Main Course</x:v>
      </x:c>
      <x:c r="F301" s="30" t="str">
        <x:v>Netherlands</x:v>
      </x:c>
      <x:c r="G301" s="30" t="str">
        <x:v>Overijssel</x:v>
      </x:c>
      <x:c r="H301" s="30" t="str">
        <x:v>Wierden</x:v>
      </x:c>
      <x:c r="I301" s="30" t="str">
        <x:v>Wierden</x:v>
      </x:c>
      <x:c r="J301" s="30" t="str">
        <x:v>Rijssensestraat 142 a</x:v>
      </x:c>
      <x:c r="K301" s="30" t="str">
        <x:v>7642 NN</x:v>
      </x:c>
      <x:c r="L301" s="32" t="n">
        <x:v>52.34225975</x:v>
      </x:c>
      <x:c r="M301" s="32" t="n">
        <x:v>6.56405482</x:v>
      </x:c>
      <x:c r="N301" s="30" t="str">
        <x:v>WGS84 / EPSG:4326</x:v>
      </x:c>
      <x:c r="O301" s="30" t="str">
        <x:v>Verified BAG address point via PDOK</x:v>
      </x:c>
      <x:c r="P301" s="30" t="str">
        <x:v>2026-08-15</x:v>
      </x:c>
      <x:c r="Q301" s="33" t="n">
        <x:f>IF(R301="","",ROUND(R301/0.9144,0))</x:f>
        <x:v>6098</x:v>
      </x:c>
      <x:c r="R301" s="33" t="n">
        <x:v>5576</x:v>
      </x:c>
      <x:c r="S301" s="33" t="n">
        <x:v>18</x:v>
      </x:c>
      <x:c r="T301" s="33" t="n">
        <x:v>70</x:v>
      </x:c>
      <x:c r="U301" s="30" t="str">
        <x:v>Full-length course</x:v>
      </x:c>
      <x:c r="V301" s="30"/>
      <x:c r="W301" s="30"/>
      <x:c r="X301" s="30"/>
      <x:c r="Y301" s="30" t="str">
        <x:v>https://www.golfclubdekoepel.nl/</x:v>
      </x:c>
      <x:c r="Z301" s="30" t="b">
        <x:f>IF(AND(F301="Netherlands",ISNUMBER(L301),ISNUMBER(M301),L301&gt;=50.7,L301&lt;=53.7,M301&gt;=3.2,M301&lt;=7.3,AC301&lt;&gt;"Closed"),TRUE,FALSE)</x:f>
        <x:v>1</x:v>
      </x:c>
      <x:c r="AA301" s="30" t="b">
        <x:f>Z301</x:f>
        <x:v>1</x:v>
      </x:c>
      <x:c r="AB301" s="30" t="str">
        <x:f>IF(Z301,"verified_coordinate_and_open","not_map_ready")</x:f>
        <x:v>verified_coordinate_and_open</x:v>
      </x:c>
      <x:c r="AC301" s="30" t="str">
        <x:v>Open</x:v>
      </x:c>
      <x:c r="AD301" s="30" t="str">
        <x:v>Public — handicap 54 or lower</x:v>
      </x:c>
      <x:c r="AE301" s="31" t="b">
        <x:v>1</x:v>
      </x:c>
      <x:c r="AF301" s="31" t="b">
        <x:v>0</x:v>
      </x:c>
      <x:c r="AG301" s="30"/>
      <x:c r="AH301" s="30"/>
      <x:c r="AI301" s="30"/>
      <x:c r="AJ301" s="31" t="b">
        <x:v>0</x:v>
      </x:c>
      <x:c r="AK301" s="31" t="b">
        <x:v>0</x:v>
      </x:c>
      <x:c r="AL301" s="30" t="str">
        <x:v>Verified — national register and exact BAG address</x:v>
      </x:c>
      <x:c r="AM301" s="30" t="str">
        <x:v>https://www.golf.nl/de-baan-op/banenzoeker/overzicht</x:v>
      </x:c>
      <x:c r="AN301" s="30" t="str">
        <x:v>2026-08-15</x:v>
      </x:c>
      <x:c r="AO301" s="30" t="str">
        <x:v>+31 546-574070</x:v>
      </x:c>
      <x:c r="AP301" s="30" t="str">
        <x:v>Current NGF/GOLF.NL listing: 18 holes, par 70, 5576 metres. Combined from exact NGF-listed constituent nine-hole loops: 1ste negen (9 holes, par 35, 2696 m); 2de negen (9 holes, par 35, 2880 m) Listed as qualifying.</x:v>
      </x:c>
    </x:row>
    <x:row r="302">
      <x:c r="A302" s="30" t="str">
        <x:v>NL-C0192</x:v>
      </x:c>
      <x:c r="B302" s="30" t="str">
        <x:v>NL-0301</x:v>
      </x:c>
      <x:c r="C302" s="30" t="str">
        <x:v>Golfclub Driene</x:v>
      </x:c>
      <x:c r="D302" s="30" t="str">
        <x:v>Golfclub Driene</x:v>
      </x:c>
      <x:c r="E302" s="30" t="str">
        <x:v>Course</x:v>
      </x:c>
      <x:c r="F302" s="30" t="str">
        <x:v>Netherlands</x:v>
      </x:c>
      <x:c r="G302" s="30" t="str">
        <x:v>Overijssel</x:v>
      </x:c>
      <x:c r="H302" s="30" t="str">
        <x:v>Hengelo (O)</x:v>
      </x:c>
      <x:c r="I302" s="30" t="str">
        <x:v>Hengelo</x:v>
      </x:c>
      <x:c r="J302" s="30" t="str">
        <x:v>Morshoekweg 16</x:v>
      </x:c>
      <x:c r="K302" s="30" t="str">
        <x:v>7552 PE</x:v>
      </x:c>
      <x:c r="L302" s="32" t="n">
        <x:v>52.252078</x:v>
      </x:c>
      <x:c r="M302" s="32" t="n">
        <x:v>6.82586739</x:v>
      </x:c>
      <x:c r="N302" s="30" t="str">
        <x:v>WGS84 / EPSG:4326</x:v>
      </x:c>
      <x:c r="O302" s="30" t="str">
        <x:v>Verified BAG address point via PDOK</x:v>
      </x:c>
      <x:c r="P302" s="30" t="str">
        <x:v>2026-08-15</x:v>
      </x:c>
      <x:c r="Q302" s="33" t="n">
        <x:f>IF(R302="","",ROUND(R302/0.9144,0))</x:f>
        <x:v>2991</x:v>
      </x:c>
      <x:c r="R302" s="33" t="n">
        <x:v>2735</x:v>
      </x:c>
      <x:c r="S302" s="33" t="n">
        <x:v>9</x:v>
      </x:c>
      <x:c r="T302" s="33" t="n">
        <x:v>36</x:v>
      </x:c>
      <x:c r="U302" s="30" t="str">
        <x:v>Full-length course</x:v>
      </x:c>
      <x:c r="V302" s="30"/>
      <x:c r="W302" s="30"/>
      <x:c r="X302" s="30"/>
      <x:c r="Y302" s="30" t="str">
        <x:v>https://www.golfclubdriene.nl/</x:v>
      </x:c>
      <x:c r="Z302" s="30" t="b">
        <x:f>IF(AND(F302="Netherlands",ISNUMBER(L302),ISNUMBER(M302),L302&gt;=50.7,L302&lt;=53.7,M302&gt;=3.2,M302&lt;=7.3,AC302&lt;&gt;"Closed"),TRUE,FALSE)</x:f>
        <x:v>1</x:v>
      </x:c>
      <x:c r="AA302" s="30" t="b">
        <x:f>Z302</x:f>
        <x:v>1</x:v>
      </x:c>
      <x:c r="AB302" s="30" t="str">
        <x:f>IF(Z302,"verified_coordinate_and_open","not_map_ready")</x:f>
        <x:v>verified_coordinate_and_open</x:v>
      </x:c>
      <x:c r="AC302" s="30" t="str">
        <x:v>Open</x:v>
      </x:c>
      <x:c r="AD302" s="30" t="str">
        <x:v>Public — handicap 36 or lower</x:v>
      </x:c>
      <x:c r="AE302" s="31" t="b">
        <x:v>1</x:v>
      </x:c>
      <x:c r="AF302" s="31" t="b">
        <x:v>0</x:v>
      </x:c>
      <x:c r="AG302" s="30"/>
      <x:c r="AH302" s="30"/>
      <x:c r="AI302" s="30"/>
      <x:c r="AJ302" s="31" t="b">
        <x:v>0</x:v>
      </x:c>
      <x:c r="AK302" s="31" t="b">
        <x:v>0</x:v>
      </x:c>
      <x:c r="AL302" s="30" t="str">
        <x:v>Verified — national register and exact BAG address</x:v>
      </x:c>
      <x:c r="AM302" s="30" t="str">
        <x:v>https://www.golf.nl/de-baan-op/banenzoeker/overzicht</x:v>
      </x:c>
      <x:c r="AN302" s="30" t="str">
        <x:v>2026-08-15</x:v>
      </x:c>
      <x:c r="AO302" s="30" t="str">
        <x:v>+31 74-2592264</x:v>
      </x:c>
      <x:c r="AP302" s="30" t="str">
        <x:v>Current NGF/GOLF.NL listing: 9 holes, par 36, 2735 metres. Listed as qualifying.</x:v>
      </x:c>
    </x:row>
    <x:row r="303">
      <x:c r="A303" s="30" t="str">
        <x:v>NL-C0193</x:v>
      </x:c>
      <x:c r="B303" s="30" t="str">
        <x:v>NL-0302</x:v>
      </x:c>
      <x:c r="C303" s="30" t="str">
        <x:v>Golfclub Prinses Wilhelmina</x:v>
      </x:c>
      <x:c r="D303" s="30" t="str">
        <x:v>Golfclub Prinses Wilhelmina</x:v>
      </x:c>
      <x:c r="E303" s="30" t="str">
        <x:v>Course</x:v>
      </x:c>
      <x:c r="F303" s="30" t="str">
        <x:v>Netherlands</x:v>
      </x:c>
      <x:c r="G303" s="30" t="str">
        <x:v>Overijssel</x:v>
      </x:c>
      <x:c r="H303" s="30" t="str">
        <x:v>Enschede</x:v>
      </x:c>
      <x:c r="I303" s="30" t="str">
        <x:v>Enschede</x:v>
      </x:c>
      <x:c r="J303" s="30" t="str">
        <x:v>Het Slagman, Maatmanweg 27</x:v>
      </x:c>
      <x:c r="K303" s="30" t="str">
        <x:v>7522 AN</x:v>
      </x:c>
      <x:c r="L303" s="32" t="n">
        <x:v>52.23261113</x:v>
      </x:c>
      <x:c r="M303" s="32" t="n">
        <x:v>6.87656573</x:v>
      </x:c>
      <x:c r="N303" s="30" t="str">
        <x:v>WGS84 / EPSG:4326</x:v>
      </x:c>
      <x:c r="O303" s="30" t="str">
        <x:v>Verified BAG address point via PDOK</x:v>
      </x:c>
      <x:c r="P303" s="30" t="str">
        <x:v>2026-08-15</x:v>
      </x:c>
      <x:c r="Q303" s="33" t="n">
        <x:f>IF(R303="","",ROUND(R303/0.9144,0))</x:f>
        <x:v>1543</x:v>
      </x:c>
      <x:c r="R303" s="33" t="n">
        <x:v>1411</x:v>
      </x:c>
      <x:c r="S303" s="33" t="n">
        <x:v>9</x:v>
      </x:c>
      <x:c r="T303" s="33" t="n">
        <x:v>28</x:v>
      </x:c>
      <x:c r="U303" s="30" t="str">
        <x:v>Par-3/4 course</x:v>
      </x:c>
      <x:c r="V303" s="30"/>
      <x:c r="W303" s="30"/>
      <x:c r="X303" s="30"/>
      <x:c r="Y303" s="30" t="str">
        <x:v>https://www.pwgolf.nl/</x:v>
      </x:c>
      <x:c r="Z303" s="30" t="b">
        <x:f>IF(AND(F303="Netherlands",ISNUMBER(L303),ISNUMBER(M303),L303&gt;=50.7,L303&lt;=53.7,M303&gt;=3.2,M303&lt;=7.3,AC303&lt;&gt;"Closed"),TRUE,FALSE)</x:f>
        <x:v>1</x:v>
      </x:c>
      <x:c r="AA303" s="30" t="b">
        <x:f>Z303</x:f>
        <x:v>1</x:v>
      </x:c>
      <x:c r="AB303" s="30" t="str">
        <x:f>IF(Z303,"verified_coordinate_and_open","not_map_ready")</x:f>
        <x:v>verified_coordinate_and_open</x:v>
      </x:c>
      <x:c r="AC303" s="30" t="str">
        <x:v>Open</x:v>
      </x:c>
      <x:c r="AD303" s="30" t="str">
        <x:v>Public — handicap 54 or lower</x:v>
      </x:c>
      <x:c r="AE303" s="31" t="b">
        <x:v>1</x:v>
      </x:c>
      <x:c r="AF303" s="31" t="b">
        <x:v>0</x:v>
      </x:c>
      <x:c r="AG303" s="30"/>
      <x:c r="AH303" s="30"/>
      <x:c r="AI303" s="30"/>
      <x:c r="AJ303" s="31" t="b">
        <x:v>0</x:v>
      </x:c>
      <x:c r="AK303" s="31" t="b">
        <x:v>0</x:v>
      </x:c>
      <x:c r="AL303" s="30" t="str">
        <x:v>Verified — national register and exact BAG address</x:v>
      </x:c>
      <x:c r="AM303" s="30" t="str">
        <x:v>https://www.golf.nl/de-baan-op/banenzoeker/overzicht</x:v>
      </x:c>
      <x:c r="AN303" s="30" t="str">
        <x:v>2026-08-15</x:v>
      </x:c>
      <x:c r="AO303" s="30" t="str">
        <x:v>+31 53-4337992</x:v>
      </x:c>
      <x:c r="AP303" s="30" t="str">
        <x:v>Current NGF/GOLF.NL listing: 9 holes, par 28, 1411 metres. Listed as qualifying.</x:v>
      </x:c>
    </x:row>
    <x:row r="304">
      <x:c r="A304" s="30" t="str">
        <x:v>NL-C0194</x:v>
      </x:c>
      <x:c r="B304" s="30" t="str">
        <x:v>NL-0303</x:v>
      </x:c>
      <x:c r="C304" s="30" t="str">
        <x:v>Golfclub Zwolle — Boschwijk</x:v>
      </x:c>
      <x:c r="D304" s="30" t="str">
        <x:v>Golfclub Zwolle</x:v>
      </x:c>
      <x:c r="E304" s="30" t="str">
        <x:v>Boschwijk</x:v>
      </x:c>
      <x:c r="F304" s="30" t="str">
        <x:v>Netherlands</x:v>
      </x:c>
      <x:c r="G304" s="30" t="str">
        <x:v>Overijssel</x:v>
      </x:c>
      <x:c r="H304" s="30" t="str">
        <x:v>Zwolle</x:v>
      </x:c>
      <x:c r="I304" s="30" t="str">
        <x:v>Zwolle</x:v>
      </x:c>
      <x:c r="J304" s="30" t="str">
        <x:v>Zalnéweg 75</x:v>
      </x:c>
      <x:c r="K304" s="30" t="str">
        <x:v>8026 PZ</x:v>
      </x:c>
      <x:c r="L304" s="32" t="n">
        <x:v>52.49785629</x:v>
      </x:c>
      <x:c r="M304" s="32" t="n">
        <x:v>6.14362186</x:v>
      </x:c>
      <x:c r="N304" s="30" t="str">
        <x:v>WGS84 / EPSG:4326</x:v>
      </x:c>
      <x:c r="O304" s="30" t="str">
        <x:v>Verified BAG address point via PDOK</x:v>
      </x:c>
      <x:c r="P304" s="30" t="str">
        <x:v>2026-08-15</x:v>
      </x:c>
      <x:c r="Q304" s="33" t="n">
        <x:f>IF(R304="","",ROUND(R304/0.9144,0))</x:f>
        <x:v>3149</x:v>
      </x:c>
      <x:c r="R304" s="33" t="n">
        <x:v>2879</x:v>
      </x:c>
      <x:c r="S304" s="33" t="n">
        <x:v>9</x:v>
      </x:c>
      <x:c r="T304" s="33" t="n">
        <x:v>35</x:v>
      </x:c>
      <x:c r="U304" s="30" t="str">
        <x:v>Full-length course</x:v>
      </x:c>
      <x:c r="V304" s="30"/>
      <x:c r="W304" s="30"/>
      <x:c r="X304" s="30"/>
      <x:c r="Y304" s="30" t="str">
        <x:v>https://www.golfclubzwolle.nl/</x:v>
      </x:c>
      <x:c r="Z304" s="30" t="b">
        <x:f>IF(AND(F304="Netherlands",ISNUMBER(L304),ISNUMBER(M304),L304&gt;=50.7,L304&lt;=53.7,M304&gt;=3.2,M304&lt;=7.3,AC304&lt;&gt;"Closed"),TRUE,FALSE)</x:f>
        <x:v>1</x:v>
      </x:c>
      <x:c r="AA304" s="30" t="b">
        <x:f>Z304</x:f>
        <x:v>1</x:v>
      </x:c>
      <x:c r="AB304" s="30" t="str">
        <x:f>IF(Z304,"verified_coordinate_and_open","not_map_ready")</x:f>
        <x:v>verified_coordinate_and_open</x:v>
      </x:c>
      <x:c r="AC304" s="30" t="str">
        <x:v>Open</x:v>
      </x:c>
      <x:c r="AD304" s="30" t="str">
        <x:v>Public — handicap 54 or lower</x:v>
      </x:c>
      <x:c r="AE304" s="31" t="b">
        <x:v>1</x:v>
      </x:c>
      <x:c r="AF304" s="31" t="b">
        <x:v>0</x:v>
      </x:c>
      <x:c r="AG304" s="30"/>
      <x:c r="AH304" s="30"/>
      <x:c r="AI304" s="30"/>
      <x:c r="AJ304" s="31" t="b">
        <x:v>0</x:v>
      </x:c>
      <x:c r="AK304" s="31" t="b">
        <x:v>0</x:v>
      </x:c>
      <x:c r="AL304" s="30" t="str">
        <x:v>Verified — national register and exact BAG address</x:v>
      </x:c>
      <x:c r="AM304" s="30" t="str">
        <x:v>https://www.golf.nl/de-baan-op/banenzoeker/overzicht</x:v>
      </x:c>
      <x:c r="AN304" s="30" t="str">
        <x:v>2026-08-15</x:v>
      </x:c>
      <x:c r="AO304" s="30" t="str">
        <x:v>+31 38-4534270</x:v>
      </x:c>
      <x:c r="AP304" s="30" t="str">
        <x:v>Current NGF/GOLF.NL listing: 9 holes, par 35, 2879 metres. Listed as qualifying.</x:v>
      </x:c>
    </x:row>
    <x:row r="305">
      <x:c r="A305" s="30" t="str">
        <x:v>NL-C0194</x:v>
      </x:c>
      <x:c r="B305" s="30" t="str">
        <x:v>NL-0304</x:v>
      </x:c>
      <x:c r="C305" s="30" t="str">
        <x:v>Golfclub Zwolle — Veldwijk</x:v>
      </x:c>
      <x:c r="D305" s="30" t="str">
        <x:v>Golfclub Zwolle</x:v>
      </x:c>
      <x:c r="E305" s="30" t="str">
        <x:v>Veldwijk</x:v>
      </x:c>
      <x:c r="F305" s="30" t="str">
        <x:v>Netherlands</x:v>
      </x:c>
      <x:c r="G305" s="30" t="str">
        <x:v>Overijssel</x:v>
      </x:c>
      <x:c r="H305" s="30" t="str">
        <x:v>Zwolle</x:v>
      </x:c>
      <x:c r="I305" s="30" t="str">
        <x:v>Zwolle</x:v>
      </x:c>
      <x:c r="J305" s="30" t="str">
        <x:v>Zalnéweg 75</x:v>
      </x:c>
      <x:c r="K305" s="30" t="str">
        <x:v>8026 PZ</x:v>
      </x:c>
      <x:c r="L305" s="32" t="n">
        <x:v>52.49785629</x:v>
      </x:c>
      <x:c r="M305" s="32" t="n">
        <x:v>6.14362186</x:v>
      </x:c>
      <x:c r="N305" s="30" t="str">
        <x:v>WGS84 / EPSG:4326</x:v>
      </x:c>
      <x:c r="O305" s="30" t="str">
        <x:v>Verified BAG address point via PDOK</x:v>
      </x:c>
      <x:c r="P305" s="30" t="str">
        <x:v>2026-08-15</x:v>
      </x:c>
      <x:c r="Q305" s="33" t="n">
        <x:f>IF(R305="","",ROUND(R305/0.9144,0))</x:f>
        <x:v>3529</x:v>
      </x:c>
      <x:c r="R305" s="33" t="n">
        <x:v>3227</x:v>
      </x:c>
      <x:c r="S305" s="33" t="n">
        <x:v>9</x:v>
      </x:c>
      <x:c r="T305" s="33" t="n">
        <x:v>37</x:v>
      </x:c>
      <x:c r="U305" s="30" t="str">
        <x:v>Full-length course</x:v>
      </x:c>
      <x:c r="V305" s="30"/>
      <x:c r="W305" s="30"/>
      <x:c r="X305" s="30"/>
      <x:c r="Y305" s="30" t="str">
        <x:v>https://www.golfclubzwolle.nl/</x:v>
      </x:c>
      <x:c r="Z305" s="30" t="b">
        <x:f>IF(AND(F305="Netherlands",ISNUMBER(L305),ISNUMBER(M305),L305&gt;=50.7,L305&lt;=53.7,M305&gt;=3.2,M305&lt;=7.3,AC305&lt;&gt;"Closed"),TRUE,FALSE)</x:f>
        <x:v>1</x:v>
      </x:c>
      <x:c r="AA305" s="30" t="b">
        <x:f>Z305</x:f>
        <x:v>1</x:v>
      </x:c>
      <x:c r="AB305" s="30" t="str">
        <x:f>IF(Z305,"verified_coordinate_and_open","not_map_ready")</x:f>
        <x:v>verified_coordinate_and_open</x:v>
      </x:c>
      <x:c r="AC305" s="30" t="str">
        <x:v>Open</x:v>
      </x:c>
      <x:c r="AD305" s="30" t="str">
        <x:v>Public — handicap 54 or lower</x:v>
      </x:c>
      <x:c r="AE305" s="31" t="b">
        <x:v>1</x:v>
      </x:c>
      <x:c r="AF305" s="31" t="b">
        <x:v>0</x:v>
      </x:c>
      <x:c r="AG305" s="30"/>
      <x:c r="AH305" s="30"/>
      <x:c r="AI305" s="30"/>
      <x:c r="AJ305" s="31" t="b">
        <x:v>0</x:v>
      </x:c>
      <x:c r="AK305" s="31" t="b">
        <x:v>0</x:v>
      </x:c>
      <x:c r="AL305" s="30" t="str">
        <x:v>Verified — national register and exact BAG address</x:v>
      </x:c>
      <x:c r="AM305" s="30" t="str">
        <x:v>https://www.golf.nl/de-baan-op/banenzoeker/overzicht</x:v>
      </x:c>
      <x:c r="AN305" s="30" t="str">
        <x:v>2026-08-15</x:v>
      </x:c>
      <x:c r="AO305" s="30" t="str">
        <x:v>+31 38-4534270</x:v>
      </x:c>
      <x:c r="AP305" s="30" t="str">
        <x:v>Current NGF/GOLF.NL listing: 9 holes, par 37, 3227 metres. Listed as qualifying.</x:v>
      </x:c>
    </x:row>
    <x:row r="306">
      <x:c r="A306" s="30" t="str">
        <x:v>NL-C0195</x:v>
      </x:c>
      <x:c r="B306" s="30" t="str">
        <x:v>NL-0305</x:v>
      </x:c>
      <x:c r="C306" s="30" t="str">
        <x:v>Golfplezier Twente</x:v>
      </x:c>
      <x:c r="D306" s="30" t="str">
        <x:v>Golfplezier Twente</x:v>
      </x:c>
      <x:c r="E306" s="30" t="str">
        <x:v>Course</x:v>
      </x:c>
      <x:c r="F306" s="30" t="str">
        <x:v>Netherlands</x:v>
      </x:c>
      <x:c r="G306" s="30" t="str">
        <x:v>Overijssel</x:v>
      </x:c>
      <x:c r="H306" s="30" t="str">
        <x:v>Wierden</x:v>
      </x:c>
      <x:c r="I306" s="30" t="str">
        <x:v>Hoge Hexel</x:v>
      </x:c>
      <x:c r="J306" s="30" t="str">
        <x:v>Bekkenhaarsweg 28</x:v>
      </x:c>
      <x:c r="K306" s="30" t="str">
        <x:v>7645 AJ</x:v>
      </x:c>
      <x:c r="L306" s="32" t="n">
        <x:v>52.40656305</x:v>
      </x:c>
      <x:c r="M306" s="32" t="n">
        <x:v>6.56888108</x:v>
      </x:c>
      <x:c r="N306" s="30" t="str">
        <x:v>WGS84 / EPSG:4326</x:v>
      </x:c>
      <x:c r="O306" s="30" t="str">
        <x:v>Verified BAG address point via PDOK</x:v>
      </x:c>
      <x:c r="P306" s="30" t="str">
        <x:v>2026-08-15</x:v>
      </x:c>
      <x:c r="Q306" s="33" t="n">
        <x:f>IF(R306="","",ROUND(R306/0.9144,0))</x:f>
        <x:v>895</x:v>
      </x:c>
      <x:c r="R306" s="33" t="n">
        <x:v>818</x:v>
      </x:c>
      <x:c r="S306" s="33" t="n">
        <x:v>9</x:v>
      </x:c>
      <x:c r="T306" s="33" t="n">
        <x:v>27</x:v>
      </x:c>
      <x:c r="U306" s="30" t="str">
        <x:v>Par-3 course</x:v>
      </x:c>
      <x:c r="V306" s="30"/>
      <x:c r="W306" s="30"/>
      <x:c r="X306" s="30"/>
      <x:c r="Y306" s="30" t="str">
        <x:v>https://golfpleziertwente.nl/</x:v>
      </x:c>
      <x:c r="Z306" s="30" t="b">
        <x:f>IF(AND(F306="Netherlands",ISNUMBER(L306),ISNUMBER(M306),L306&gt;=50.7,L306&lt;=53.7,M306&gt;=3.2,M306&lt;=7.3,AC306&lt;&gt;"Closed"),TRUE,FALSE)</x:f>
        <x:v>1</x:v>
      </x:c>
      <x:c r="AA306" s="30" t="b">
        <x:f>Z306</x:f>
        <x:v>1</x:v>
      </x:c>
      <x:c r="AB306" s="30" t="str">
        <x:f>IF(Z306,"verified_coordinate_and_open","not_map_ready")</x:f>
        <x:v>verified_coordinate_and_open</x:v>
      </x:c>
      <x:c r="AC306" s="30" t="str">
        <x:v>Open</x:v>
      </x:c>
      <x:c r="AD306" s="30" t="str">
        <x:v>Public — no playing requirement</x:v>
      </x:c>
      <x:c r="AE306" s="31" t="b">
        <x:v>1</x:v>
      </x:c>
      <x:c r="AF306" s="31" t="b">
        <x:v>0</x:v>
      </x:c>
      <x:c r="AG306" s="30"/>
      <x:c r="AH306" s="30"/>
      <x:c r="AI306" s="30"/>
      <x:c r="AJ306" s="31" t="b">
        <x:v>0</x:v>
      </x:c>
      <x:c r="AK306" s="31" t="b">
        <x:v>0</x:v>
      </x:c>
      <x:c r="AL306" s="30" t="str">
        <x:v>Verified — national register and exact BAG address</x:v>
      </x:c>
      <x:c r="AM306" s="30" t="str">
        <x:v>https://www.golf.nl/de-baan-op/banenzoeker/overzicht</x:v>
      </x:c>
      <x:c r="AN306" s="30" t="str">
        <x:v>2026-08-15</x:v>
      </x:c>
      <x:c r="AO306" s="30" t="str">
        <x:v>+31 546-697265</x:v>
      </x:c>
      <x:c r="AP306" s="30" t="str">
        <x:v>Current NGF/GOLF.NL listing: 9 holes, par 27, 818 metres. Listed as qualifying.</x:v>
      </x:c>
    </x:row>
    <x:row r="307">
      <x:c r="A307" s="30" t="str">
        <x:v>NL-C0196</x:v>
      </x:c>
      <x:c r="B307" s="30" t="str">
        <x:v>NL-0306</x:v>
      </x:c>
      <x:c r="C307" s="30" t="str">
        <x:v>Golftuin Zwolle</x:v>
      </x:c>
      <x:c r="D307" s="30" t="str">
        <x:v>Golftuin Zwolle</x:v>
      </x:c>
      <x:c r="E307" s="30" t="str">
        <x:v>Course</x:v>
      </x:c>
      <x:c r="F307" s="30" t="str">
        <x:v>Netherlands</x:v>
      </x:c>
      <x:c r="G307" s="30" t="str">
        <x:v>Overijssel</x:v>
      </x:c>
      <x:c r="H307" s="30" t="str">
        <x:v>Zwolle</x:v>
      </x:c>
      <x:c r="I307" s="30" t="str">
        <x:v>Zwolle</x:v>
      </x:c>
      <x:c r="J307" s="30" t="str">
        <x:v>Harculose Esweg 2</x:v>
      </x:c>
      <x:c r="K307" s="30" t="str">
        <x:v>8015 RH</x:v>
      </x:c>
      <x:c r="L307" s="32" t="n">
        <x:v>52.46551467</x:v>
      </x:c>
      <x:c r="M307" s="32" t="n">
        <x:v>6.12651238</x:v>
      </x:c>
      <x:c r="N307" s="30" t="str">
        <x:v>WGS84 / EPSG:4326</x:v>
      </x:c>
      <x:c r="O307" s="30" t="str">
        <x:v>Verified BAG address point via PDOK</x:v>
      </x:c>
      <x:c r="P307" s="30" t="str">
        <x:v>2026-08-15</x:v>
      </x:c>
      <x:c r="Q307" s="33" t="n">
        <x:f>IF(R307="","",ROUND(R307/0.9144,0))</x:f>
        <x:v>937</x:v>
      </x:c>
      <x:c r="R307" s="33" t="n">
        <x:v>857</x:v>
      </x:c>
      <x:c r="S307" s="33" t="n">
        <x:v>9</x:v>
      </x:c>
      <x:c r="T307" s="33" t="n">
        <x:v>27</x:v>
      </x:c>
      <x:c r="U307" s="30" t="str">
        <x:v>Par-3 course</x:v>
      </x:c>
      <x:c r="V307" s="30"/>
      <x:c r="W307" s="30"/>
      <x:c r="X307" s="30"/>
      <x:c r="Y307" s="30" t="str">
        <x:v>https://www.golftuinzwolle.nl/</x:v>
      </x:c>
      <x:c r="Z307" s="30" t="b">
        <x:f>IF(AND(F307="Netherlands",ISNUMBER(L307),ISNUMBER(M307),L307&gt;=50.7,L307&lt;=53.7,M307&gt;=3.2,M307&lt;=7.3,AC307&lt;&gt;"Closed"),TRUE,FALSE)</x:f>
        <x:v>1</x:v>
      </x:c>
      <x:c r="AA307" s="30" t="b">
        <x:f>Z307</x:f>
        <x:v>1</x:v>
      </x:c>
      <x:c r="AB307" s="30" t="str">
        <x:f>IF(Z307,"verified_coordinate_and_open","not_map_ready")</x:f>
        <x:v>verified_coordinate_and_open</x:v>
      </x:c>
      <x:c r="AC307" s="30" t="str">
        <x:v>Open</x:v>
      </x:c>
      <x:c r="AD307" s="30" t="str">
        <x:v>Geen eis (alleen introducees)</x:v>
      </x:c>
      <x:c r="AE307" s="31" t="b">
        <x:v>1</x:v>
      </x:c>
      <x:c r="AF307" s="31" t="b">
        <x:v>0</x:v>
      </x:c>
      <x:c r="AG307" s="30"/>
      <x:c r="AH307" s="30"/>
      <x:c r="AI307" s="30"/>
      <x:c r="AJ307" s="31" t="b">
        <x:v>0</x:v>
      </x:c>
      <x:c r="AK307" s="31" t="b">
        <x:v>0</x:v>
      </x:c>
      <x:c r="AL307" s="30" t="str">
        <x:v>Verified — national register and exact BAG address</x:v>
      </x:c>
      <x:c r="AM307" s="30" t="str">
        <x:v>https://www.golf.nl/de-baan-op/banenzoeker/overzicht</x:v>
      </x:c>
      <x:c r="AN307" s="30" t="str">
        <x:v>2026-08-15</x:v>
      </x:c>
      <x:c r="AO307" s="30" t="str">
        <x:v>+31 529-466304</x:v>
      </x:c>
      <x:c r="AP307" s="30" t="str">
        <x:v>Current NGF/GOLF.NL listing: 9 holes, par 27, 857 metres. Listed as qualifying.</x:v>
      </x:c>
    </x:row>
    <x:row r="308">
      <x:c r="A308" s="30" t="str">
        <x:v>NL-C0197</x:v>
      </x:c>
      <x:c r="B308" s="30" t="str">
        <x:v>NL-0307</x:v>
      </x:c>
      <x:c r="C308" s="30" t="str">
        <x:v>Hattemse Golf &amp; Country Club</x:v>
      </x:c>
      <x:c r="D308" s="30" t="str">
        <x:v>Hattemse Golf &amp; Country Club</x:v>
      </x:c>
      <x:c r="E308" s="30" t="str">
        <x:v>Course</x:v>
      </x:c>
      <x:c r="F308" s="30" t="str">
        <x:v>Netherlands</x:v>
      </x:c>
      <x:c r="G308" s="30" t="str">
        <x:v>Overijssel</x:v>
      </x:c>
      <x:c r="H308" s="30" t="str">
        <x:v>Hattem</x:v>
      </x:c>
      <x:c r="I308" s="30" t="str">
        <x:v>Hattem</x:v>
      </x:c>
      <x:c r="J308" s="30" t="str">
        <x:v>Veenwal 11</x:v>
      </x:c>
      <x:c r="K308" s="30" t="str">
        <x:v>8051 AS</x:v>
      </x:c>
      <x:c r="L308" s="32" t="n">
        <x:v>52.45432199</x:v>
      </x:c>
      <x:c r="M308" s="32" t="n">
        <x:v>6.07154923</x:v>
      </x:c>
      <x:c r="N308" s="30" t="str">
        <x:v>WGS84 / EPSG:4326</x:v>
      </x:c>
      <x:c r="O308" s="30" t="str">
        <x:v>Verified BAG address point via PDOK</x:v>
      </x:c>
      <x:c r="P308" s="30" t="str">
        <x:v>2026-08-15</x:v>
      </x:c>
      <x:c r="Q308" s="33" t="n">
        <x:f>IF(R308="","",ROUND(R308/0.9144,0))</x:f>
        <x:v>2881</x:v>
      </x:c>
      <x:c r="R308" s="33" t="n">
        <x:v>2634</x:v>
      </x:c>
      <x:c r="S308" s="33" t="n">
        <x:v>9</x:v>
      </x:c>
      <x:c r="T308" s="33" t="n">
        <x:v>34</x:v>
      </x:c>
      <x:c r="U308" s="30" t="str">
        <x:v>Full-length course</x:v>
      </x:c>
      <x:c r="V308" s="30"/>
      <x:c r="W308" s="30"/>
      <x:c r="X308" s="30"/>
      <x:c r="Y308" s="30" t="str">
        <x:v>https://www.golfclubhavelte.nl/</x:v>
      </x:c>
      <x:c r="Z308" s="30" t="b">
        <x:f>IF(AND(F308="Netherlands",ISNUMBER(L308),ISNUMBER(M308),L308&gt;=50.7,L308&lt;=53.7,M308&gt;=3.2,M308&lt;=7.3,AC308&lt;&gt;"Closed"),TRUE,FALSE)</x:f>
        <x:v>1</x:v>
      </x:c>
      <x:c r="AA308" s="30" t="b">
        <x:f>Z308</x:f>
        <x:v>1</x:v>
      </x:c>
      <x:c r="AB308" s="30" t="str">
        <x:f>IF(Z308,"verified_coordinate_and_open","not_map_ready")</x:f>
        <x:v>verified_coordinate_and_open</x:v>
      </x:c>
      <x:c r="AC308" s="30" t="str">
        <x:v>Open</x:v>
      </x:c>
      <x:c r="AD308" s="30" t="str">
        <x:v>Public — handicap 36 or lower</x:v>
      </x:c>
      <x:c r="AE308" s="31" t="b">
        <x:v>1</x:v>
      </x:c>
      <x:c r="AF308" s="31" t="b">
        <x:v>0</x:v>
      </x:c>
      <x:c r="AG308" s="30"/>
      <x:c r="AH308" s="30"/>
      <x:c r="AI308" s="30"/>
      <x:c r="AJ308" s="31" t="b">
        <x:v>0</x:v>
      </x:c>
      <x:c r="AK308" s="31" t="b">
        <x:v>0</x:v>
      </x:c>
      <x:c r="AL308" s="30" t="str">
        <x:v>Verified — national register and exact BAG address</x:v>
      </x:c>
      <x:c r="AM308" s="30" t="str">
        <x:v>https://www.golf.nl/de-baan-op/banenzoeker/overzicht</x:v>
      </x:c>
      <x:c r="AN308" s="30" t="str">
        <x:v>2026-08-15</x:v>
      </x:c>
      <x:c r="AO308" s="30" t="str">
        <x:v>+31 38-3447563</x:v>
      </x:c>
      <x:c r="AP308" s="30" t="str">
        <x:v>Current NGF/GOLF.NL listing: 9 holes, par 34, 2634 metres. Listed as qualifying.</x:v>
      </x:c>
    </x:row>
    <x:row r="309">
      <x:c r="A309" s="30" t="str">
        <x:v>NL-C0198</x:v>
      </x:c>
      <x:c r="B309" s="30" t="str">
        <x:v>NL-0308</x:v>
      </x:c>
      <x:c r="C309" s="30" t="str">
        <x:v>Hooge Graven Golfclub Ommen — Main Course</x:v>
      </x:c>
      <x:c r="D309" s="30" t="str">
        <x:v>Hooge Graven Golfclub Ommen</x:v>
      </x:c>
      <x:c r="E309" s="30" t="str">
        <x:v>Main Course</x:v>
      </x:c>
      <x:c r="F309" s="30" t="str">
        <x:v>Netherlands</x:v>
      </x:c>
      <x:c r="G309" s="30" t="str">
        <x:v>Overijssel</x:v>
      </x:c>
      <x:c r="H309" s="30" t="str">
        <x:v>Ommen</x:v>
      </x:c>
      <x:c r="I309" s="30" t="str">
        <x:v>Arriën</x:v>
      </x:c>
      <x:c r="J309" s="30" t="str">
        <x:v>Hessenweg Oost 3a</x:v>
      </x:c>
      <x:c r="K309" s="30" t="str">
        <x:v>7735 KP</x:v>
      </x:c>
      <x:c r="L309" s="32" t="n">
        <x:v>52.54234235</x:v>
      </x:c>
      <x:c r="M309" s="32" t="n">
        <x:v>6.44711283</x:v>
      </x:c>
      <x:c r="N309" s="30" t="str">
        <x:v>WGS84 / EPSG:4326</x:v>
      </x:c>
      <x:c r="O309" s="30" t="str">
        <x:v>Verified BAG address point via PDOK</x:v>
      </x:c>
      <x:c r="P309" s="30" t="str">
        <x:v>2026-08-15</x:v>
      </x:c>
      <x:c r="Q309" s="33" t="n">
        <x:f>IF(R309="","",ROUND(R309/0.9144,0))</x:f>
        <x:v>6774</x:v>
      </x:c>
      <x:c r="R309" s="33" t="n">
        <x:v>6194</x:v>
      </x:c>
      <x:c r="S309" s="33" t="n">
        <x:v>18</x:v>
      </x:c>
      <x:c r="T309" s="33" t="n">
        <x:v>72</x:v>
      </x:c>
      <x:c r="U309" s="30" t="str">
        <x:v>Full-length course</x:v>
      </x:c>
      <x:c r="V309" s="30"/>
      <x:c r="W309" s="30"/>
      <x:c r="X309" s="30"/>
      <x:c r="Y309" s="30" t="str">
        <x:v>https://hoogegraven.nl/</x:v>
      </x:c>
      <x:c r="Z309" s="30" t="b">
        <x:f>IF(AND(F309="Netherlands",ISNUMBER(L309),ISNUMBER(M309),L309&gt;=50.7,L309&lt;=53.7,M309&gt;=3.2,M309&lt;=7.3,AC309&lt;&gt;"Closed"),TRUE,FALSE)</x:f>
        <x:v>1</x:v>
      </x:c>
      <x:c r="AA309" s="30" t="b">
        <x:f>Z309</x:f>
        <x:v>1</x:v>
      </x:c>
      <x:c r="AB309" s="30" t="str">
        <x:f>IF(Z309,"verified_coordinate_and_open","not_map_ready")</x:f>
        <x:v>verified_coordinate_and_open</x:v>
      </x:c>
      <x:c r="AC309" s="30" t="str">
        <x:v>Open</x:v>
      </x:c>
      <x:c r="AD309" s="30" t="str">
        <x:v>Public — handicap 54 or lower</x:v>
      </x:c>
      <x:c r="AE309" s="31" t="b">
        <x:v>1</x:v>
      </x:c>
      <x:c r="AF309" s="31" t="b">
        <x:v>0</x:v>
      </x:c>
      <x:c r="AG309" s="30"/>
      <x:c r="AH309" s="30"/>
      <x:c r="AI309" s="30"/>
      <x:c r="AJ309" s="31" t="b">
        <x:v>0</x:v>
      </x:c>
      <x:c r="AK309" s="31" t="b">
        <x:v>0</x:v>
      </x:c>
      <x:c r="AL309" s="30" t="str">
        <x:v>Verified — national register and exact BAG address</x:v>
      </x:c>
      <x:c r="AM309" s="30" t="str">
        <x:v>https://www.golf.nl/de-baan-op/banenzoeker/overzicht</x:v>
      </x:c>
      <x:c r="AN309" s="30" t="str">
        <x:v>2026-08-15</x:v>
      </x:c>
      <x:c r="AO309" s="30" t="str">
        <x:v>+31 529-455999</x:v>
      </x:c>
      <x:c r="AP309" s="30" t="str">
        <x:v>Current NGF/GOLF.NL listing: 18 holes, par 72, 6194 metres. Combined from exact NGF-listed constituent nine-hole loops: 1ste negen (9 holes, par 35, 2903 m); 2de negen (9 holes, par 37, 3291 m) Listed as qualifying.</x:v>
      </x:c>
    </x:row>
    <x:row r="310">
      <x:c r="A310" s="30" t="str">
        <x:v>NL-C0198</x:v>
      </x:c>
      <x:c r="B310" s="30" t="str">
        <x:v>NL-0309</x:v>
      </x:c>
      <x:c r="C310" s="30" t="str">
        <x:v>Hooge Graven Golfclub Ommen — Par-3 Course</x:v>
      </x:c>
      <x:c r="D310" s="30" t="str">
        <x:v>Hooge Graven Golfclub Ommen</x:v>
      </x:c>
      <x:c r="E310" s="30" t="str">
        <x:v>Par-3 Course</x:v>
      </x:c>
      <x:c r="F310" s="30" t="str">
        <x:v>Netherlands</x:v>
      </x:c>
      <x:c r="G310" s="30" t="str">
        <x:v>Overijssel</x:v>
      </x:c>
      <x:c r="H310" s="30" t="str">
        <x:v>Ommen</x:v>
      </x:c>
      <x:c r="I310" s="30" t="str">
        <x:v>Arriën</x:v>
      </x:c>
      <x:c r="J310" s="30" t="str">
        <x:v>Hessenweg Oost 3a</x:v>
      </x:c>
      <x:c r="K310" s="30" t="str">
        <x:v>7735 KP</x:v>
      </x:c>
      <x:c r="L310" s="32" t="n">
        <x:v>52.54234235</x:v>
      </x:c>
      <x:c r="M310" s="32" t="n">
        <x:v>6.44711283</x:v>
      </x:c>
      <x:c r="N310" s="30" t="str">
        <x:v>WGS84 / EPSG:4326</x:v>
      </x:c>
      <x:c r="O310" s="30" t="str">
        <x:v>Verified BAG address point via PDOK</x:v>
      </x:c>
      <x:c r="P310" s="30" t="str">
        <x:v>2026-08-15</x:v>
      </x:c>
      <x:c r="Q310" s="33" t="n">
        <x:f>IF(R310="","",ROUND(R310/0.9144,0))</x:f>
        <x:v>924</x:v>
      </x:c>
      <x:c r="R310" s="33" t="n">
        <x:v>845</x:v>
      </x:c>
      <x:c r="S310" s="33" t="n">
        <x:v>9</x:v>
      </x:c>
      <x:c r="T310" s="33" t="n">
        <x:v>27</x:v>
      </x:c>
      <x:c r="U310" s="30" t="str">
        <x:v>Par-3 course</x:v>
      </x:c>
      <x:c r="V310" s="30"/>
      <x:c r="W310" s="30"/>
      <x:c r="X310" s="30"/>
      <x:c r="Y310" s="30" t="str">
        <x:v>https://hoogegraven.nl/</x:v>
      </x:c>
      <x:c r="Z310" s="30" t="b">
        <x:f>IF(AND(F310="Netherlands",ISNUMBER(L310),ISNUMBER(M310),L310&gt;=50.7,L310&lt;=53.7,M310&gt;=3.2,M310&lt;=7.3,AC310&lt;&gt;"Closed"),TRUE,FALSE)</x:f>
        <x:v>1</x:v>
      </x:c>
      <x:c r="AA310" s="30" t="b">
        <x:f>Z310</x:f>
        <x:v>1</x:v>
      </x:c>
      <x:c r="AB310" s="30" t="str">
        <x:f>IF(Z310,"verified_coordinate_and_open","not_map_ready")</x:f>
        <x:v>verified_coordinate_and_open</x:v>
      </x:c>
      <x:c r="AC310" s="30" t="str">
        <x:v>Open</x:v>
      </x:c>
      <x:c r="AD310" s="30" t="str">
        <x:v>Public — NGF course permission</x:v>
      </x:c>
      <x:c r="AE310" s="31" t="b">
        <x:v>1</x:v>
      </x:c>
      <x:c r="AF310" s="31" t="b">
        <x:v>0</x:v>
      </x:c>
      <x:c r="AG310" s="30"/>
      <x:c r="AH310" s="30"/>
      <x:c r="AI310" s="30"/>
      <x:c r="AJ310" s="31" t="b">
        <x:v>0</x:v>
      </x:c>
      <x:c r="AK310" s="31" t="b">
        <x:v>0</x:v>
      </x:c>
      <x:c r="AL310" s="30" t="str">
        <x:v>Verified — national register and exact BAG address</x:v>
      </x:c>
      <x:c r="AM310" s="30" t="str">
        <x:v>https://www.golf.nl/de-baan-op/banenzoeker/overzicht</x:v>
      </x:c>
      <x:c r="AN310" s="30" t="str">
        <x:v>2026-08-15</x:v>
      </x:c>
      <x:c r="AO310" s="30" t="str">
        <x:v>+31 529-455999</x:v>
      </x:c>
      <x:c r="AP310" s="30" t="str">
        <x:v>Current NGF/GOLF.NL listing: 9 holes, par 27, 845 metres. Listed as qualifying.</x:v>
      </x:c>
    </x:row>
    <x:row r="311">
      <x:c r="A311" s="30" t="str">
        <x:v>NL-C0199</x:v>
      </x:c>
      <x:c r="B311" s="30" t="str">
        <x:v>NL-0310</x:v>
      </x:c>
      <x:c r="C311" s="30" t="str">
        <x:v>Pitch &amp; putt Lemele</x:v>
      </x:c>
      <x:c r="D311" s="30" t="str">
        <x:v>Pitch &amp; putt Lemele</x:v>
      </x:c>
      <x:c r="E311" s="30" t="str">
        <x:v>Course</x:v>
      </x:c>
      <x:c r="F311" s="30" t="str">
        <x:v>Netherlands</x:v>
      </x:c>
      <x:c r="G311" s="30" t="str">
        <x:v>Overijssel</x:v>
      </x:c>
      <x:c r="H311" s="30" t="str">
        <x:v>Ommen</x:v>
      </x:c>
      <x:c r="I311" s="30" t="str">
        <x:v>Lemele</x:v>
      </x:c>
      <x:c r="J311" s="30" t="str">
        <x:v>Lage Esweg 5</x:v>
      </x:c>
      <x:c r="K311" s="30" t="str">
        <x:v>8148 RA</x:v>
      </x:c>
      <x:c r="L311" s="32" t="n">
        <x:v>52.45356353</x:v>
      </x:c>
      <x:c r="M311" s="32" t="n">
        <x:v>6.41079034</x:v>
      </x:c>
      <x:c r="N311" s="30" t="str">
        <x:v>WGS84 / EPSG:4326</x:v>
      </x:c>
      <x:c r="O311" s="30" t="str">
        <x:v>Verified BAG address point via PDOK</x:v>
      </x:c>
      <x:c r="P311" s="30" t="str">
        <x:v>2026-08-15</x:v>
      </x:c>
      <x:c r="Q311" s="33" t="n">
        <x:f>IF(R311="","",ROUND(R311/0.9144,0))</x:f>
        <x:v>492</x:v>
      </x:c>
      <x:c r="R311" s="33" t="n">
        <x:v>450</x:v>
      </x:c>
      <x:c r="S311" s="33" t="n">
        <x:v>9</x:v>
      </x:c>
      <x:c r="T311" s="33" t="n">
        <x:v>27</x:v>
      </x:c>
      <x:c r="U311" s="30" t="str">
        <x:v>Shortgolf / Pitch &amp; Putt</x:v>
      </x:c>
      <x:c r="V311" s="30"/>
      <x:c r="W311" s="30"/>
      <x:c r="X311" s="30"/>
      <x:c r="Y311" s="30" t="str">
        <x:v>https://www.facebook.com/pitchenputtlemele</x:v>
      </x:c>
      <x:c r="Z311" s="30" t="b">
        <x:f>IF(AND(F311="Netherlands",ISNUMBER(L311),ISNUMBER(M311),L311&gt;=50.7,L311&lt;=53.7,M311&gt;=3.2,M311&lt;=7.3,AC311&lt;&gt;"Closed"),TRUE,FALSE)</x:f>
        <x:v>1</x:v>
      </x:c>
      <x:c r="AA311" s="30" t="b">
        <x:f>Z311</x:f>
        <x:v>1</x:v>
      </x:c>
      <x:c r="AB311" s="30" t="str">
        <x:f>IF(Z311,"verified_coordinate_and_open","not_map_ready")</x:f>
        <x:v>verified_coordinate_and_open</x:v>
      </x:c>
      <x:c r="AC311" s="30" t="str">
        <x:v>Open</x:v>
      </x:c>
      <x:c r="AD311" s="30" t="str">
        <x:v>Public — no playing requirement</x:v>
      </x:c>
      <x:c r="AE311" s="31" t="b">
        <x:v>0</x:v>
      </x:c>
      <x:c r="AF311" s="31" t="b">
        <x:v>0</x:v>
      </x:c>
      <x:c r="AG311" s="30"/>
      <x:c r="AH311" s="30"/>
      <x:c r="AI311" s="30"/>
      <x:c r="AJ311" s="31" t="b">
        <x:v>0</x:v>
      </x:c>
      <x:c r="AK311" s="31" t="b">
        <x:v>0</x:v>
      </x:c>
      <x:c r="AL311" s="30" t="str">
        <x:v>Verified — national register and exact BAG address</x:v>
      </x:c>
      <x:c r="AM311" s="30" t="str">
        <x:v>https://www.golf.nl/de-baan-op/banenzoeker/overzicht</x:v>
      </x:c>
      <x:c r="AN311" s="30" t="str">
        <x:v>2026-08-15</x:v>
      </x:c>
      <x:c r="AO311" s="30" t="str">
        <x:v>+31 572-331413</x:v>
      </x:c>
      <x:c r="AP311" s="30" t="str">
        <x:v>Current NGF/GOLF.NL listing: 9 holes, par 27, 450 metres. Listed as non-qualifying.</x:v>
      </x:c>
    </x:row>
    <x:row r="312">
      <x:c r="A312" s="30" t="str">
        <x:v>NL-C0200</x:v>
      </x:c>
      <x:c r="B312" s="30" t="str">
        <x:v>NL-0311</x:v>
      </x:c>
      <x:c r="C312" s="30" t="str">
        <x:v>Pitch &amp; Putt Twente — Shortgolf / Pitch &amp; Putt Course</x:v>
      </x:c>
      <x:c r="D312" s="30" t="str">
        <x:v>Pitch &amp; Putt Twente</x:v>
      </x:c>
      <x:c r="E312" s="30" t="str">
        <x:v>Shortgolf / Pitch &amp; Putt Course</x:v>
      </x:c>
      <x:c r="F312" s="30" t="str">
        <x:v>Netherlands</x:v>
      </x:c>
      <x:c r="G312" s="30" t="str">
        <x:v>Overijssel</x:v>
      </x:c>
      <x:c r="H312" s="30" t="str">
        <x:v>Hof van Twente</x:v>
      </x:c>
      <x:c r="I312" s="30" t="str">
        <x:v>Diepenheim</x:v>
      </x:c>
      <x:c r="J312" s="30" t="str">
        <x:v>Hengevelderweg 3</x:v>
      </x:c>
      <x:c r="K312" s="30" t="str">
        <x:v>7478 PE</x:v>
      </x:c>
      <x:c r="L312" s="32" t="n">
        <x:v>52.19776367</x:v>
      </x:c>
      <x:c r="M312" s="32" t="n">
        <x:v>6.59026026</x:v>
      </x:c>
      <x:c r="N312" s="30" t="str">
        <x:v>WGS84 / EPSG:4326</x:v>
      </x:c>
      <x:c r="O312" s="30" t="str">
        <x:v>Verified BAG address point via PDOK</x:v>
      </x:c>
      <x:c r="P312" s="30" t="str">
        <x:v>2026-08-15</x:v>
      </x:c>
      <x:c r="Q312" s="33" t="n">
        <x:f>IF(R312="","",ROUND(R312/0.9144,0))</x:f>
        <x:v>1006</x:v>
      </x:c>
      <x:c r="R312" s="33" t="n">
        <x:v>920</x:v>
      </x:c>
      <x:c r="S312" s="33" t="n">
        <x:v>18</x:v>
      </x:c>
      <x:c r="T312" s="33" t="n">
        <x:v>54</x:v>
      </x:c>
      <x:c r="U312" s="30" t="str">
        <x:v>Shortgolf / Pitch &amp; Putt</x:v>
      </x:c>
      <x:c r="V312" s="30"/>
      <x:c r="W312" s="30"/>
      <x:c r="X312" s="30"/>
      <x:c r="Y312" s="30" t="str">
        <x:v>https://pitch-putt-twente.nl/</x:v>
      </x:c>
      <x:c r="Z312" s="30" t="b">
        <x:f>IF(AND(F312="Netherlands",ISNUMBER(L312),ISNUMBER(M312),L312&gt;=50.7,L312&lt;=53.7,M312&gt;=3.2,M312&lt;=7.3,AC312&lt;&gt;"Closed"),TRUE,FALSE)</x:f>
        <x:v>1</x:v>
      </x:c>
      <x:c r="AA312" s="30" t="b">
        <x:f>Z312</x:f>
        <x:v>1</x:v>
      </x:c>
      <x:c r="AB312" s="30" t="str">
        <x:f>IF(Z312,"verified_coordinate_and_open","not_map_ready")</x:f>
        <x:v>verified_coordinate_and_open</x:v>
      </x:c>
      <x:c r="AC312" s="30" t="str">
        <x:v>Open</x:v>
      </x:c>
      <x:c r="AD312" s="30" t="str">
        <x:v>Public — no playing requirement</x:v>
      </x:c>
      <x:c r="AE312" s="31" t="b">
        <x:v>0</x:v>
      </x:c>
      <x:c r="AF312" s="31" t="b">
        <x:v>0</x:v>
      </x:c>
      <x:c r="AG312" s="30"/>
      <x:c r="AH312" s="30"/>
      <x:c r="AI312" s="30"/>
      <x:c r="AJ312" s="31" t="b">
        <x:v>0</x:v>
      </x:c>
      <x:c r="AK312" s="31" t="b">
        <x:v>0</x:v>
      </x:c>
      <x:c r="AL312" s="30" t="str">
        <x:v>Verified — national register and exact BAG address</x:v>
      </x:c>
      <x:c r="AM312" s="30" t="str">
        <x:v>https://www.golf.nl/de-baan-op/banenzoeker/overzicht</x:v>
      </x:c>
      <x:c r="AN312" s="30" t="str">
        <x:v>2026-08-15</x:v>
      </x:c>
      <x:c r="AO312" s="30" t="str">
        <x:v>+31 547-351990</x:v>
      </x:c>
      <x:c r="AP312" s="30" t="str">
        <x:v>Current NGF/GOLF.NL listing: 18 holes, par 54, 920 metres. Combined from exact NGF-listed constituent nine-hole loops: 1ste negen (9 holes, par 27, 459 m); 2de negen (9 holes, par 27, 461 m) Listed as non-qualifying.</x:v>
      </x:c>
    </x:row>
    <x:row r="313">
      <x:c r="A313" s="30" t="str">
        <x:v>NL-C0201</x:v>
      </x:c>
      <x:c r="B313" s="30" t="str">
        <x:v>NL-0312</x:v>
      </x:c>
      <x:c r="C313" s="30" t="str">
        <x:v>Sallandsche Golfclub De Hoek — Main Course</x:v>
      </x:c>
      <x:c r="D313" s="30" t="str">
        <x:v>Sallandsche Golfclub De Hoek</x:v>
      </x:c>
      <x:c r="E313" s="30" t="str">
        <x:v>Main Course</x:v>
      </x:c>
      <x:c r="F313" s="30" t="str">
        <x:v>Netherlands</x:v>
      </x:c>
      <x:c r="G313" s="30" t="str">
        <x:v>Overijssel</x:v>
      </x:c>
      <x:c r="H313" s="30" t="str">
        <x:v>Deventer</x:v>
      </x:c>
      <x:c r="I313" s="30" t="str">
        <x:v>Diepenveen</x:v>
      </x:c>
      <x:c r="J313" s="30" t="str">
        <x:v>Golfweg 2</x:v>
      </x:c>
      <x:c r="K313" s="30" t="str">
        <x:v>7431 PR</x:v>
      </x:c>
      <x:c r="L313" s="32" t="n">
        <x:v>52.29651037</x:v>
      </x:c>
      <x:c r="M313" s="32" t="n">
        <x:v>6.16320478</x:v>
      </x:c>
      <x:c r="N313" s="30" t="str">
        <x:v>WGS84 / EPSG:4326</x:v>
      </x:c>
      <x:c r="O313" s="30" t="str">
        <x:v>Verified BAG address point via PDOK</x:v>
      </x:c>
      <x:c r="P313" s="30" t="str">
        <x:v>2026-08-15</x:v>
      </x:c>
      <x:c r="Q313" s="33" t="n">
        <x:f>IF(R313="","",ROUND(R313/0.9144,0))</x:f>
        <x:v>6622</x:v>
      </x:c>
      <x:c r="R313" s="33" t="n">
        <x:v>6055</x:v>
      </x:c>
      <x:c r="S313" s="33" t="n">
        <x:v>18</x:v>
      </x:c>
      <x:c r="T313" s="33" t="n">
        <x:v>72</x:v>
      </x:c>
      <x:c r="U313" s="30" t="str">
        <x:v>Full-length course</x:v>
      </x:c>
      <x:c r="V313" s="30"/>
      <x:c r="W313" s="30"/>
      <x:c r="X313" s="30"/>
      <x:c r="Y313" s="30" t="str">
        <x:v>https://sallandsche.nl/</x:v>
      </x:c>
      <x:c r="Z313" s="30" t="b">
        <x:f>IF(AND(F313="Netherlands",ISNUMBER(L313),ISNUMBER(M313),L313&gt;=50.7,L313&lt;=53.7,M313&gt;=3.2,M313&lt;=7.3,AC313&lt;&gt;"Closed"),TRUE,FALSE)</x:f>
        <x:v>1</x:v>
      </x:c>
      <x:c r="AA313" s="30" t="b">
        <x:f>Z313</x:f>
        <x:v>1</x:v>
      </x:c>
      <x:c r="AB313" s="30" t="str">
        <x:f>IF(Z313,"verified_coordinate_and_open","not_map_ready")</x:f>
        <x:v>verified_coordinate_and_open</x:v>
      </x:c>
      <x:c r="AC313" s="30" t="str">
        <x:v>Open</x:v>
      </x:c>
      <x:c r="AD313" s="30" t="str">
        <x:v>Public — handicap 36 or lower</x:v>
      </x:c>
      <x:c r="AE313" s="31" t="b">
        <x:v>1</x:v>
      </x:c>
      <x:c r="AF313" s="31" t="b">
        <x:v>0</x:v>
      </x:c>
      <x:c r="AG313" s="30"/>
      <x:c r="AH313" s="30"/>
      <x:c r="AI313" s="30"/>
      <x:c r="AJ313" s="31" t="b">
        <x:v>0</x:v>
      </x:c>
      <x:c r="AK313" s="31" t="b">
        <x:v>0</x:v>
      </x:c>
      <x:c r="AL313" s="30" t="str">
        <x:v>Verified — national register and exact BAG address</x:v>
      </x:c>
      <x:c r="AM313" s="30" t="str">
        <x:v>https://www.golf.nl/de-baan-op/banenzoeker/overzicht</x:v>
      </x:c>
      <x:c r="AN313" s="30" t="str">
        <x:v>2026-08-15</x:v>
      </x:c>
      <x:c r="AO313" s="30" t="str">
        <x:v>+31 570-593269</x:v>
      </x:c>
      <x:c r="AP313" s="30" t="str">
        <x:v>Current NGF/GOLF.NL listing: 18 holes, par 72, 6055 metres. Combined from exact NGF-listed constituent nine-hole loops: 1ste negen (9 holes, par 36, 2982 m); 2de negen (9 holes, par 36, 3073 m) Listed as qualifying.</x:v>
      </x:c>
    </x:row>
    <x:row r="314">
      <x:c r="A314" s="30" t="str">
        <x:v>NL-C0202</x:v>
      </x:c>
      <x:c r="B314" s="30" t="str">
        <x:v>NL-0313</x:v>
      </x:c>
      <x:c r="C314" s="30" t="str">
        <x:v>Short Golf Hof van Twente</x:v>
      </x:c>
      <x:c r="D314" s="30" t="str">
        <x:v>Short Golf Hof van Twente</x:v>
      </x:c>
      <x:c r="E314" s="30" t="str">
        <x:v>Course</x:v>
      </x:c>
      <x:c r="F314" s="30" t="str">
        <x:v>Netherlands</x:v>
      </x:c>
      <x:c r="G314" s="30" t="str">
        <x:v>Overijssel</x:v>
      </x:c>
      <x:c r="H314" s="30" t="str">
        <x:v>Hof van Twente</x:v>
      </x:c>
      <x:c r="I314" s="30" t="str">
        <x:v>Bentelo</x:v>
      </x:c>
      <x:c r="J314" s="30" t="str">
        <x:v>Platenkampsweg 3</x:v>
      </x:c>
      <x:c r="K314" s="30" t="str">
        <x:v>7497 MX</x:v>
      </x:c>
      <x:c r="L314" s="32" t="n">
        <x:v>52.24038466</x:v>
      </x:c>
      <x:c r="M314" s="32" t="n">
        <x:v>6.69455137</x:v>
      </x:c>
      <x:c r="N314" s="30" t="str">
        <x:v>WGS84 / EPSG:4326</x:v>
      </x:c>
      <x:c r="O314" s="30" t="str">
        <x:v>Verified BAG address point via PDOK</x:v>
      </x:c>
      <x:c r="P314" s="30" t="str">
        <x:v>2026-08-15</x:v>
      </x:c>
      <x:c r="Q314" s="33" t="n">
        <x:f>IF(R314="","",ROUND(R314/0.9144,0))</x:f>
        <x:v>694</x:v>
      </x:c>
      <x:c r="R314" s="33" t="n">
        <x:v>635</x:v>
      </x:c>
      <x:c r="S314" s="33" t="n">
        <x:v>9</x:v>
      </x:c>
      <x:c r="T314" s="33" t="n">
        <x:v>27</x:v>
      </x:c>
      <x:c r="U314" s="30" t="str">
        <x:v>Par-3 course</x:v>
      </x:c>
      <x:c r="V314" s="30"/>
      <x:c r="W314" s="30"/>
      <x:c r="X314" s="30"/>
      <x:c r="Y314" s="30" t="str">
        <x:v>https://shortgolfhofvantwente.nl/</x:v>
      </x:c>
      <x:c r="Z314" s="30" t="b">
        <x:f>IF(AND(F314="Netherlands",ISNUMBER(L314),ISNUMBER(M314),L314&gt;=50.7,L314&lt;=53.7,M314&gt;=3.2,M314&lt;=7.3,AC314&lt;&gt;"Closed"),TRUE,FALSE)</x:f>
        <x:v>1</x:v>
      </x:c>
      <x:c r="AA314" s="30" t="b">
        <x:f>Z314</x:f>
        <x:v>1</x:v>
      </x:c>
      <x:c r="AB314" s="30" t="str">
        <x:f>IF(Z314,"verified_coordinate_and_open","not_map_ready")</x:f>
        <x:v>verified_coordinate_and_open</x:v>
      </x:c>
      <x:c r="AC314" s="30" t="str">
        <x:v>Open</x:v>
      </x:c>
      <x:c r="AD314" s="30" t="str">
        <x:v>Public — no playing requirement</x:v>
      </x:c>
      <x:c r="AE314" s="31" t="b">
        <x:v>0</x:v>
      </x:c>
      <x:c r="AF314" s="31" t="b">
        <x:v>0</x:v>
      </x:c>
      <x:c r="AG314" s="30"/>
      <x:c r="AH314" s="30"/>
      <x:c r="AI314" s="30"/>
      <x:c r="AJ314" s="31" t="b">
        <x:v>0</x:v>
      </x:c>
      <x:c r="AK314" s="31" t="b">
        <x:v>0</x:v>
      </x:c>
      <x:c r="AL314" s="30" t="str">
        <x:v>Verified — national register and exact BAG address</x:v>
      </x:c>
      <x:c r="AM314" s="30" t="str">
        <x:v>https://www.golf.nl/de-baan-op/banenzoeker/overzicht</x:v>
      </x:c>
      <x:c r="AN314" s="30" t="str">
        <x:v>2026-08-15</x:v>
      </x:c>
      <x:c r="AO314" s="30" t="str">
        <x:v>+31 6- 30845087</x:v>
      </x:c>
      <x:c r="AP314" s="30" t="str">
        <x:v>Current NGF/GOLF.NL listing: 9 holes, par 27, 635 metres. Listed as non-qualifying.</x:v>
      </x:c>
    </x:row>
    <x:row r="315">
      <x:c r="A315" s="30" t="str">
        <x:v>NL-C0203</x:v>
      </x:c>
      <x:c r="B315" s="30" t="str">
        <x:v>NL-0314</x:v>
      </x:c>
      <x:c r="C315" s="30" t="str">
        <x:v>Shortgolf Twente — Par-3 Course</x:v>
      </x:c>
      <x:c r="D315" s="30" t="str">
        <x:v>Shortgolf Twente</x:v>
      </x:c>
      <x:c r="E315" s="30" t="str">
        <x:v>Par-3 Course</x:v>
      </x:c>
      <x:c r="F315" s="30" t="str">
        <x:v>Netherlands</x:v>
      </x:c>
      <x:c r="G315" s="30" t="str">
        <x:v>Overijssel</x:v>
      </x:c>
      <x:c r="H315" s="30" t="str">
        <x:v>Tubbergen</x:v>
      </x:c>
      <x:c r="I315" s="30" t="str">
        <x:v>Tubbergen</x:v>
      </x:c>
      <x:c r="J315" s="30" t="str">
        <x:v>Tibsweg 2</x:v>
      </x:c>
      <x:c r="K315" s="30" t="str">
        <x:v>7651 KP</x:v>
      </x:c>
      <x:c r="L315" s="32" t="n">
        <x:v>52.40996073</x:v>
      </x:c>
      <x:c r="M315" s="32" t="n">
        <x:v>6.8060919</x:v>
      </x:c>
      <x:c r="N315" s="30" t="str">
        <x:v>WGS84 / EPSG:4326</x:v>
      </x:c>
      <x:c r="O315" s="30" t="str">
        <x:v>Verified BAG address point via PDOK</x:v>
      </x:c>
      <x:c r="P315" s="30" t="str">
        <x:v>2026-08-15</x:v>
      </x:c>
      <x:c r="Q315" s="33" t="n">
        <x:f>IF(R315="","",ROUND(R315/0.9144,0))</x:f>
        <x:v>694</x:v>
      </x:c>
      <x:c r="R315" s="33" t="n">
        <x:v>635</x:v>
      </x:c>
      <x:c r="S315" s="33" t="n">
        <x:v>9</x:v>
      </x:c>
      <x:c r="T315" s="33" t="n">
        <x:v>27</x:v>
      </x:c>
      <x:c r="U315" s="30" t="str">
        <x:v>Par-3 course</x:v>
      </x:c>
      <x:c r="V315" s="30"/>
      <x:c r="W315" s="30"/>
      <x:c r="X315" s="30"/>
      <x:c r="Y315" s="30" t="str">
        <x:v>https://shortgolftwente.nl/</x:v>
      </x:c>
      <x:c r="Z315" s="30" t="b">
        <x:f>IF(AND(F315="Netherlands",ISNUMBER(L315),ISNUMBER(M315),L315&gt;=50.7,L315&lt;=53.7,M315&gt;=3.2,M315&lt;=7.3,AC315&lt;&gt;"Closed"),TRUE,FALSE)</x:f>
        <x:v>1</x:v>
      </x:c>
      <x:c r="AA315" s="30" t="b">
        <x:f>Z315</x:f>
        <x:v>1</x:v>
      </x:c>
      <x:c r="AB315" s="30" t="str">
        <x:f>IF(Z315,"verified_coordinate_and_open","not_map_ready")</x:f>
        <x:v>verified_coordinate_and_open</x:v>
      </x:c>
      <x:c r="AC315" s="30" t="str">
        <x:v>Open</x:v>
      </x:c>
      <x:c r="AD315" s="30" t="str">
        <x:v>Public — no playing requirement</x:v>
      </x:c>
      <x:c r="AE315" s="31" t="b">
        <x:v>0</x:v>
      </x:c>
      <x:c r="AF315" s="31" t="b">
        <x:v>0</x:v>
      </x:c>
      <x:c r="AG315" s="30"/>
      <x:c r="AH315" s="30"/>
      <x:c r="AI315" s="30"/>
      <x:c r="AJ315" s="31" t="b">
        <x:v>0</x:v>
      </x:c>
      <x:c r="AK315" s="31" t="b">
        <x:v>0</x:v>
      </x:c>
      <x:c r="AL315" s="30" t="str">
        <x:v>Verified — national register and exact BAG address</x:v>
      </x:c>
      <x:c r="AM315" s="30" t="str">
        <x:v>https://www.golf.nl/de-baan-op/banenzoeker/overzicht</x:v>
      </x:c>
      <x:c r="AN315" s="30" t="str">
        <x:v>2026-08-15</x:v>
      </x:c>
      <x:c r="AO315" s="30" t="str">
        <x:v>+31 546-621378</x:v>
      </x:c>
      <x:c r="AP315" s="30" t="str">
        <x:v>Current NGF/GOLF.NL listing: 9 holes, par 27, 635 metres. The current official facility contact page and BAG address replace the postcode typo in the NGF overview (Tibsweg 2, 7651 KB Tubbergen). Listed as non-qualifying.</x:v>
      </x:c>
    </x:row>
    <x:row r="316">
      <x:c r="A316" s="30" t="str">
        <x:v>NL-C0203</x:v>
      </x:c>
      <x:c r="B316" s="30" t="str">
        <x:v>NL-0315</x:v>
      </x:c>
      <x:c r="C316" s="30" t="str">
        <x:v>Shortgolf Twente — Shortgolf / Pitch &amp; Putt Course</x:v>
      </x:c>
      <x:c r="D316" s="30" t="str">
        <x:v>Shortgolf Twente</x:v>
      </x:c>
      <x:c r="E316" s="30" t="str">
        <x:v>Shortgolf / Pitch &amp; Putt Course</x:v>
      </x:c>
      <x:c r="F316" s="30" t="str">
        <x:v>Netherlands</x:v>
      </x:c>
      <x:c r="G316" s="30" t="str">
        <x:v>Overijssel</x:v>
      </x:c>
      <x:c r="H316" s="30" t="str">
        <x:v>Tubbergen</x:v>
      </x:c>
      <x:c r="I316" s="30" t="str">
        <x:v>Tubbergen</x:v>
      </x:c>
      <x:c r="J316" s="30" t="str">
        <x:v>Tibsweg 2</x:v>
      </x:c>
      <x:c r="K316" s="30" t="str">
        <x:v>7651 KP</x:v>
      </x:c>
      <x:c r="L316" s="32" t="n">
        <x:v>52.40996073</x:v>
      </x:c>
      <x:c r="M316" s="32" t="n">
        <x:v>6.8060919</x:v>
      </x:c>
      <x:c r="N316" s="30" t="str">
        <x:v>WGS84 / EPSG:4326</x:v>
      </x:c>
      <x:c r="O316" s="30" t="str">
        <x:v>Verified BAG address point via PDOK</x:v>
      </x:c>
      <x:c r="P316" s="30" t="str">
        <x:v>2026-08-15</x:v>
      </x:c>
      <x:c r="Q316" s="33" t="n">
        <x:f>IF(R316="","",ROUND(R316/0.9144,0))</x:f>
        <x:v>492</x:v>
      </x:c>
      <x:c r="R316" s="33" t="n">
        <x:v>450</x:v>
      </x:c>
      <x:c r="S316" s="33" t="n">
        <x:v>9</x:v>
      </x:c>
      <x:c r="T316" s="33" t="n">
        <x:v>27</x:v>
      </x:c>
      <x:c r="U316" s="30" t="str">
        <x:v>Shortgolf / Pitch &amp; Putt</x:v>
      </x:c>
      <x:c r="V316" s="30"/>
      <x:c r="W316" s="30"/>
      <x:c r="X316" s="30"/>
      <x:c r="Y316" s="30" t="str">
        <x:v>https://shortgolftwente.nl/</x:v>
      </x:c>
      <x:c r="Z316" s="30" t="b">
        <x:f>IF(AND(F316="Netherlands",ISNUMBER(L316),ISNUMBER(M316),L316&gt;=50.7,L316&lt;=53.7,M316&gt;=3.2,M316&lt;=7.3,AC316&lt;&gt;"Closed"),TRUE,FALSE)</x:f>
        <x:v>1</x:v>
      </x:c>
      <x:c r="AA316" s="30" t="b">
        <x:f>Z316</x:f>
        <x:v>1</x:v>
      </x:c>
      <x:c r="AB316" s="30" t="str">
        <x:f>IF(Z316,"verified_coordinate_and_open","not_map_ready")</x:f>
        <x:v>verified_coordinate_and_open</x:v>
      </x:c>
      <x:c r="AC316" s="30" t="str">
        <x:v>Open</x:v>
      </x:c>
      <x:c r="AD316" s="30" t="str">
        <x:v>Public — no playing requirement</x:v>
      </x:c>
      <x:c r="AE316" s="31" t="b">
        <x:v>0</x:v>
      </x:c>
      <x:c r="AF316" s="31" t="b">
        <x:v>0</x:v>
      </x:c>
      <x:c r="AG316" s="30"/>
      <x:c r="AH316" s="30"/>
      <x:c r="AI316" s="30"/>
      <x:c r="AJ316" s="31" t="b">
        <x:v>0</x:v>
      </x:c>
      <x:c r="AK316" s="31" t="b">
        <x:v>0</x:v>
      </x:c>
      <x:c r="AL316" s="30" t="str">
        <x:v>Verified — national register and exact BAG address</x:v>
      </x:c>
      <x:c r="AM316" s="30" t="str">
        <x:v>https://www.golf.nl/de-baan-op/banenzoeker/overzicht</x:v>
      </x:c>
      <x:c r="AN316" s="30" t="str">
        <x:v>2026-08-15</x:v>
      </x:c>
      <x:c r="AO316" s="30" t="str">
        <x:v>+31 546-621378</x:v>
      </x:c>
      <x:c r="AP316" s="30" t="str">
        <x:v>Current NGF/GOLF.NL listing: 9 holes, par 27, 450 metres. The current official facility contact page and BAG address replace the postcode typo in the NGF overview (Tibsweg 2, 7651 KB Tubbergen). Listed as non-qualifying.</x:v>
      </x:c>
    </x:row>
    <x:row r="317">
      <x:c r="A317" s="30" t="str">
        <x:v>NL-C0204</x:v>
      </x:c>
      <x:c r="B317" s="30" t="str">
        <x:v>NL-0316</x:v>
      </x:c>
      <x:c r="C317" s="30" t="str">
        <x:v>Spielehof — Grobbebaan</x:v>
      </x:c>
      <x:c r="D317" s="30" t="str">
        <x:v>Spielehof</x:v>
      </x:c>
      <x:c r="E317" s="30" t="str">
        <x:v>Grobbebaan</x:v>
      </x:c>
      <x:c r="F317" s="30" t="str">
        <x:v>Netherlands</x:v>
      </x:c>
      <x:c r="G317" s="30" t="str">
        <x:v>Overijssel</x:v>
      </x:c>
      <x:c r="H317" s="30" t="str">
        <x:v>Enschede</x:v>
      </x:c>
      <x:c r="I317" s="30" t="str">
        <x:v>Enschede</x:v>
      </x:c>
      <x:c r="J317" s="30" t="str">
        <x:v>Spieleweg 24</x:v>
      </x:c>
      <x:c r="K317" s="30" t="str">
        <x:v>7548 RR</x:v>
      </x:c>
      <x:c r="L317" s="32" t="n">
        <x:v>52.2017133</x:v>
      </x:c>
      <x:c r="M317" s="32" t="n">
        <x:v>6.7849028</x:v>
      </x:c>
      <x:c r="N317" s="30" t="str">
        <x:v>WGS84 / EPSG:4326</x:v>
      </x:c>
      <x:c r="O317" s="30" t="str">
        <x:v>Verified BAG address point via PDOK</x:v>
      </x:c>
      <x:c r="P317" s="30" t="str">
        <x:v>2026-08-15</x:v>
      </x:c>
      <x:c r="Q317" s="33" t="n">
        <x:f>IF(R317="","",ROUND(R317/0.9144,0))</x:f>
        <x:v>1674</x:v>
      </x:c>
      <x:c r="R317" s="33" t="n">
        <x:v>1531</x:v>
      </x:c>
      <x:c r="S317" s="33" t="n">
        <x:v>9</x:v>
      </x:c>
      <x:c r="T317" s="33" t="n">
        <x:v>29</x:v>
      </x:c>
      <x:c r="U317" s="30" t="str">
        <x:v>Par-3/4 course</x:v>
      </x:c>
      <x:c r="V317" s="30"/>
      <x:c r="W317" s="30"/>
      <x:c r="X317" s="30"/>
      <x:c r="Y317" s="30" t="str">
        <x:v>https://www.spielehof.nl/</x:v>
      </x:c>
      <x:c r="Z317" s="30" t="b">
        <x:f>IF(AND(F317="Netherlands",ISNUMBER(L317),ISNUMBER(M317),L317&gt;=50.7,L317&lt;=53.7,M317&gt;=3.2,M317&lt;=7.3,AC317&lt;&gt;"Closed"),TRUE,FALSE)</x:f>
        <x:v>1</x:v>
      </x:c>
      <x:c r="AA317" s="30" t="b">
        <x:f>Z317</x:f>
        <x:v>1</x:v>
      </x:c>
      <x:c r="AB317" s="30" t="str">
        <x:f>IF(Z317,"verified_coordinate_and_open","not_map_ready")</x:f>
        <x:v>verified_coordinate_and_open</x:v>
      </x:c>
      <x:c r="AC317" s="30" t="str">
        <x:v>Open</x:v>
      </x:c>
      <x:c r="AD317" s="30" t="str">
        <x:v>Public — handicap 54 or lower</x:v>
      </x:c>
      <x:c r="AE317" s="31" t="b">
        <x:v>1</x:v>
      </x:c>
      <x:c r="AF317" s="31" t="b">
        <x:v>0</x:v>
      </x:c>
      <x:c r="AG317" s="30"/>
      <x:c r="AH317" s="30"/>
      <x:c r="AI317" s="30"/>
      <x:c r="AJ317" s="31" t="b">
        <x:v>0</x:v>
      </x:c>
      <x:c r="AK317" s="31" t="b">
        <x:v>0</x:v>
      </x:c>
      <x:c r="AL317" s="30" t="str">
        <x:v>Verified — national register and exact BAG address</x:v>
      </x:c>
      <x:c r="AM317" s="30" t="str">
        <x:v>https://www.golf.nl/de-baan-op/banenzoeker/overzicht</x:v>
      </x:c>
      <x:c r="AN317" s="30" t="str">
        <x:v>2026-08-15</x:v>
      </x:c>
      <x:c r="AO317" s="30" t="str">
        <x:v>+31 53-4281363</x:v>
      </x:c>
      <x:c r="AP317" s="30" t="str">
        <x:v>Current NGF/GOLF.NL listing: 9 holes, par 29, 1531 metres. Listed as qualifying.</x:v>
      </x:c>
    </x:row>
    <x:row r="318">
      <x:c r="A318" s="30" t="str">
        <x:v>NL-C0204</x:v>
      </x:c>
      <x:c r="B318" s="30" t="str">
        <x:v>NL-0317</x:v>
      </x:c>
      <x:c r="C318" s="30" t="str">
        <x:v>Spielehof — Shortgolf / Pitch &amp; Putt Course</x:v>
      </x:c>
      <x:c r="D318" s="30" t="str">
        <x:v>Spielehof</x:v>
      </x:c>
      <x:c r="E318" s="30" t="str">
        <x:v>Shortgolf / Pitch &amp; Putt Course</x:v>
      </x:c>
      <x:c r="F318" s="30" t="str">
        <x:v>Netherlands</x:v>
      </x:c>
      <x:c r="G318" s="30" t="str">
        <x:v>Overijssel</x:v>
      </x:c>
      <x:c r="H318" s="30" t="str">
        <x:v>Enschede</x:v>
      </x:c>
      <x:c r="I318" s="30" t="str">
        <x:v>Enschede</x:v>
      </x:c>
      <x:c r="J318" s="30" t="str">
        <x:v>Spieleweg 24</x:v>
      </x:c>
      <x:c r="K318" s="30" t="str">
        <x:v>7548 RR</x:v>
      </x:c>
      <x:c r="L318" s="32" t="n">
        <x:v>52.2017133</x:v>
      </x:c>
      <x:c r="M318" s="32" t="n">
        <x:v>6.7849028</x:v>
      </x:c>
      <x:c r="N318" s="30" t="str">
        <x:v>WGS84 / EPSG:4326</x:v>
      </x:c>
      <x:c r="O318" s="30" t="str">
        <x:v>Verified BAG address point via PDOK</x:v>
      </x:c>
      <x:c r="P318" s="30" t="str">
        <x:v>2026-08-15</x:v>
      </x:c>
      <x:c r="Q318" s="33" t="n">
        <x:f>IF(R318="","",ROUND(R318/0.9144,0))</x:f>
        <x:v>1114</x:v>
      </x:c>
      <x:c r="R318" s="33" t="n">
        <x:v>1019</x:v>
      </x:c>
      <x:c r="S318" s="33" t="n">
        <x:v>18</x:v>
      </x:c>
      <x:c r="T318" s="33" t="n">
        <x:v>54</x:v>
      </x:c>
      <x:c r="U318" s="30" t="str">
        <x:v>Shortgolf / Pitch &amp; Putt</x:v>
      </x:c>
      <x:c r="V318" s="30"/>
      <x:c r="W318" s="30"/>
      <x:c r="X318" s="30"/>
      <x:c r="Y318" s="30" t="str">
        <x:v>https://www.spielehof.nl/</x:v>
      </x:c>
      <x:c r="Z318" s="30" t="b">
        <x:f>IF(AND(F318="Netherlands",ISNUMBER(L318),ISNUMBER(M318),L318&gt;=50.7,L318&lt;=53.7,M318&gt;=3.2,M318&lt;=7.3,AC318&lt;&gt;"Closed"),TRUE,FALSE)</x:f>
        <x:v>1</x:v>
      </x:c>
      <x:c r="AA318" s="30" t="b">
        <x:f>Z318</x:f>
        <x:v>1</x:v>
      </x:c>
      <x:c r="AB318" s="30" t="str">
        <x:f>IF(Z318,"verified_coordinate_and_open","not_map_ready")</x:f>
        <x:v>verified_coordinate_and_open</x:v>
      </x:c>
      <x:c r="AC318" s="30" t="str">
        <x:v>Open</x:v>
      </x:c>
      <x:c r="AD318" s="30" t="str">
        <x:v>Public — no playing requirement</x:v>
      </x:c>
      <x:c r="AE318" s="31" t="b">
        <x:v>0</x:v>
      </x:c>
      <x:c r="AF318" s="31" t="b">
        <x:v>0</x:v>
      </x:c>
      <x:c r="AG318" s="30"/>
      <x:c r="AH318" s="30"/>
      <x:c r="AI318" s="30"/>
      <x:c r="AJ318" s="31" t="b">
        <x:v>0</x:v>
      </x:c>
      <x:c r="AK318" s="31" t="b">
        <x:v>0</x:v>
      </x:c>
      <x:c r="AL318" s="30" t="str">
        <x:v>Verified — national register and exact BAG address</x:v>
      </x:c>
      <x:c r="AM318" s="30" t="str">
        <x:v>https://www.golf.nl/de-baan-op/banenzoeker/overzicht</x:v>
      </x:c>
      <x:c r="AN318" s="30" t="str">
        <x:v>2026-08-15</x:v>
      </x:c>
      <x:c r="AO318" s="30" t="str">
        <x:v>+31 53-4281363</x:v>
      </x:c>
      <x:c r="AP318" s="30" t="str">
        <x:v>Current NGF/GOLF.NL listing: 18 holes, par 54, 1019 metres. Combined from exact NGF-listed constituent nine-hole loops: 1ste negen (9 holes, par 27, 518 m); 2de negen (9 holes, par 27, 501 m) Listed as non-qualifying.</x:v>
      </x:c>
    </x:row>
    <x:row r="319">
      <x:c r="A319" s="30" t="str">
        <x:v>NL-C0205</x:v>
      </x:c>
      <x:c r="B319" s="30" t="str">
        <x:v>NL-0318</x:v>
      </x:c>
      <x:c r="C319" s="30" t="str">
        <x:v>Twentsche Golfclub — Main Course</x:v>
      </x:c>
      <x:c r="D319" s="30" t="str">
        <x:v>Twentsche Golfclub</x:v>
      </x:c>
      <x:c r="E319" s="30" t="str">
        <x:v>Main Course</x:v>
      </x:c>
      <x:c r="F319" s="30" t="str">
        <x:v>Netherlands</x:v>
      </x:c>
      <x:c r="G319" s="30" t="str">
        <x:v>Overijssel</x:v>
      </x:c>
      <x:c r="H319" s="30" t="str">
        <x:v>Hof van Twente</x:v>
      </x:c>
      <x:c r="I319" s="30" t="str">
        <x:v>Ambt Delden</x:v>
      </x:c>
      <x:c r="J319" s="30" t="str">
        <x:v>Almelosestraat 17</x:v>
      </x:c>
      <x:c r="K319" s="30" t="str">
        <x:v>7495 TG</x:v>
      </x:c>
      <x:c r="L319" s="32" t="n">
        <x:v>52.2898875</x:v>
      </x:c>
      <x:c r="M319" s="32" t="n">
        <x:v>6.67507535</x:v>
      </x:c>
      <x:c r="N319" s="30" t="str">
        <x:v>WGS84 / EPSG:4326</x:v>
      </x:c>
      <x:c r="O319" s="30" t="str">
        <x:v>Verified BAG address point via PDOK</x:v>
      </x:c>
      <x:c r="P319" s="30" t="str">
        <x:v>2026-08-15</x:v>
      </x:c>
      <x:c r="Q319" s="33" t="n">
        <x:f>IF(R319="","",ROUND(R319/0.9144,0))</x:f>
        <x:v>6867</x:v>
      </x:c>
      <x:c r="R319" s="33" t="n">
        <x:v>6279</x:v>
      </x:c>
      <x:c r="S319" s="33" t="n">
        <x:v>18</x:v>
      </x:c>
      <x:c r="T319" s="33" t="n">
        <x:v>72</x:v>
      </x:c>
      <x:c r="U319" s="30" t="str">
        <x:v>Full-length course</x:v>
      </x:c>
      <x:c r="V319" s="30"/>
      <x:c r="W319" s="30"/>
      <x:c r="X319" s="30"/>
      <x:c r="Y319" s="30" t="str">
        <x:v>https://twentschegolfclub.nl/</x:v>
      </x:c>
      <x:c r="Z319" s="30" t="b">
        <x:f>IF(AND(F319="Netherlands",ISNUMBER(L319),ISNUMBER(M319),L319&gt;=50.7,L319&lt;=53.7,M319&gt;=3.2,M319&lt;=7.3,AC319&lt;&gt;"Closed"),TRUE,FALSE)</x:f>
        <x:v>1</x:v>
      </x:c>
      <x:c r="AA319" s="30" t="b">
        <x:f>Z319</x:f>
        <x:v>1</x:v>
      </x:c>
      <x:c r="AB319" s="30" t="str">
        <x:f>IF(Z319,"verified_coordinate_and_open","not_map_ready")</x:f>
        <x:v>verified_coordinate_and_open</x:v>
      </x:c>
      <x:c r="AC319" s="30" t="str">
        <x:v>Open</x:v>
      </x:c>
      <x:c r="AD319" s="30" t="str">
        <x:v>Public — handicap 36 or lower</x:v>
      </x:c>
      <x:c r="AE319" s="31" t="b">
        <x:v>1</x:v>
      </x:c>
      <x:c r="AF319" s="31" t="b">
        <x:v>0</x:v>
      </x:c>
      <x:c r="AG319" s="30"/>
      <x:c r="AH319" s="30"/>
      <x:c r="AI319" s="30"/>
      <x:c r="AJ319" s="31" t="b">
        <x:v>0</x:v>
      </x:c>
      <x:c r="AK319" s="31" t="b">
        <x:v>0</x:v>
      </x:c>
      <x:c r="AL319" s="30" t="str">
        <x:v>Verified — national register and exact BAG address</x:v>
      </x:c>
      <x:c r="AM319" s="30" t="str">
        <x:v>https://www.golf.nl/de-baan-op/banenzoeker/overzicht</x:v>
      </x:c>
      <x:c r="AN319" s="30" t="str">
        <x:v>2026-08-15</x:v>
      </x:c>
      <x:c r="AO319" s="30" t="str">
        <x:v>+31 74-3841167</x:v>
      </x:c>
      <x:c r="AP319" s="30" t="str">
        <x:v>Current NGF/GOLF.NL listing: 18 holes, par 72, 6279 metres. Combined from exact NGF-listed constituent nine-hole loops: 1ste negen (9 holes, par 36, 3142 m); 2de negen (9 holes, par 36, 3137 m) Listed as qualifying.</x:v>
      </x:c>
    </x:row>
    <x:row r="320">
      <x:c r="A320" s="30" t="str">
        <x:v>NL-C0206</x:v>
      </x:c>
      <x:c r="B320" s="30" t="str">
        <x:v>NL-0319</x:v>
      </x:c>
      <x:c r="C320" s="30" t="str">
        <x:v>Twentse Golf Park</x:v>
      </x:c>
      <x:c r="D320" s="30" t="str">
        <x:v>Twentse Golf Park</x:v>
      </x:c>
      <x:c r="E320" s="30" t="str">
        <x:v>Course</x:v>
      </x:c>
      <x:c r="F320" s="30" t="str">
        <x:v>Netherlands</x:v>
      </x:c>
      <x:c r="G320" s="30" t="str">
        <x:v>Overijssel</x:v>
      </x:c>
      <x:c r="H320" s="30" t="str">
        <x:v>Haaksbergen</x:v>
      </x:c>
      <x:c r="I320" s="30" t="str">
        <x:v>Haaksbergen</x:v>
      </x:c>
      <x:c r="J320" s="30" t="str">
        <x:v>Watermolenweg 1</x:v>
      </x:c>
      <x:c r="K320" s="30" t="str">
        <x:v>7481 VL</x:v>
      </x:c>
      <x:c r="L320" s="32" t="n">
        <x:v>52.14041485</x:v>
      </x:c>
      <x:c r="M320" s="32" t="n">
        <x:v>6.72883265</x:v>
      </x:c>
      <x:c r="N320" s="30" t="str">
        <x:v>WGS84 / EPSG:4326</x:v>
      </x:c>
      <x:c r="O320" s="30" t="str">
        <x:v>Verified BAG address point via PDOK</x:v>
      </x:c>
      <x:c r="P320" s="30" t="str">
        <x:v>2026-08-15</x:v>
      </x:c>
      <x:c r="Q320" s="33" t="n">
        <x:f>IF(R320="","",ROUND(R320/0.9144,0))</x:f>
        <x:v>353</x:v>
      </x:c>
      <x:c r="R320" s="33" t="n">
        <x:v>323</x:v>
      </x:c>
      <x:c r="S320" s="33" t="n">
        <x:v>9</x:v>
      </x:c>
      <x:c r="T320" s="33" t="n">
        <x:v>27</x:v>
      </x:c>
      <x:c r="U320" s="30" t="str">
        <x:v>Par-3 course</x:v>
      </x:c>
      <x:c r="V320" s="30"/>
      <x:c r="W320" s="30"/>
      <x:c r="X320" s="30"/>
      <x:c r="Y320" s="30" t="str">
        <x:v>https://www.twentsegolfpark.nl/</x:v>
      </x:c>
      <x:c r="Z320" s="30" t="b">
        <x:f>IF(AND(F320="Netherlands",ISNUMBER(L320),ISNUMBER(M320),L320&gt;=50.7,L320&lt;=53.7,M320&gt;=3.2,M320&lt;=7.3,AC320&lt;&gt;"Closed"),TRUE,FALSE)</x:f>
        <x:v>1</x:v>
      </x:c>
      <x:c r="AA320" s="30" t="b">
        <x:f>Z320</x:f>
        <x:v>1</x:v>
      </x:c>
      <x:c r="AB320" s="30" t="str">
        <x:f>IF(Z320,"verified_coordinate_and_open","not_map_ready")</x:f>
        <x:v>verified_coordinate_and_open</x:v>
      </x:c>
      <x:c r="AC320" s="30" t="str">
        <x:v>Open</x:v>
      </x:c>
      <x:c r="AD320" s="30" t="str">
        <x:v>Public — handicap 54 or lower</x:v>
      </x:c>
      <x:c r="AE320" s="31" t="b">
        <x:v>1</x:v>
      </x:c>
      <x:c r="AF320" s="31" t="b">
        <x:v>0</x:v>
      </x:c>
      <x:c r="AG320" s="30"/>
      <x:c r="AH320" s="30"/>
      <x:c r="AI320" s="30"/>
      <x:c r="AJ320" s="31" t="b">
        <x:v>0</x:v>
      </x:c>
      <x:c r="AK320" s="31" t="b">
        <x:v>0</x:v>
      </x:c>
      <x:c r="AL320" s="30" t="str">
        <x:v>Verified — national register and exact BAG address</x:v>
      </x:c>
      <x:c r="AM320" s="30" t="str">
        <x:v>https://www.golf.nl/de-baan-op/banenzoeker/overzicht</x:v>
      </x:c>
      <x:c r="AN320" s="30" t="str">
        <x:v>2026-08-15</x:v>
      </x:c>
      <x:c r="AO320" s="30" t="str">
        <x:v>+31 53-7400142</x:v>
      </x:c>
      <x:c r="AP320" s="30" t="str">
        <x:v>Current NGF/GOLF.NL listing: 9 holes, par 27, 323 metres. Listed as qualifying.</x:v>
      </x:c>
    </x:row>
    <x:row r="321">
      <x:c r="A321" s="30" t="str">
        <x:v>NL-C0207</x:v>
      </x:c>
      <x:c r="B321" s="30" t="str">
        <x:v>NL-0320</x:v>
      </x:c>
      <x:c r="C321" s="30" t="str">
        <x:v>Weleveld Golf</x:v>
      </x:c>
      <x:c r="D321" s="30" t="str">
        <x:v>Weleveld Golf</x:v>
      </x:c>
      <x:c r="E321" s="30" t="str">
        <x:v>Course</x:v>
      </x:c>
      <x:c r="F321" s="30" t="str">
        <x:v>Netherlands</x:v>
      </x:c>
      <x:c r="G321" s="30" t="str">
        <x:v>Overijssel</x:v>
      </x:c>
      <x:c r="H321" s="30" t="str">
        <x:v>Borne</x:v>
      </x:c>
      <x:c r="I321" s="30" t="str">
        <x:v>Zenderen</x:v>
      </x:c>
      <x:c r="J321" s="30" t="str">
        <x:v>Bekkingvelderweg 8</x:v>
      </x:c>
      <x:c r="K321" s="30" t="str">
        <x:v>7625 RM</x:v>
      </x:c>
      <x:c r="L321" s="32" t="n">
        <x:v>52.33486992</x:v>
      </x:c>
      <x:c r="M321" s="32" t="n">
        <x:v>6.73197899</x:v>
      </x:c>
      <x:c r="N321" s="30" t="str">
        <x:v>WGS84 / EPSG:4326</x:v>
      </x:c>
      <x:c r="O321" s="30" t="str">
        <x:v>Verified BAG address point via PDOK</x:v>
      </x:c>
      <x:c r="P321" s="30" t="str">
        <x:v>2026-08-15</x:v>
      </x:c>
      <x:c r="Q321" s="33" t="n">
        <x:f>IF(R321="","",ROUND(R321/0.9144,0))</x:f>
        <x:v>2922</x:v>
      </x:c>
      <x:c r="R321" s="33" t="n">
        <x:v>2672</x:v>
      </x:c>
      <x:c r="S321" s="33" t="n">
        <x:v>9</x:v>
      </x:c>
      <x:c r="T321" s="33" t="n">
        <x:v>36</x:v>
      </x:c>
      <x:c r="U321" s="30" t="str">
        <x:v>Full-length course</x:v>
      </x:c>
      <x:c r="V321" s="30"/>
      <x:c r="W321" s="30"/>
      <x:c r="X321" s="30"/>
      <x:c r="Y321" s="30" t="str">
        <x:v>https://www.weleveldgolf.nl/</x:v>
      </x:c>
      <x:c r="Z321" s="30" t="b">
        <x:f>IF(AND(F321="Netherlands",ISNUMBER(L321),ISNUMBER(M321),L321&gt;=50.7,L321&lt;=53.7,M321&gt;=3.2,M321&lt;=7.3,AC321&lt;&gt;"Closed"),TRUE,FALSE)</x:f>
        <x:v>1</x:v>
      </x:c>
      <x:c r="AA321" s="30" t="b">
        <x:f>Z321</x:f>
        <x:v>1</x:v>
      </x:c>
      <x:c r="AB321" s="30" t="str">
        <x:f>IF(Z321,"verified_coordinate_and_open","not_map_ready")</x:f>
        <x:v>verified_coordinate_and_open</x:v>
      </x:c>
      <x:c r="AC321" s="30" t="str">
        <x:v>Open</x:v>
      </x:c>
      <x:c r="AD321" s="30" t="str">
        <x:v>Public — handicap 54 or lower</x:v>
      </x:c>
      <x:c r="AE321" s="31" t="b">
        <x:v>1</x:v>
      </x:c>
      <x:c r="AF321" s="31" t="b">
        <x:v>0</x:v>
      </x:c>
      <x:c r="AG321" s="30"/>
      <x:c r="AH321" s="30"/>
      <x:c r="AI321" s="30"/>
      <x:c r="AJ321" s="31" t="b">
        <x:v>0</x:v>
      </x:c>
      <x:c r="AK321" s="31" t="b">
        <x:v>0</x:v>
      </x:c>
      <x:c r="AL321" s="30" t="str">
        <x:v>Verified — national register and exact BAG address</x:v>
      </x:c>
      <x:c r="AM321" s="30" t="str">
        <x:v>https://www.golf.nl/de-baan-op/banenzoeker/overzicht</x:v>
      </x:c>
      <x:c r="AN321" s="30" t="str">
        <x:v>2026-08-15</x:v>
      </x:c>
      <x:c r="AO321" s="30" t="str">
        <x:v>+31 74-2661743</x:v>
      </x:c>
      <x:c r="AP321" s="30" t="str">
        <x:v>Current NGF/GOLF.NL listing: 9 holes, par 36, 2672 metres. Listed as qualifying.</x:v>
      </x:c>
    </x:row>
    <x:row r="322">
      <x:c r="A322" s="30" t="str">
        <x:v>NL-C0208</x:v>
      </x:c>
      <x:c r="B322" s="30" t="str">
        <x:v>NL-0321</x:v>
      </x:c>
      <x:c r="C322" s="30" t="str">
        <x:v>Chi Chi - The Golf Venue</x:v>
      </x:c>
      <x:c r="D322" s="30" t="str">
        <x:v>Chi Chi - The Golf Venue</x:v>
      </x:c>
      <x:c r="E322" s="30" t="str">
        <x:v>Course</x:v>
      </x:c>
      <x:c r="F322" s="30" t="str">
        <x:v>Netherlands</x:v>
      </x:c>
      <x:c r="G322" s="30" t="str">
        <x:v>Utrecht</x:v>
      </x:c>
      <x:c r="H322" s="30" t="str">
        <x:v>Utrecht</x:v>
      </x:c>
      <x:c r="I322" s="30" t="str">
        <x:v>Utrecht</x:v>
      </x:c>
      <x:c r="J322" s="30" t="str">
        <x:v>Gageldijk 1</x:v>
      </x:c>
      <x:c r="K322" s="30" t="str">
        <x:v>3566 ME</x:v>
      </x:c>
      <x:c r="L322" s="32" t="n">
        <x:v>52.12029866</x:v>
      </x:c>
      <x:c r="M322" s="32" t="n">
        <x:v>5.13472513</x:v>
      </x:c>
      <x:c r="N322" s="30" t="str">
        <x:v>WGS84 / EPSG:4326</x:v>
      </x:c>
      <x:c r="O322" s="30" t="str">
        <x:v>Verified BAG address point via PDOK</x:v>
      </x:c>
      <x:c r="P322" s="30" t="str">
        <x:v>2026-08-15</x:v>
      </x:c>
      <x:c r="Q322" s="33" t="n">
        <x:f>IF(R322="","",ROUND(R322/0.9144,0))</x:f>
        <x:v>784</x:v>
      </x:c>
      <x:c r="R322" s="33" t="n">
        <x:v>717</x:v>
      </x:c>
      <x:c r="S322" s="33" t="n">
        <x:v>9</x:v>
      </x:c>
      <x:c r="T322" s="33" t="n">
        <x:v>27</x:v>
      </x:c>
      <x:c r="U322" s="30" t="str">
        <x:v>Par-3 course</x:v>
      </x:c>
      <x:c r="V322" s="30"/>
      <x:c r="W322" s="30"/>
      <x:c r="X322" s="30"/>
      <x:c r="Y322" s="30" t="str">
        <x:v>https://www.chichiutrecht.nl/</x:v>
      </x:c>
      <x:c r="Z322" s="30" t="b">
        <x:f>IF(AND(F322="Netherlands",ISNUMBER(L322),ISNUMBER(M322),L322&gt;=50.7,L322&lt;=53.7,M322&gt;=3.2,M322&lt;=7.3,AC322&lt;&gt;"Closed"),TRUE,FALSE)</x:f>
        <x:v>1</x:v>
      </x:c>
      <x:c r="AA322" s="30" t="b">
        <x:f>Z322</x:f>
        <x:v>1</x:v>
      </x:c>
      <x:c r="AB322" s="30" t="str">
        <x:f>IF(Z322,"verified_coordinate_and_open","not_map_ready")</x:f>
        <x:v>verified_coordinate_and_open</x:v>
      </x:c>
      <x:c r="AC322" s="30" t="str">
        <x:v>Open</x:v>
      </x:c>
      <x:c r="AD322" s="30" t="str">
        <x:v>Public — no playing requirement</x:v>
      </x:c>
      <x:c r="AE322" s="31" t="b">
        <x:v>1</x:v>
      </x:c>
      <x:c r="AF322" s="31" t="b">
        <x:v>0</x:v>
      </x:c>
      <x:c r="AG322" s="30"/>
      <x:c r="AH322" s="30"/>
      <x:c r="AI322" s="30"/>
      <x:c r="AJ322" s="31" t="b">
        <x:v>0</x:v>
      </x:c>
      <x:c r="AK322" s="31" t="b">
        <x:v>0</x:v>
      </x:c>
      <x:c r="AL322" s="30" t="str">
        <x:v>Verified — national register and exact BAG address</x:v>
      </x:c>
      <x:c r="AM322" s="30" t="str">
        <x:v>https://www.chichiutrecht.nl/gvb-cursus</x:v>
      </x:c>
      <x:c r="AN322" s="30" t="str">
        <x:v>2026-08-15</x:v>
      </x:c>
      <x:c r="AO322" s="30" t="str">
        <x:v>+31 30-7400075</x:v>
      </x:c>
      <x:c r="AP322" s="30" t="str">
        <x:v>Current NGF/GOLF.NL listing: 9 holes, par 27, 717 metres. The official venue describes a nine-hole par-3 course; par 27 is the exact arithmetic total. The national overview's par-18 value was not retained. Listed as qualifying.</x:v>
      </x:c>
    </x:row>
    <x:row r="323">
      <x:c r="A323" s="30" t="str">
        <x:v>NL-C0209</x:v>
      </x:c>
      <x:c r="B323" s="30" t="str">
        <x:v>NL-0322</x:v>
      </x:c>
      <x:c r="C323" s="30" t="str">
        <x:v>De Utrechtse — Main Course</x:v>
      </x:c>
      <x:c r="D323" s="30" t="str">
        <x:v>De Utrechtse</x:v>
      </x:c>
      <x:c r="E323" s="30" t="str">
        <x:v>Main Course</x:v>
      </x:c>
      <x:c r="F323" s="30" t="str">
        <x:v>Netherlands</x:v>
      </x:c>
      <x:c r="G323" s="30" t="str">
        <x:v>Utrecht</x:v>
      </x:c>
      <x:c r="H323" s="30" t="str">
        <x:v>Houten</x:v>
      </x:c>
      <x:c r="I323" s="30" t="str">
        <x:v>Houten</x:v>
      </x:c>
      <x:c r="J323" s="30" t="str">
        <x:v>Heemsteedseweg 32a</x:v>
      </x:c>
      <x:c r="K323" s="30" t="str">
        <x:v>3992 LS</x:v>
      </x:c>
      <x:c r="L323" s="32" t="n">
        <x:v>52.0301077</x:v>
      </x:c>
      <x:c r="M323" s="32" t="n">
        <x:v>5.12542853</x:v>
      </x:c>
      <x:c r="N323" s="30" t="str">
        <x:v>WGS84 / EPSG:4326</x:v>
      </x:c>
      <x:c r="O323" s="30" t="str">
        <x:v>Verified BAG address point via PDOK</x:v>
      </x:c>
      <x:c r="P323" s="30" t="str">
        <x:v>2026-08-15</x:v>
      </x:c>
      <x:c r="Q323" s="33" t="n">
        <x:f>IF(R323="","",ROUND(R323/0.9144,0))</x:f>
        <x:v>3038</x:v>
      </x:c>
      <x:c r="R323" s="33" t="n">
        <x:v>2778</x:v>
      </x:c>
      <x:c r="S323" s="33" t="n">
        <x:v>9</x:v>
      </x:c>
      <x:c r="T323" s="33" t="n">
        <x:v>35</x:v>
      </x:c>
      <x:c r="U323" s="30" t="str">
        <x:v>Full-length course</x:v>
      </x:c>
      <x:c r="V323" s="30"/>
      <x:c r="W323" s="30"/>
      <x:c r="X323" s="30"/>
      <x:c r="Y323" s="30" t="str">
        <x:v>https://www.deutrechtse.nl/</x:v>
      </x:c>
      <x:c r="Z323" s="30" t="b">
        <x:f>IF(AND(F323="Netherlands",ISNUMBER(L323),ISNUMBER(M323),L323&gt;=50.7,L323&lt;=53.7,M323&gt;=3.2,M323&lt;=7.3,AC323&lt;&gt;"Closed"),TRUE,FALSE)</x:f>
        <x:v>1</x:v>
      </x:c>
      <x:c r="AA323" s="30" t="b">
        <x:f>Z323</x:f>
        <x:v>1</x:v>
      </x:c>
      <x:c r="AB323" s="30" t="str">
        <x:f>IF(Z323,"verified_coordinate_and_open","not_map_ready")</x:f>
        <x:v>verified_coordinate_and_open</x:v>
      </x:c>
      <x:c r="AC323" s="30" t="str">
        <x:v>Open</x:v>
      </x:c>
      <x:c r="AD323" s="30" t="str">
        <x:v>Public — handicap 54 or lower</x:v>
      </x:c>
      <x:c r="AE323" s="31" t="b">
        <x:v>1</x:v>
      </x:c>
      <x:c r="AF323" s="31" t="b">
        <x:v>0</x:v>
      </x:c>
      <x:c r="AG323" s="30"/>
      <x:c r="AH323" s="30"/>
      <x:c r="AI323" s="30"/>
      <x:c r="AJ323" s="31" t="b">
        <x:v>0</x:v>
      </x:c>
      <x:c r="AK323" s="31" t="b">
        <x:v>0</x:v>
      </x:c>
      <x:c r="AL323" s="30" t="str">
        <x:v>Verified — national register and exact BAG address</x:v>
      </x:c>
      <x:c r="AM323" s="30" t="str">
        <x:v>https://www.golf.nl/de-baan-op/banenzoeker/overzicht</x:v>
      </x:c>
      <x:c r="AN323" s="30" t="str">
        <x:v>2026-08-15</x:v>
      </x:c>
      <x:c r="AO323" s="30" t="str">
        <x:v>+31 30-6042192</x:v>
      </x:c>
      <x:c r="AP323" s="30" t="str">
        <x:v>Current NGF/GOLF.NL listing: 9 holes, par 35, 2778 metres. Listed as qualifying.</x:v>
      </x:c>
    </x:row>
    <x:row r="324">
      <x:c r="A324" s="30" t="str">
        <x:v>NL-C0209</x:v>
      </x:c>
      <x:c r="B324" s="30" t="str">
        <x:v>NL-0323</x:v>
      </x:c>
      <x:c r="C324" s="30" t="str">
        <x:v>De Utrechtse — Par-3 Course</x:v>
      </x:c>
      <x:c r="D324" s="30" t="str">
        <x:v>De Utrechtse</x:v>
      </x:c>
      <x:c r="E324" s="30" t="str">
        <x:v>Par-3 Course</x:v>
      </x:c>
      <x:c r="F324" s="30" t="str">
        <x:v>Netherlands</x:v>
      </x:c>
      <x:c r="G324" s="30" t="str">
        <x:v>Utrecht</x:v>
      </x:c>
      <x:c r="H324" s="30" t="str">
        <x:v>Houten</x:v>
      </x:c>
      <x:c r="I324" s="30" t="str">
        <x:v>Houten</x:v>
      </x:c>
      <x:c r="J324" s="30" t="str">
        <x:v>Heemsteedseweg 32a</x:v>
      </x:c>
      <x:c r="K324" s="30" t="str">
        <x:v>3992 LS</x:v>
      </x:c>
      <x:c r="L324" s="32" t="n">
        <x:v>52.0301077</x:v>
      </x:c>
      <x:c r="M324" s="32" t="n">
        <x:v>5.12542853</x:v>
      </x:c>
      <x:c r="N324" s="30" t="str">
        <x:v>WGS84 / EPSG:4326</x:v>
      </x:c>
      <x:c r="O324" s="30" t="str">
        <x:v>Verified BAG address point via PDOK</x:v>
      </x:c>
      <x:c r="P324" s="30" t="str">
        <x:v>2026-08-15</x:v>
      </x:c>
      <x:c r="Q324" s="33" t="n">
        <x:f>IF(R324="","",ROUND(R324/0.9144,0))</x:f>
        <x:v>791</x:v>
      </x:c>
      <x:c r="R324" s="33" t="n">
        <x:v>723</x:v>
      </x:c>
      <x:c r="S324" s="33" t="n">
        <x:v>9</x:v>
      </x:c>
      <x:c r="T324" s="33" t="n">
        <x:v>27</x:v>
      </x:c>
      <x:c r="U324" s="30" t="str">
        <x:v>Par-3 course</x:v>
      </x:c>
      <x:c r="V324" s="30"/>
      <x:c r="W324" s="30"/>
      <x:c r="X324" s="30"/>
      <x:c r="Y324" s="30" t="str">
        <x:v>https://www.deutrechtse.nl/</x:v>
      </x:c>
      <x:c r="Z324" s="30" t="b">
        <x:f>IF(AND(F324="Netherlands",ISNUMBER(L324),ISNUMBER(M324),L324&gt;=50.7,L324&lt;=53.7,M324&gt;=3.2,M324&lt;=7.3,AC324&lt;&gt;"Closed"),TRUE,FALSE)</x:f>
        <x:v>1</x:v>
      </x:c>
      <x:c r="AA324" s="30" t="b">
        <x:f>Z324</x:f>
        <x:v>1</x:v>
      </x:c>
      <x:c r="AB324" s="30" t="str">
        <x:f>IF(Z324,"verified_coordinate_and_open","not_map_ready")</x:f>
        <x:v>verified_coordinate_and_open</x:v>
      </x:c>
      <x:c r="AC324" s="30" t="str">
        <x:v>Open</x:v>
      </x:c>
      <x:c r="AD324" s="30" t="str">
        <x:v>Public — no playing requirement</x:v>
      </x:c>
      <x:c r="AE324" s="31" t="b">
        <x:v>1</x:v>
      </x:c>
      <x:c r="AF324" s="31" t="b">
        <x:v>0</x:v>
      </x:c>
      <x:c r="AG324" s="30"/>
      <x:c r="AH324" s="30"/>
      <x:c r="AI324" s="30"/>
      <x:c r="AJ324" s="31" t="b">
        <x:v>0</x:v>
      </x:c>
      <x:c r="AK324" s="31" t="b">
        <x:v>0</x:v>
      </x:c>
      <x:c r="AL324" s="30" t="str">
        <x:v>Verified — national register and exact BAG address</x:v>
      </x:c>
      <x:c r="AM324" s="30" t="str">
        <x:v>https://www.golf.nl/de-baan-op/banenzoeker/overzicht</x:v>
      </x:c>
      <x:c r="AN324" s="30" t="str">
        <x:v>2026-08-15</x:v>
      </x:c>
      <x:c r="AO324" s="30" t="str">
        <x:v>+31 30-6042192</x:v>
      </x:c>
      <x:c r="AP324" s="30" t="str">
        <x:v>Current NGF/GOLF.NL listing: 9 holes, par 27, 723 metres. Listed as qualifying.</x:v>
      </x:c>
    </x:row>
    <x:row r="325">
      <x:c r="A325" s="30" t="str">
        <x:v>NL-C0210</x:v>
      </x:c>
      <x:c r="B325" s="30" t="str">
        <x:v>NL-0324</x:v>
      </x:c>
      <x:c r="C325" s="30" t="str">
        <x:v>Doornse Golf Club</x:v>
      </x:c>
      <x:c r="D325" s="30" t="str">
        <x:v>Doornse Golf Club</x:v>
      </x:c>
      <x:c r="E325" s="30" t="str">
        <x:v>Course</x:v>
      </x:c>
      <x:c r="F325" s="30" t="str">
        <x:v>Netherlands</x:v>
      </x:c>
      <x:c r="G325" s="30" t="str">
        <x:v>Utrecht</x:v>
      </x:c>
      <x:c r="H325" s="30" t="str">
        <x:v>Utrechtse Heuvelrug</x:v>
      </x:c>
      <x:c r="I325" s="30" t="str">
        <x:v>Doorn</x:v>
      </x:c>
      <x:c r="J325" s="30" t="str">
        <x:v>Mariniersweg 3</x:v>
      </x:c>
      <x:c r="K325" s="30" t="str">
        <x:v>3941 XK</x:v>
      </x:c>
      <x:c r="L325" s="32" t="n">
        <x:v>52.04296957</x:v>
      </x:c>
      <x:c r="M325" s="32" t="n">
        <x:v>5.328841</x:v>
      </x:c>
      <x:c r="N325" s="30" t="str">
        <x:v>WGS84 / EPSG:4326</x:v>
      </x:c>
      <x:c r="O325" s="30" t="str">
        <x:v>Verified BAG address point via PDOK</x:v>
      </x:c>
      <x:c r="P325" s="30" t="str">
        <x:v>2026-08-15</x:v>
      </x:c>
      <x:c r="Q325" s="33" t="n">
        <x:f>IF(R325="","",ROUND(R325/0.9144,0))</x:f>
        <x:v>868</x:v>
      </x:c>
      <x:c r="R325" s="33" t="n">
        <x:v>794</x:v>
      </x:c>
      <x:c r="S325" s="33" t="n">
        <x:v>9</x:v>
      </x:c>
      <x:c r="T325" s="33" t="n">
        <x:v>27</x:v>
      </x:c>
      <x:c r="U325" s="30" t="str">
        <x:v>Par-3 course</x:v>
      </x:c>
      <x:c r="V325" s="30"/>
      <x:c r="W325" s="30"/>
      <x:c r="X325" s="30"/>
      <x:c r="Y325" s="30" t="str">
        <x:v>https://www.doornsegolfclub.nl/</x:v>
      </x:c>
      <x:c r="Z325" s="30" t="b">
        <x:f>IF(AND(F325="Netherlands",ISNUMBER(L325),ISNUMBER(M325),L325&gt;=50.7,L325&lt;=53.7,M325&gt;=3.2,M325&lt;=7.3,AC325&lt;&gt;"Closed"),TRUE,FALSE)</x:f>
        <x:v>1</x:v>
      </x:c>
      <x:c r="AA325" s="30" t="b">
        <x:f>Z325</x:f>
        <x:v>1</x:v>
      </x:c>
      <x:c r="AB325" s="30" t="str">
        <x:f>IF(Z325,"verified_coordinate_and_open","not_map_ready")</x:f>
        <x:v>verified_coordinate_and_open</x:v>
      </x:c>
      <x:c r="AC325" s="30" t="str">
        <x:v>Open</x:v>
      </x:c>
      <x:c r="AD325" s="30" t="str">
        <x:v>Public — handicap 54 or lower</x:v>
      </x:c>
      <x:c r="AE325" s="31" t="b">
        <x:v>1</x:v>
      </x:c>
      <x:c r="AF325" s="31" t="b">
        <x:v>0</x:v>
      </x:c>
      <x:c r="AG325" s="30"/>
      <x:c r="AH325" s="30"/>
      <x:c r="AI325" s="30"/>
      <x:c r="AJ325" s="31" t="b">
        <x:v>0</x:v>
      </x:c>
      <x:c r="AK325" s="31" t="b">
        <x:v>0</x:v>
      </x:c>
      <x:c r="AL325" s="30" t="str">
        <x:v>Verified — national register and exact BAG address</x:v>
      </x:c>
      <x:c r="AM325" s="30" t="str">
        <x:v>https://www.golf.nl/de-baan-op/banenzoeker/overzicht</x:v>
      </x:c>
      <x:c r="AN325" s="30" t="str">
        <x:v>2026-08-15</x:v>
      </x:c>
      <x:c r="AO325" s="30" t="str">
        <x:v>+31 343-565827</x:v>
      </x:c>
      <x:c r="AP325" s="30" t="str">
        <x:v>Current NGF/GOLF.NL listing: 9 holes, par 27, 794 metres. Listed as qualifying.</x:v>
      </x:c>
    </x:row>
    <x:row r="326">
      <x:c r="A326" s="30" t="str">
        <x:v>NL-C0211</x:v>
      </x:c>
      <x:c r="B326" s="30" t="str">
        <x:v>NL-0325</x:v>
      </x:c>
      <x:c r="C326" s="30" t="str">
        <x:v>Golfbaan De Kroonprins Vianen — Main Course</x:v>
      </x:c>
      <x:c r="D326" s="30" t="str">
        <x:v>Golfbaan De Kroonprins Vianen</x:v>
      </x:c>
      <x:c r="E326" s="30" t="str">
        <x:v>Main Course</x:v>
      </x:c>
      <x:c r="F326" s="30" t="str">
        <x:v>Netherlands</x:v>
      </x:c>
      <x:c r="G326" s="30" t="str">
        <x:v>Utrecht</x:v>
      </x:c>
      <x:c r="H326" s="30" t="str">
        <x:v>Vijfheerenlanden</x:v>
      </x:c>
      <x:c r="I326" s="30" t="str">
        <x:v>Vianen</x:v>
      </x:c>
      <x:c r="J326" s="30" t="str">
        <x:v>Merwedekade 8</x:v>
      </x:c>
      <x:c r="K326" s="30" t="str">
        <x:v>4131 NZ</x:v>
      </x:c>
      <x:c r="L326" s="32" t="n">
        <x:v>51.97171841</x:v>
      </x:c>
      <x:c r="M326" s="32" t="n">
        <x:v>5.08137064</x:v>
      </x:c>
      <x:c r="N326" s="30" t="str">
        <x:v>WGS84 / EPSG:4326</x:v>
      </x:c>
      <x:c r="O326" s="30" t="str">
        <x:v>Verified BAG address point via PDOK</x:v>
      </x:c>
      <x:c r="P326" s="30" t="str">
        <x:v>2026-08-15</x:v>
      </x:c>
      <x:c r="Q326" s="33" t="n">
        <x:f>IF(R326="","",ROUND(R326/0.9144,0))</x:f>
        <x:v>6263</x:v>
      </x:c>
      <x:c r="R326" s="33" t="n">
        <x:v>5727</x:v>
      </x:c>
      <x:c r="S326" s="33" t="n">
        <x:v>18</x:v>
      </x:c>
      <x:c r="T326" s="33" t="n">
        <x:v>71</x:v>
      </x:c>
      <x:c r="U326" s="30" t="str">
        <x:v>Full-length course</x:v>
      </x:c>
      <x:c r="V326" s="30"/>
      <x:c r="W326" s="30"/>
      <x:c r="X326" s="30"/>
      <x:c r="Y326" s="30" t="str">
        <x:v>https://golfbaandekroonprins.nl/</x:v>
      </x:c>
      <x:c r="Z326" s="30" t="b">
        <x:f>IF(AND(F326="Netherlands",ISNUMBER(L326),ISNUMBER(M326),L326&gt;=50.7,L326&lt;=53.7,M326&gt;=3.2,M326&lt;=7.3,AC326&lt;&gt;"Closed"),TRUE,FALSE)</x:f>
        <x:v>1</x:v>
      </x:c>
      <x:c r="AA326" s="30" t="b">
        <x:f>Z326</x:f>
        <x:v>1</x:v>
      </x:c>
      <x:c r="AB326" s="30" t="str">
        <x:f>IF(Z326,"verified_coordinate_and_open","not_map_ready")</x:f>
        <x:v>verified_coordinate_and_open</x:v>
      </x:c>
      <x:c r="AC326" s="30" t="str">
        <x:v>Open</x:v>
      </x:c>
      <x:c r="AD326" s="30" t="str">
        <x:v>Public — handicap 54 or lower</x:v>
      </x:c>
      <x:c r="AE326" s="31" t="b">
        <x:v>1</x:v>
      </x:c>
      <x:c r="AF326" s="31" t="b">
        <x:v>0</x:v>
      </x:c>
      <x:c r="AG326" s="30"/>
      <x:c r="AH326" s="30"/>
      <x:c r="AI326" s="30"/>
      <x:c r="AJ326" s="31" t="b">
        <x:v>0</x:v>
      </x:c>
      <x:c r="AK326" s="31" t="b">
        <x:v>0</x:v>
      </x:c>
      <x:c r="AL326" s="30" t="str">
        <x:v>Verified — national register and exact BAG address</x:v>
      </x:c>
      <x:c r="AM326" s="30" t="str">
        <x:v>https://www.golf.nl/de-baan-op/banenzoeker/overzicht</x:v>
      </x:c>
      <x:c r="AN326" s="30" t="str">
        <x:v>2026-08-15</x:v>
      </x:c>
      <x:c r="AO326" s="30" t="str">
        <x:v>+31 347-345160</x:v>
      </x:c>
      <x:c r="AP326" s="30" t="str">
        <x:v>Current NGF/GOLF.NL listing: 18 holes, par 71, 5727 metres. Combined from exact NGF-listed constituent nine-hole loops: 1ste negen (9 holes, par 35, 2812 m); 2de negen (9 holes, par 36, 2915 m) Listed as qualifying.</x:v>
      </x:c>
    </x:row>
    <x:row r="327">
      <x:c r="A327" s="30" t="str">
        <x:v>NL-C0211</x:v>
      </x:c>
      <x:c r="B327" s="30" t="str">
        <x:v>NL-0326</x:v>
      </x:c>
      <x:c r="C327" s="30" t="str">
        <x:v>Golfbaan De Kroonprins Vianen — Par-3 Course</x:v>
      </x:c>
      <x:c r="D327" s="30" t="str">
        <x:v>Golfbaan De Kroonprins Vianen</x:v>
      </x:c>
      <x:c r="E327" s="30" t="str">
        <x:v>Par-3 Course</x:v>
      </x:c>
      <x:c r="F327" s="30" t="str">
        <x:v>Netherlands</x:v>
      </x:c>
      <x:c r="G327" s="30" t="str">
        <x:v>Utrecht</x:v>
      </x:c>
      <x:c r="H327" s="30" t="str">
        <x:v>Vijfheerenlanden</x:v>
      </x:c>
      <x:c r="I327" s="30" t="str">
        <x:v>Vianen</x:v>
      </x:c>
      <x:c r="J327" s="30" t="str">
        <x:v>Merwedekade 8</x:v>
      </x:c>
      <x:c r="K327" s="30" t="str">
        <x:v>4131 NZ</x:v>
      </x:c>
      <x:c r="L327" s="32" t="n">
        <x:v>51.97171841</x:v>
      </x:c>
      <x:c r="M327" s="32" t="n">
        <x:v>5.08137064</x:v>
      </x:c>
      <x:c r="N327" s="30" t="str">
        <x:v>WGS84 / EPSG:4326</x:v>
      </x:c>
      <x:c r="O327" s="30" t="str">
        <x:v>Verified BAG address point via PDOK</x:v>
      </x:c>
      <x:c r="P327" s="30" t="str">
        <x:v>2026-08-15</x:v>
      </x:c>
      <x:c r="Q327" s="33" t="n">
        <x:f>IF(R327="","",ROUND(R327/0.9144,0))</x:f>
        <x:v>992</x:v>
      </x:c>
      <x:c r="R327" s="33" t="n">
        <x:v>907</x:v>
      </x:c>
      <x:c r="S327" s="33" t="n">
        <x:v>9</x:v>
      </x:c>
      <x:c r="T327" s="33" t="n">
        <x:v>27</x:v>
      </x:c>
      <x:c r="U327" s="30" t="str">
        <x:v>Par-3 course</x:v>
      </x:c>
      <x:c r="V327" s="30"/>
      <x:c r="W327" s="30"/>
      <x:c r="X327" s="30"/>
      <x:c r="Y327" s="30" t="str">
        <x:v>https://golfbaandekroonprins.nl/</x:v>
      </x:c>
      <x:c r="Z327" s="30" t="b">
        <x:f>IF(AND(F327="Netherlands",ISNUMBER(L327),ISNUMBER(M327),L327&gt;=50.7,L327&lt;=53.7,M327&gt;=3.2,M327&lt;=7.3,AC327&lt;&gt;"Closed"),TRUE,FALSE)</x:f>
        <x:v>1</x:v>
      </x:c>
      <x:c r="AA327" s="30" t="b">
        <x:f>Z327</x:f>
        <x:v>1</x:v>
      </x:c>
      <x:c r="AB327" s="30" t="str">
        <x:f>IF(Z327,"verified_coordinate_and_open","not_map_ready")</x:f>
        <x:v>verified_coordinate_and_open</x:v>
      </x:c>
      <x:c r="AC327" s="30" t="str">
        <x:v>Open</x:v>
      </x:c>
      <x:c r="AD327" s="30" t="str">
        <x:v>Public — NGF course permission</x:v>
      </x:c>
      <x:c r="AE327" s="31" t="b">
        <x:v>1</x:v>
      </x:c>
      <x:c r="AF327" s="31" t="b">
        <x:v>0</x:v>
      </x:c>
      <x:c r="AG327" s="30"/>
      <x:c r="AH327" s="30"/>
      <x:c r="AI327" s="30"/>
      <x:c r="AJ327" s="31" t="b">
        <x:v>0</x:v>
      </x:c>
      <x:c r="AK327" s="31" t="b">
        <x:v>0</x:v>
      </x:c>
      <x:c r="AL327" s="30" t="str">
        <x:v>Verified — national register and exact BAG address</x:v>
      </x:c>
      <x:c r="AM327" s="30" t="str">
        <x:v>https://www.golf.nl/de-baan-op/banenzoeker/overzicht</x:v>
      </x:c>
      <x:c r="AN327" s="30" t="str">
        <x:v>2026-08-15</x:v>
      </x:c>
      <x:c r="AO327" s="30" t="str">
        <x:v>+31 347-345160</x:v>
      </x:c>
      <x:c r="AP327" s="30" t="str">
        <x:v>Current NGF/GOLF.NL listing: 9 holes, par 27, 907 metres. Listed as qualifying.</x:v>
      </x:c>
    </x:row>
    <x:row r="328">
      <x:c r="A328" s="30" t="str">
        <x:v>NL-C0212</x:v>
      </x:c>
      <x:c r="B328" s="30" t="str">
        <x:v>NL-0327</x:v>
      </x:c>
      <x:c r="C328" s="30" t="str">
        <x:v>Golfclub Anderstein — Heide</x:v>
      </x:c>
      <x:c r="D328" s="30" t="str">
        <x:v>Golfclub Anderstein</x:v>
      </x:c>
      <x:c r="E328" s="30" t="str">
        <x:v>Heide</x:v>
      </x:c>
      <x:c r="F328" s="30" t="str">
        <x:v>Netherlands</x:v>
      </x:c>
      <x:c r="G328" s="30" t="str">
        <x:v>Utrecht</x:v>
      </x:c>
      <x:c r="H328" s="30" t="str">
        <x:v>Utrechtse Heuvelrug</x:v>
      </x:c>
      <x:c r="I328" s="30" t="str">
        <x:v>Maarsbergen</x:v>
      </x:c>
      <x:c r="J328" s="30" t="str">
        <x:v>Woudenbergseweg 13a</x:v>
      </x:c>
      <x:c r="K328" s="30" t="str">
        <x:v>3953 ME</x:v>
      </x:c>
      <x:c r="L328" s="32" t="n">
        <x:v>52.06114767</x:v>
      </x:c>
      <x:c r="M328" s="32" t="n">
        <x:v>5.40375358</x:v>
      </x:c>
      <x:c r="N328" s="30" t="str">
        <x:v>WGS84 / EPSG:4326</x:v>
      </x:c>
      <x:c r="O328" s="30" t="str">
        <x:v>Verified BAG address point via PDOK</x:v>
      </x:c>
      <x:c r="P328" s="30" t="str">
        <x:v>2026-08-15</x:v>
      </x:c>
      <x:c r="Q328" s="33" t="n">
        <x:f>IF(R328="","",ROUND(R328/0.9144,0))</x:f>
        <x:v>3459</x:v>
      </x:c>
      <x:c r="R328" s="33" t="n">
        <x:v>3163</x:v>
      </x:c>
      <x:c r="S328" s="33" t="n">
        <x:v>9</x:v>
      </x:c>
      <x:c r="T328" s="33" t="n">
        <x:v>36</x:v>
      </x:c>
      <x:c r="U328" s="30" t="str">
        <x:v>Full-length course</x:v>
      </x:c>
      <x:c r="V328" s="30"/>
      <x:c r="W328" s="30"/>
      <x:c r="X328" s="30"/>
      <x:c r="Y328" s="30" t="str">
        <x:v>https://www.golfclubanderstein.nl/</x:v>
      </x:c>
      <x:c r="Z328" s="30" t="b">
        <x:f>IF(AND(F328="Netherlands",ISNUMBER(L328),ISNUMBER(M328),L328&gt;=50.7,L328&lt;=53.7,M328&gt;=3.2,M328&lt;=7.3,AC328&lt;&gt;"Closed"),TRUE,FALSE)</x:f>
        <x:v>1</x:v>
      </x:c>
      <x:c r="AA328" s="30" t="b">
        <x:f>Z328</x:f>
        <x:v>1</x:v>
      </x:c>
      <x:c r="AB328" s="30" t="str">
        <x:f>IF(Z328,"verified_coordinate_and_open","not_map_ready")</x:f>
        <x:v>verified_coordinate_and_open</x:v>
      </x:c>
      <x:c r="AC328" s="30" t="str">
        <x:v>Open</x:v>
      </x:c>
      <x:c r="AD328" s="30" t="str">
        <x:v>Public — handicap 36 or lower</x:v>
      </x:c>
      <x:c r="AE328" s="31" t="b">
        <x:v>1</x:v>
      </x:c>
      <x:c r="AF328" s="31" t="b">
        <x:v>0</x:v>
      </x:c>
      <x:c r="AG328" s="30"/>
      <x:c r="AH328" s="30"/>
      <x:c r="AI328" s="30"/>
      <x:c r="AJ328" s="31" t="b">
        <x:v>0</x:v>
      </x:c>
      <x:c r="AK328" s="31" t="b">
        <x:v>0</x:v>
      </x:c>
      <x:c r="AL328" s="30" t="str">
        <x:v>Verified — national register and exact BAG address</x:v>
      </x:c>
      <x:c r="AM328" s="30" t="str">
        <x:v>https://www.golf.nl/de-baan-op/banenzoeker/overzicht</x:v>
      </x:c>
      <x:c r="AN328" s="30" t="str">
        <x:v>2026-08-15</x:v>
      </x:c>
      <x:c r="AO328" s="30" t="str">
        <x:v>+31 343-431911</x:v>
      </x:c>
      <x:c r="AP328" s="30" t="str">
        <x:v>Current NGF/GOLF.NL listing: 9 holes, par 36, 3163 metres. The current official facility contact page and BAG address replace the postcode typo in the NGF overview (Woudenbergseweg 13a, 3957 ME Maarsbergen). Listed as qualifying.</x:v>
      </x:c>
    </x:row>
    <x:row r="329">
      <x:c r="A329" s="30" t="str">
        <x:v>NL-C0212</x:v>
      </x:c>
      <x:c r="B329" s="30" t="str">
        <x:v>NL-0328</x:v>
      </x:c>
      <x:c r="C329" s="30" t="str">
        <x:v>Golfclub Anderstein — Heuvelrug</x:v>
      </x:c>
      <x:c r="D329" s="30" t="str">
        <x:v>Golfclub Anderstein</x:v>
      </x:c>
      <x:c r="E329" s="30" t="str">
        <x:v>Heuvelrug</x:v>
      </x:c>
      <x:c r="F329" s="30" t="str">
        <x:v>Netherlands</x:v>
      </x:c>
      <x:c r="G329" s="30" t="str">
        <x:v>Utrecht</x:v>
      </x:c>
      <x:c r="H329" s="30" t="str">
        <x:v>Utrechtse Heuvelrug</x:v>
      </x:c>
      <x:c r="I329" s="30" t="str">
        <x:v>Maarsbergen</x:v>
      </x:c>
      <x:c r="J329" s="30" t="str">
        <x:v>Woudenbergseweg 13a</x:v>
      </x:c>
      <x:c r="K329" s="30" t="str">
        <x:v>3953 ME</x:v>
      </x:c>
      <x:c r="L329" s="32" t="n">
        <x:v>52.06114767</x:v>
      </x:c>
      <x:c r="M329" s="32" t="n">
        <x:v>5.40375358</x:v>
      </x:c>
      <x:c r="N329" s="30" t="str">
        <x:v>WGS84 / EPSG:4326</x:v>
      </x:c>
      <x:c r="O329" s="30" t="str">
        <x:v>Verified BAG address point via PDOK</x:v>
      </x:c>
      <x:c r="P329" s="30" t="str">
        <x:v>2026-08-15</x:v>
      </x:c>
      <x:c r="Q329" s="33" t="n">
        <x:f>IF(R329="","",ROUND(R329/0.9144,0))</x:f>
        <x:v>3541</x:v>
      </x:c>
      <x:c r="R329" s="33" t="n">
        <x:v>3238</x:v>
      </x:c>
      <x:c r="S329" s="33" t="n">
        <x:v>9</x:v>
      </x:c>
      <x:c r="T329" s="33" t="n">
        <x:v>37</x:v>
      </x:c>
      <x:c r="U329" s="30" t="str">
        <x:v>Full-length course</x:v>
      </x:c>
      <x:c r="V329" s="30"/>
      <x:c r="W329" s="30"/>
      <x:c r="X329" s="30"/>
      <x:c r="Y329" s="30" t="str">
        <x:v>https://www.golfclubanderstein.nl/</x:v>
      </x:c>
      <x:c r="Z329" s="30" t="b">
        <x:f>IF(AND(F329="Netherlands",ISNUMBER(L329),ISNUMBER(M329),L329&gt;=50.7,L329&lt;=53.7,M329&gt;=3.2,M329&lt;=7.3,AC329&lt;&gt;"Closed"),TRUE,FALSE)</x:f>
        <x:v>1</x:v>
      </x:c>
      <x:c r="AA329" s="30" t="b">
        <x:f>Z329</x:f>
        <x:v>1</x:v>
      </x:c>
      <x:c r="AB329" s="30" t="str">
        <x:f>IF(Z329,"verified_coordinate_and_open","not_map_ready")</x:f>
        <x:v>verified_coordinate_and_open</x:v>
      </x:c>
      <x:c r="AC329" s="30" t="str">
        <x:v>Open</x:v>
      </x:c>
      <x:c r="AD329" s="30" t="str">
        <x:v>Public — handicap 36 or lower</x:v>
      </x:c>
      <x:c r="AE329" s="31" t="b">
        <x:v>1</x:v>
      </x:c>
      <x:c r="AF329" s="31" t="b">
        <x:v>0</x:v>
      </x:c>
      <x:c r="AG329" s="30"/>
      <x:c r="AH329" s="30"/>
      <x:c r="AI329" s="30"/>
      <x:c r="AJ329" s="31" t="b">
        <x:v>0</x:v>
      </x:c>
      <x:c r="AK329" s="31" t="b">
        <x:v>0</x:v>
      </x:c>
      <x:c r="AL329" s="30" t="str">
        <x:v>Verified — national register and exact BAG address</x:v>
      </x:c>
      <x:c r="AM329" s="30" t="str">
        <x:v>https://www.golf.nl/de-baan-op/banenzoeker/overzicht</x:v>
      </x:c>
      <x:c r="AN329" s="30" t="str">
        <x:v>2026-08-15</x:v>
      </x:c>
      <x:c r="AO329" s="30" t="str">
        <x:v>+31 343-431911</x:v>
      </x:c>
      <x:c r="AP329" s="30" t="str">
        <x:v>Current NGF/GOLF.NL listing: 9 holes, par 37, 3238 metres. The current official facility contact page and BAG address replace the postcode typo in the NGF overview (Woudenbergseweg 13a, 3957 ME Maarsbergen). Listed as qualifying.</x:v>
      </x:c>
    </x:row>
    <x:row r="330">
      <x:c r="A330" s="30" t="str">
        <x:v>NL-C0212</x:v>
      </x:c>
      <x:c r="B330" s="30" t="str">
        <x:v>NL-0329</x:v>
      </x:c>
      <x:c r="C330" s="30" t="str">
        <x:v>Golfclub Anderstein — Vallei</x:v>
      </x:c>
      <x:c r="D330" s="30" t="str">
        <x:v>Golfclub Anderstein</x:v>
      </x:c>
      <x:c r="E330" s="30" t="str">
        <x:v>Vallei</x:v>
      </x:c>
      <x:c r="F330" s="30" t="str">
        <x:v>Netherlands</x:v>
      </x:c>
      <x:c r="G330" s="30" t="str">
        <x:v>Utrecht</x:v>
      </x:c>
      <x:c r="H330" s="30" t="str">
        <x:v>Utrechtse Heuvelrug</x:v>
      </x:c>
      <x:c r="I330" s="30" t="str">
        <x:v>Maarsbergen</x:v>
      </x:c>
      <x:c r="J330" s="30" t="str">
        <x:v>Woudenbergseweg 13a</x:v>
      </x:c>
      <x:c r="K330" s="30" t="str">
        <x:v>3953 ME</x:v>
      </x:c>
      <x:c r="L330" s="32" t="n">
        <x:v>52.06114767</x:v>
      </x:c>
      <x:c r="M330" s="32" t="n">
        <x:v>5.40375358</x:v>
      </x:c>
      <x:c r="N330" s="30" t="str">
        <x:v>WGS84 / EPSG:4326</x:v>
      </x:c>
      <x:c r="O330" s="30" t="str">
        <x:v>Verified BAG address point via PDOK</x:v>
      </x:c>
      <x:c r="P330" s="30" t="str">
        <x:v>2026-08-15</x:v>
      </x:c>
      <x:c r="Q330" s="33" t="n">
        <x:f>IF(R330="","",ROUND(R330/0.9144,0))</x:f>
        <x:v>3244</x:v>
      </x:c>
      <x:c r="R330" s="33" t="n">
        <x:v>2966</x:v>
      </x:c>
      <x:c r="S330" s="33" t="n">
        <x:v>9</x:v>
      </x:c>
      <x:c r="T330" s="33" t="n">
        <x:v>36</x:v>
      </x:c>
      <x:c r="U330" s="30" t="str">
        <x:v>Full-length course</x:v>
      </x:c>
      <x:c r="V330" s="30"/>
      <x:c r="W330" s="30"/>
      <x:c r="X330" s="30"/>
      <x:c r="Y330" s="30" t="str">
        <x:v>https://www.golfclubanderstein.nl/</x:v>
      </x:c>
      <x:c r="Z330" s="30" t="b">
        <x:f>IF(AND(F330="Netherlands",ISNUMBER(L330),ISNUMBER(M330),L330&gt;=50.7,L330&lt;=53.7,M330&gt;=3.2,M330&lt;=7.3,AC330&lt;&gt;"Closed"),TRUE,FALSE)</x:f>
        <x:v>1</x:v>
      </x:c>
      <x:c r="AA330" s="30" t="b">
        <x:f>Z330</x:f>
        <x:v>1</x:v>
      </x:c>
      <x:c r="AB330" s="30" t="str">
        <x:f>IF(Z330,"verified_coordinate_and_open","not_map_ready")</x:f>
        <x:v>verified_coordinate_and_open</x:v>
      </x:c>
      <x:c r="AC330" s="30" t="str">
        <x:v>Open</x:v>
      </x:c>
      <x:c r="AD330" s="30" t="str">
        <x:v>Public — handicap 36 or lower</x:v>
      </x:c>
      <x:c r="AE330" s="31" t="b">
        <x:v>1</x:v>
      </x:c>
      <x:c r="AF330" s="31" t="b">
        <x:v>0</x:v>
      </x:c>
      <x:c r="AG330" s="30"/>
      <x:c r="AH330" s="30"/>
      <x:c r="AI330" s="30"/>
      <x:c r="AJ330" s="31" t="b">
        <x:v>0</x:v>
      </x:c>
      <x:c r="AK330" s="31" t="b">
        <x:v>0</x:v>
      </x:c>
      <x:c r="AL330" s="30" t="str">
        <x:v>Verified — national register and exact BAG address</x:v>
      </x:c>
      <x:c r="AM330" s="30" t="str">
        <x:v>https://www.golf.nl/de-baan-op/banenzoeker/overzicht</x:v>
      </x:c>
      <x:c r="AN330" s="30" t="str">
        <x:v>2026-08-15</x:v>
      </x:c>
      <x:c r="AO330" s="30" t="str">
        <x:v>+31 343-431911</x:v>
      </x:c>
      <x:c r="AP330" s="30" t="str">
        <x:v>Current NGF/GOLF.NL listing: 9 holes, par 36, 2966 metres. The current official facility contact page and BAG address replace the postcode typo in the NGF overview (Woudenbergseweg 13a, 3957 ME Maarsbergen). Listed as qualifying.</x:v>
      </x:c>
    </x:row>
    <x:row r="331">
      <x:c r="A331" s="30" t="str">
        <x:v>NL-C0213</x:v>
      </x:c>
      <x:c r="B331" s="30" t="str">
        <x:v>NL-0330</x:v>
      </x:c>
      <x:c r="C331" s="30" t="str">
        <x:v>Golfclub De Haar — Main Course</x:v>
      </x:c>
      <x:c r="D331" s="30" t="str">
        <x:v>Golfclub De Haar</x:v>
      </x:c>
      <x:c r="E331" s="30" t="str">
        <x:v>Main Course</x:v>
      </x:c>
      <x:c r="F331" s="30" t="str">
        <x:v>Netherlands</x:v>
      </x:c>
      <x:c r="G331" s="30" t="str">
        <x:v>Utrecht</x:v>
      </x:c>
      <x:c r="H331" s="30" t="str">
        <x:v>Utrecht</x:v>
      </x:c>
      <x:c r="I331" s="30" t="str">
        <x:v>Haarzuilens</x:v>
      </x:c>
      <x:c r="J331" s="30" t="str">
        <x:v>Parkweg 5</x:v>
      </x:c>
      <x:c r="K331" s="30" t="str">
        <x:v>3455 RH</x:v>
      </x:c>
      <x:c r="L331" s="32" t="n">
        <x:v>52.11354444</x:v>
      </x:c>
      <x:c r="M331" s="32" t="n">
        <x:v>4.98412512</x:v>
      </x:c>
      <x:c r="N331" s="30" t="str">
        <x:v>WGS84 / EPSG:4326</x:v>
      </x:c>
      <x:c r="O331" s="30" t="str">
        <x:v>Verified BAG address point via PDOK</x:v>
      </x:c>
      <x:c r="P331" s="30" t="str">
        <x:v>2026-08-15</x:v>
      </x:c>
      <x:c r="Q331" s="33" t="n">
        <x:f>IF(R331="","",ROUND(R331/0.9144,0))</x:f>
        <x:v>6296</x:v>
      </x:c>
      <x:c r="R331" s="33" t="n">
        <x:v>5757</x:v>
      </x:c>
      <x:c r="S331" s="33" t="n">
        <x:v>18</x:v>
      </x:c>
      <x:c r="T331" s="33" t="n">
        <x:v>71</x:v>
      </x:c>
      <x:c r="U331" s="30" t="str">
        <x:v>Full-length course</x:v>
      </x:c>
      <x:c r="V331" s="30"/>
      <x:c r="W331" s="30"/>
      <x:c r="X331" s="30"/>
      <x:c r="Y331" s="30" t="str">
        <x:v>https://www.gcdehaar.nl/</x:v>
      </x:c>
      <x:c r="Z331" s="30" t="b">
        <x:f>IF(AND(F331="Netherlands",ISNUMBER(L331),ISNUMBER(M331),L331&gt;=50.7,L331&lt;=53.7,M331&gt;=3.2,M331&lt;=7.3,AC331&lt;&gt;"Closed"),TRUE,FALSE)</x:f>
        <x:v>1</x:v>
      </x:c>
      <x:c r="AA331" s="30" t="b">
        <x:f>Z331</x:f>
        <x:v>1</x:v>
      </x:c>
      <x:c r="AB331" s="30" t="str">
        <x:f>IF(Z331,"verified_coordinate_and_open","not_map_ready")</x:f>
        <x:v>verified_coordinate_and_open</x:v>
      </x:c>
      <x:c r="AC331" s="30" t="str">
        <x:v>Open</x:v>
      </x:c>
      <x:c r="AD331" s="30" t="str">
        <x:v>Public — handicap 28 or lower</x:v>
      </x:c>
      <x:c r="AE331" s="31" t="b">
        <x:v>1</x:v>
      </x:c>
      <x:c r="AF331" s="31" t="b">
        <x:v>0</x:v>
      </x:c>
      <x:c r="AG331" s="30"/>
      <x:c r="AH331" s="30"/>
      <x:c r="AI331" s="30"/>
      <x:c r="AJ331" s="31" t="b">
        <x:v>0</x:v>
      </x:c>
      <x:c r="AK331" s="31" t="b">
        <x:v>0</x:v>
      </x:c>
      <x:c r="AL331" s="30" t="str">
        <x:v>Verified — national register and exact BAG address</x:v>
      </x:c>
      <x:c r="AM331" s="30" t="str">
        <x:v>https://www.golf.nl/de-baan-op/banenzoeker/overzicht</x:v>
      </x:c>
      <x:c r="AN331" s="30" t="str">
        <x:v>2026-08-15</x:v>
      </x:c>
      <x:c r="AO331" s="30" t="str">
        <x:v>+31 30-6772860</x:v>
      </x:c>
      <x:c r="AP331" s="30" t="str">
        <x:v>Current NGF/GOLF.NL listing: 18 holes, par 71, 5757 metres. Combined from exact NGF-listed constituent nine-hole loops: 1ste negen (9 holes, par 35, 2802 m); 2de negen (9 holes, par 36, 2955 m) Listed as qualifying.</x:v>
      </x:c>
    </x:row>
    <x:row r="332">
      <x:c r="A332" s="30" t="str">
        <x:v>NL-C0214</x:v>
      </x:c>
      <x:c r="B332" s="30" t="str">
        <x:v>NL-0331</x:v>
      </x:c>
      <x:c r="C332" s="30" t="str">
        <x:v>Golfclub De Hoge Kleij — Main Course</x:v>
      </x:c>
      <x:c r="D332" s="30" t="str">
        <x:v>Golfclub De Hoge Kleij</x:v>
      </x:c>
      <x:c r="E332" s="30" t="str">
        <x:v>Main Course</x:v>
      </x:c>
      <x:c r="F332" s="30" t="str">
        <x:v>Netherlands</x:v>
      </x:c>
      <x:c r="G332" s="30" t="str">
        <x:v>Utrecht</x:v>
      </x:c>
      <x:c r="H332" s="30" t="str">
        <x:v>Leusden</x:v>
      </x:c>
      <x:c r="I332" s="30" t="str">
        <x:v>Leusden</x:v>
      </x:c>
      <x:c r="J332" s="30" t="str">
        <x:v>Loes van Overeemlaan 16</x:v>
      </x:c>
      <x:c r="K332" s="30" t="str">
        <x:v>3832 RZ</x:v>
      </x:c>
      <x:c r="L332" s="32" t="n">
        <x:v>52.13058769</x:v>
      </x:c>
      <x:c r="M332" s="32" t="n">
        <x:v>5.36237571</x:v>
      </x:c>
      <x:c r="N332" s="30" t="str">
        <x:v>WGS84 / EPSG:4326</x:v>
      </x:c>
      <x:c r="O332" s="30" t="str">
        <x:v>Verified BAG address point via PDOK</x:v>
      </x:c>
      <x:c r="P332" s="30" t="str">
        <x:v>2026-08-15</x:v>
      </x:c>
      <x:c r="Q332" s="33" t="n">
        <x:f>IF(R332="","",ROUND(R332/0.9144,0))</x:f>
        <x:v>6892</x:v>
      </x:c>
      <x:c r="R332" s="33" t="n">
        <x:v>6302</x:v>
      </x:c>
      <x:c r="S332" s="33" t="n">
        <x:v>18</x:v>
      </x:c>
      <x:c r="T332" s="33" t="n">
        <x:v>72</x:v>
      </x:c>
      <x:c r="U332" s="30" t="str">
        <x:v>Full-length course</x:v>
      </x:c>
      <x:c r="V332" s="30"/>
      <x:c r="W332" s="30"/>
      <x:c r="X332" s="30"/>
      <x:c r="Y332" s="30" t="str">
        <x:v>https://hogekleij.nl/</x:v>
      </x:c>
      <x:c r="Z332" s="30" t="b">
        <x:f>IF(AND(F332="Netherlands",ISNUMBER(L332),ISNUMBER(M332),L332&gt;=50.7,L332&lt;=53.7,M332&gt;=3.2,M332&lt;=7.3,AC332&lt;&gt;"Closed"),TRUE,FALSE)</x:f>
        <x:v>1</x:v>
      </x:c>
      <x:c r="AA332" s="30" t="b">
        <x:f>Z332</x:f>
        <x:v>1</x:v>
      </x:c>
      <x:c r="AB332" s="30" t="str">
        <x:f>IF(Z332,"verified_coordinate_and_open","not_map_ready")</x:f>
        <x:v>verified_coordinate_and_open</x:v>
      </x:c>
      <x:c r="AC332" s="30" t="str">
        <x:v>Open</x:v>
      </x:c>
      <x:c r="AD332" s="30" t="str">
        <x:v>Public — handicap 28 or lower</x:v>
      </x:c>
      <x:c r="AE332" s="31" t="b">
        <x:v>1</x:v>
      </x:c>
      <x:c r="AF332" s="31" t="b">
        <x:v>0</x:v>
      </x:c>
      <x:c r="AG332" s="30"/>
      <x:c r="AH332" s="30"/>
      <x:c r="AI332" s="30"/>
      <x:c r="AJ332" s="31" t="b">
        <x:v>0</x:v>
      </x:c>
      <x:c r="AK332" s="31" t="b">
        <x:v>0</x:v>
      </x:c>
      <x:c r="AL332" s="30" t="str">
        <x:v>Verified — national register and exact BAG address</x:v>
      </x:c>
      <x:c r="AM332" s="30" t="str">
        <x:v>https://www.golf.nl/de-baan-op/banenzoeker/overzicht</x:v>
      </x:c>
      <x:c r="AN332" s="30" t="str">
        <x:v>2026-08-15</x:v>
      </x:c>
      <x:c r="AO332" s="30" t="str">
        <x:v>+31 33-4616944</x:v>
      </x:c>
      <x:c r="AP332" s="30" t="str">
        <x:v>Current NGF/GOLF.NL listing: 18 holes, par 72, 6302 metres. Combined from exact NGF-listed constituent nine-hole loops: 1ste negen (9 holes, par 35, 2922 m); 2de negen (9 holes, par 37, 3380 m) Listed as qualifying.</x:v>
      </x:c>
    </x:row>
    <x:row r="333">
      <x:c r="A333" s="30" t="str">
        <x:v>NL-C0215</x:v>
      </x:c>
      <x:c r="B333" s="30" t="str">
        <x:v>NL-0332</x:v>
      </x:c>
      <x:c r="C333" s="30" t="str">
        <x:v>Golfclub Kromme Rijn</x:v>
      </x:c>
      <x:c r="D333" s="30" t="str">
        <x:v>Golfclub Kromme Rijn</x:v>
      </x:c>
      <x:c r="E333" s="30" t="str">
        <x:v>Course</x:v>
      </x:c>
      <x:c r="F333" s="30" t="str">
        <x:v>Netherlands</x:v>
      </x:c>
      <x:c r="G333" s="30" t="str">
        <x:v>Utrecht</x:v>
      </x:c>
      <x:c r="H333" s="30" t="str">
        <x:v>Bunnik</x:v>
      </x:c>
      <x:c r="I333" s="30" t="str">
        <x:v>Bunnik</x:v>
      </x:c>
      <x:c r="J333" s="30" t="str">
        <x:v>Sportlaan 6</x:v>
      </x:c>
      <x:c r="K333" s="30" t="str">
        <x:v>3981 HP</x:v>
      </x:c>
      <x:c r="L333" s="32" t="n">
        <x:v>52.06795082</x:v>
      </x:c>
      <x:c r="M333" s="32" t="n">
        <x:v>5.2115014</x:v>
      </x:c>
      <x:c r="N333" s="30" t="str">
        <x:v>WGS84 / EPSG:4326</x:v>
      </x:c>
      <x:c r="O333" s="30" t="str">
        <x:v>Verified BAG address point via PDOK</x:v>
      </x:c>
      <x:c r="P333" s="30" t="str">
        <x:v>2026-08-15</x:v>
      </x:c>
      <x:c r="Q333" s="33" t="n">
        <x:f>IF(R333="","",ROUND(R333/0.9144,0))</x:f>
        <x:v>3286</x:v>
      </x:c>
      <x:c r="R333" s="33" t="n">
        <x:v>3005</x:v>
      </x:c>
      <x:c r="S333" s="33" t="n">
        <x:v>9</x:v>
      </x:c>
      <x:c r="T333" s="33" t="n">
        <x:v>35</x:v>
      </x:c>
      <x:c r="U333" s="30" t="str">
        <x:v>Full-length course</x:v>
      </x:c>
      <x:c r="V333" s="30"/>
      <x:c r="W333" s="30"/>
      <x:c r="X333" s="30"/>
      <x:c r="Y333" s="30" t="str">
        <x:v>https://www.krommerijn.nl/</x:v>
      </x:c>
      <x:c r="Z333" s="30" t="b">
        <x:f>IF(AND(F333="Netherlands",ISNUMBER(L333),ISNUMBER(M333),L333&gt;=50.7,L333&lt;=53.7,M333&gt;=3.2,M333&lt;=7.3,AC333&lt;&gt;"Closed"),TRUE,FALSE)</x:f>
        <x:v>1</x:v>
      </x:c>
      <x:c r="AA333" s="30" t="b">
        <x:f>Z333</x:f>
        <x:v>1</x:v>
      </x:c>
      <x:c r="AB333" s="30" t="str">
        <x:f>IF(Z333,"verified_coordinate_and_open","not_map_ready")</x:f>
        <x:v>verified_coordinate_and_open</x:v>
      </x:c>
      <x:c r="AC333" s="30" t="str">
        <x:v>Open</x:v>
      </x:c>
      <x:c r="AD333" s="30" t="str">
        <x:v>Public — handicap 54 or lower</x:v>
      </x:c>
      <x:c r="AE333" s="31" t="b">
        <x:v>1</x:v>
      </x:c>
      <x:c r="AF333" s="31" t="b">
        <x:v>0</x:v>
      </x:c>
      <x:c r="AG333" s="30"/>
      <x:c r="AH333" s="30"/>
      <x:c r="AI333" s="30"/>
      <x:c r="AJ333" s="31" t="b">
        <x:v>0</x:v>
      </x:c>
      <x:c r="AK333" s="31" t="b">
        <x:v>0</x:v>
      </x:c>
      <x:c r="AL333" s="30" t="str">
        <x:v>Verified — national register and exact BAG address</x:v>
      </x:c>
      <x:c r="AM333" s="30" t="str">
        <x:v>https://www.golf.nl/de-baan-op/banenzoeker/overzicht</x:v>
      </x:c>
      <x:c r="AN333" s="30" t="str">
        <x:v>2026-08-15</x:v>
      </x:c>
      <x:c r="AO333" s="30" t="str">
        <x:v>+31 30-6562051</x:v>
      </x:c>
      <x:c r="AP333" s="30" t="str">
        <x:v>Current NGF/GOLF.NL listing: 9 holes, par 35, 3005 metres. Listed as qualifying.</x:v>
      </x:c>
    </x:row>
    <x:row r="334">
      <x:c r="A334" s="30" t="str">
        <x:v>NL-C0216</x:v>
      </x:c>
      <x:c r="B334" s="30" t="str">
        <x:v>NL-0333</x:v>
      </x:c>
      <x:c r="C334" s="30" t="str">
        <x:v>Golfclub Old Course Loenen</x:v>
      </x:c>
      <x:c r="D334" s="30" t="str">
        <x:v>Golfclub Old Course Loenen</x:v>
      </x:c>
      <x:c r="E334" s="30" t="str">
        <x:v>Course</x:v>
      </x:c>
      <x:c r="F334" s="30" t="str">
        <x:v>Netherlands</x:v>
      </x:c>
      <x:c r="G334" s="30" t="str">
        <x:v>Utrecht</x:v>
      </x:c>
      <x:c r="H334" s="30" t="str">
        <x:v>Stichtse Vecht</x:v>
      </x:c>
      <x:c r="I334" s="30" t="str">
        <x:v>Loenen aan de Vecht</x:v>
      </x:c>
      <x:c r="J334" s="30" t="str">
        <x:v>Rijksstraatweg 171</x:v>
      </x:c>
      <x:c r="K334" s="30" t="str">
        <x:v>3632 AC</x:v>
      </x:c>
      <x:c r="L334" s="32" t="n">
        <x:v>52.21218568</x:v>
      </x:c>
      <x:c r="M334" s="32" t="n">
        <x:v>5.00872935</x:v>
      </x:c>
      <x:c r="N334" s="30" t="str">
        <x:v>WGS84 / EPSG:4326</x:v>
      </x:c>
      <x:c r="O334" s="30" t="str">
        <x:v>Verified BAG address point via PDOK</x:v>
      </x:c>
      <x:c r="P334" s="30" t="str">
        <x:v>2026-08-15</x:v>
      </x:c>
      <x:c r="Q334" s="33" t="n">
        <x:f>IF(R334="","",ROUND(R334/0.9144,0))</x:f>
        <x:v>3287</x:v>
      </x:c>
      <x:c r="R334" s="33" t="n">
        <x:v>3006</x:v>
      </x:c>
      <x:c r="S334" s="33" t="n">
        <x:v>9</x:v>
      </x:c>
      <x:c r="T334" s="33" t="n">
        <x:v>36</x:v>
      </x:c>
      <x:c r="U334" s="30" t="str">
        <x:v>Full-length course</x:v>
      </x:c>
      <x:c r="V334" s="30"/>
      <x:c r="W334" s="30"/>
      <x:c r="X334" s="30"/>
      <x:c r="Y334" s="30" t="str">
        <x:v>https://oldcourseloenen.nl/</x:v>
      </x:c>
      <x:c r="Z334" s="30" t="b">
        <x:f>IF(AND(F334="Netherlands",ISNUMBER(L334),ISNUMBER(M334),L334&gt;=50.7,L334&lt;=53.7,M334&gt;=3.2,M334&lt;=7.3,AC334&lt;&gt;"Closed"),TRUE,FALSE)</x:f>
        <x:v>1</x:v>
      </x:c>
      <x:c r="AA334" s="30" t="b">
        <x:f>Z334</x:f>
        <x:v>1</x:v>
      </x:c>
      <x:c r="AB334" s="30" t="str">
        <x:f>IF(Z334,"verified_coordinate_and_open","not_map_ready")</x:f>
        <x:v>verified_coordinate_and_open</x:v>
      </x:c>
      <x:c r="AC334" s="30" t="str">
        <x:v>Open</x:v>
      </x:c>
      <x:c r="AD334" s="30" t="str">
        <x:v>Public — handicap 54 or lower</x:v>
      </x:c>
      <x:c r="AE334" s="31" t="b">
        <x:v>1</x:v>
      </x:c>
      <x:c r="AF334" s="31" t="b">
        <x:v>0</x:v>
      </x:c>
      <x:c r="AG334" s="30"/>
      <x:c r="AH334" s="30"/>
      <x:c r="AI334" s="30"/>
      <x:c r="AJ334" s="31" t="b">
        <x:v>0</x:v>
      </x:c>
      <x:c r="AK334" s="31" t="b">
        <x:v>0</x:v>
      </x:c>
      <x:c r="AL334" s="30" t="str">
        <x:v>Verified — national register and exact BAG address</x:v>
      </x:c>
      <x:c r="AM334" s="30" t="str">
        <x:v>https://www.golf.nl/de-baan-op/banenzoeker/overzicht</x:v>
      </x:c>
      <x:c r="AN334" s="30" t="str">
        <x:v>2026-08-15</x:v>
      </x:c>
      <x:c r="AO334" s="30" t="str">
        <x:v>+31 294-237600</x:v>
      </x:c>
      <x:c r="AP334" s="30" t="str">
        <x:v>Current NGF/GOLF.NL listing: 9 holes, par 36, 3006 metres. Listed as qualifying.</x:v>
      </x:c>
    </x:row>
    <x:row r="335">
      <x:c r="A335" s="30" t="str">
        <x:v>NL-C0217</x:v>
      </x:c>
      <x:c r="B335" s="30" t="str">
        <x:v>NL-0334</x:v>
      </x:c>
      <x:c r="C335" s="30" t="str">
        <x:v>Golfpark De Biltse Duinen</x:v>
      </x:c>
      <x:c r="D335" s="30" t="str">
        <x:v>Golfpark De Biltse Duinen</x:v>
      </x:c>
      <x:c r="E335" s="30" t="str">
        <x:v>Course</x:v>
      </x:c>
      <x:c r="F335" s="30" t="str">
        <x:v>Netherlands</x:v>
      </x:c>
      <x:c r="G335" s="30" t="str">
        <x:v>Utrecht</x:v>
      </x:c>
      <x:c r="H335" s="30" t="str">
        <x:v>De Bilt</x:v>
      </x:c>
      <x:c r="I335" s="30" t="str">
        <x:v>Bilthoven</x:v>
      </x:c>
      <x:c r="J335" s="30" t="str">
        <x:v>Burg. v.d. Borchlaan 6</x:v>
      </x:c>
      <x:c r="K335" s="30" t="str">
        <x:v>3722 GZ</x:v>
      </x:c>
      <x:c r="L335" s="32" t="n">
        <x:v>52.12984307</x:v>
      </x:c>
      <x:c r="M335" s="32" t="n">
        <x:v>5.2191278</x:v>
      </x:c>
      <x:c r="N335" s="30" t="str">
        <x:v>WGS84 / EPSG:4326</x:v>
      </x:c>
      <x:c r="O335" s="30" t="str">
        <x:v>Verified BAG address point via PDOK</x:v>
      </x:c>
      <x:c r="P335" s="30" t="str">
        <x:v>2026-08-15</x:v>
      </x:c>
      <x:c r="Q335" s="33" t="n">
        <x:f>IF(R335="","",ROUND(R335/0.9144,0))</x:f>
        <x:v>1053</x:v>
      </x:c>
      <x:c r="R335" s="33" t="n">
        <x:v>963</x:v>
      </x:c>
      <x:c r="S335" s="33" t="n">
        <x:v>9</x:v>
      </x:c>
      <x:c r="T335" s="33" t="n">
        <x:v>27</x:v>
      </x:c>
      <x:c r="U335" s="30" t="str">
        <x:v>Par-3 course</x:v>
      </x:c>
      <x:c r="V335" s="30"/>
      <x:c r="W335" s="30"/>
      <x:c r="X335" s="30"/>
      <x:c r="Y335" s="30" t="str">
        <x:v>https://www.biltseduinen.nl/</x:v>
      </x:c>
      <x:c r="Z335" s="30" t="b">
        <x:f>IF(AND(F335="Netherlands",ISNUMBER(L335),ISNUMBER(M335),L335&gt;=50.7,L335&lt;=53.7,M335&gt;=3.2,M335&lt;=7.3,AC335&lt;&gt;"Closed"),TRUE,FALSE)</x:f>
        <x:v>1</x:v>
      </x:c>
      <x:c r="AA335" s="30" t="b">
        <x:f>Z335</x:f>
        <x:v>1</x:v>
      </x:c>
      <x:c r="AB335" s="30" t="str">
        <x:f>IF(Z335,"verified_coordinate_and_open","not_map_ready")</x:f>
        <x:v>verified_coordinate_and_open</x:v>
      </x:c>
      <x:c r="AC335" s="30" t="str">
        <x:v>Open</x:v>
      </x:c>
      <x:c r="AD335" s="30" t="str">
        <x:v>Public — handicap 54 or lower</x:v>
      </x:c>
      <x:c r="AE335" s="31" t="b">
        <x:v>1</x:v>
      </x:c>
      <x:c r="AF335" s="31" t="b">
        <x:v>0</x:v>
      </x:c>
      <x:c r="AG335" s="30"/>
      <x:c r="AH335" s="30"/>
      <x:c r="AI335" s="30"/>
      <x:c r="AJ335" s="31" t="b">
        <x:v>0</x:v>
      </x:c>
      <x:c r="AK335" s="31" t="b">
        <x:v>0</x:v>
      </x:c>
      <x:c r="AL335" s="30" t="str">
        <x:v>Verified — national register and exact BAG address</x:v>
      </x:c>
      <x:c r="AM335" s="30" t="str">
        <x:v>https://www.golf.nl/de-baan-op/banenzoeker/overzicht</x:v>
      </x:c>
      <x:c r="AN335" s="30" t="str">
        <x:v>2026-08-15</x:v>
      </x:c>
      <x:c r="AO335" s="30" t="str">
        <x:v>+31 30-2280561</x:v>
      </x:c>
      <x:c r="AP335" s="30" t="str">
        <x:v>Current NGF/GOLF.NL listing: 9 holes, par 27, 963 metres. Listed as qualifying.</x:v>
      </x:c>
    </x:row>
    <x:row r="336">
      <x:c r="A336" s="30" t="str">
        <x:v>NL-C0218</x:v>
      </x:c>
      <x:c r="B336" s="30" t="str">
        <x:v>NL-0335</x:v>
      </x:c>
      <x:c r="C336" s="30" t="str">
        <x:v>Golfpark Soestduinen</x:v>
      </x:c>
      <x:c r="D336" s="30" t="str">
        <x:v>Golfpark Soestduinen</x:v>
      </x:c>
      <x:c r="E336" s="30" t="str">
        <x:v>Course</x:v>
      </x:c>
      <x:c r="F336" s="30" t="str">
        <x:v>Netherlands</x:v>
      </x:c>
      <x:c r="G336" s="30" t="str">
        <x:v>Utrecht</x:v>
      </x:c>
      <x:c r="H336" s="30" t="str">
        <x:v>Soest</x:v>
      </x:c>
      <x:c r="I336" s="30" t="str">
        <x:v>Soest</x:v>
      </x:c>
      <x:c r="J336" s="30" t="str">
        <x:v>Van Weerden Poelmanweg 8</x:v>
      </x:c>
      <x:c r="K336" s="30" t="str">
        <x:v>3768 MN</x:v>
      </x:c>
      <x:c r="L336" s="32" t="n">
        <x:v>52.14191963</x:v>
      </x:c>
      <x:c r="M336" s="32" t="n">
        <x:v>5.29174632</x:v>
      </x:c>
      <x:c r="N336" s="30" t="str">
        <x:v>WGS84 / EPSG:4326</x:v>
      </x:c>
      <x:c r="O336" s="30" t="str">
        <x:v>Verified BAG address point via PDOK</x:v>
      </x:c>
      <x:c r="P336" s="30" t="str">
        <x:v>2026-08-15</x:v>
      </x:c>
      <x:c r="Q336" s="33" t="n">
        <x:f>IF(R336="","",ROUND(R336/0.9144,0))</x:f>
        <x:v>753</x:v>
      </x:c>
      <x:c r="R336" s="33" t="n">
        <x:v>689</x:v>
      </x:c>
      <x:c r="S336" s="33" t="n">
        <x:v>9</x:v>
      </x:c>
      <x:c r="T336" s="33" t="n">
        <x:v>27</x:v>
      </x:c>
      <x:c r="U336" s="30" t="str">
        <x:v>Par-3 course</x:v>
      </x:c>
      <x:c r="V336" s="30"/>
      <x:c r="W336" s="30"/>
      <x:c r="X336" s="30"/>
      <x:c r="Y336" s="30" t="str">
        <x:v>https://www.golfparksoestduinen.nl/</x:v>
      </x:c>
      <x:c r="Z336" s="30" t="b">
        <x:f>IF(AND(F336="Netherlands",ISNUMBER(L336),ISNUMBER(M336),L336&gt;=50.7,L336&lt;=53.7,M336&gt;=3.2,M336&lt;=7.3,AC336&lt;&gt;"Closed"),TRUE,FALSE)</x:f>
        <x:v>1</x:v>
      </x:c>
      <x:c r="AA336" s="30" t="b">
        <x:f>Z336</x:f>
        <x:v>1</x:v>
      </x:c>
      <x:c r="AB336" s="30" t="str">
        <x:f>IF(Z336,"verified_coordinate_and_open","not_map_ready")</x:f>
        <x:v>verified_coordinate_and_open</x:v>
      </x:c>
      <x:c r="AC336" s="30" t="str">
        <x:v>Open</x:v>
      </x:c>
      <x:c r="AD336" s="30" t="str">
        <x:v>Public — NGF course permission</x:v>
      </x:c>
      <x:c r="AE336" s="31" t="b">
        <x:v>1</x:v>
      </x:c>
      <x:c r="AF336" s="31" t="b">
        <x:v>0</x:v>
      </x:c>
      <x:c r="AG336" s="30"/>
      <x:c r="AH336" s="30"/>
      <x:c r="AI336" s="30"/>
      <x:c r="AJ336" s="31" t="b">
        <x:v>0</x:v>
      </x:c>
      <x:c r="AK336" s="31" t="b">
        <x:v>0</x:v>
      </x:c>
      <x:c r="AL336" s="30" t="str">
        <x:v>Verified — national register and exact BAG address</x:v>
      </x:c>
      <x:c r="AM336" s="30" t="str">
        <x:v>https://www.golf.nl/de-baan-op/banenzoeker/overzicht</x:v>
      </x:c>
      <x:c r="AN336" s="30" t="str">
        <x:v>2026-08-15</x:v>
      </x:c>
      <x:c r="AO336" s="30" t="str">
        <x:v>+31 35-5880005</x:v>
      </x:c>
      <x:c r="AP336" s="30" t="str">
        <x:v>Current NGF/GOLF.NL listing: 9 holes, par 27, 689 metres. Listed as qualifying.</x:v>
      </x:c>
    </x:row>
    <x:row r="337">
      <x:c r="A337" s="30" t="str">
        <x:v>NL-C0219</x:v>
      </x:c>
      <x:c r="B337" s="30" t="str">
        <x:v>NL-0336</x:v>
      </x:c>
      <x:c r="C337" s="30" t="str">
        <x:v>Golfpark Wilnis — Main Course</x:v>
      </x:c>
      <x:c r="D337" s="30" t="str">
        <x:v>Golfpark Wilnis</x:v>
      </x:c>
      <x:c r="E337" s="30" t="str">
        <x:v>Main Course</x:v>
      </x:c>
      <x:c r="F337" s="30" t="str">
        <x:v>Netherlands</x:v>
      </x:c>
      <x:c r="G337" s="30" t="str">
        <x:v>Utrecht</x:v>
      </x:c>
      <x:c r="H337" s="30" t="str">
        <x:v>De Ronde Venen</x:v>
      </x:c>
      <x:c r="I337" s="30" t="str">
        <x:v>Wilnis</x:v>
      </x:c>
      <x:c r="J337" s="30" t="str">
        <x:v>Bovendijk 16a</x:v>
      </x:c>
      <x:c r="K337" s="30" t="str">
        <x:v>3648 NM</x:v>
      </x:c>
      <x:c r="L337" s="32" t="n">
        <x:v>52.18072019</x:v>
      </x:c>
      <x:c r="M337" s="32" t="n">
        <x:v>4.88349503</x:v>
      </x:c>
      <x:c r="N337" s="30" t="str">
        <x:v>WGS84 / EPSG:4326</x:v>
      </x:c>
      <x:c r="O337" s="30" t="str">
        <x:v>Verified BAG address point via PDOK</x:v>
      </x:c>
      <x:c r="P337" s="30" t="str">
        <x:v>2026-08-15</x:v>
      </x:c>
      <x:c r="Q337" s="33" t="n">
        <x:f>IF(R337="","",ROUND(R337/0.9144,0))</x:f>
        <x:v>6470</x:v>
      </x:c>
      <x:c r="R337" s="33" t="n">
        <x:v>5916</x:v>
      </x:c>
      <x:c r="S337" s="33" t="n">
        <x:v>18</x:v>
      </x:c>
      <x:c r="T337" s="33" t="n">
        <x:v>72</x:v>
      </x:c>
      <x:c r="U337" s="30" t="str">
        <x:v>Full-length course</x:v>
      </x:c>
      <x:c r="V337" s="30"/>
      <x:c r="W337" s="30"/>
      <x:c r="X337" s="30"/>
      <x:c r="Y337" s="30" t="str">
        <x:v>https://golfparkwilnis.nl/</x:v>
      </x:c>
      <x:c r="Z337" s="30" t="b">
        <x:f>IF(AND(F337="Netherlands",ISNUMBER(L337),ISNUMBER(M337),L337&gt;=50.7,L337&lt;=53.7,M337&gt;=3.2,M337&lt;=7.3,AC337&lt;&gt;"Closed"),TRUE,FALSE)</x:f>
        <x:v>1</x:v>
      </x:c>
      <x:c r="AA337" s="30" t="b">
        <x:f>Z337</x:f>
        <x:v>1</x:v>
      </x:c>
      <x:c r="AB337" s="30" t="str">
        <x:f>IF(Z337,"verified_coordinate_and_open","not_map_ready")</x:f>
        <x:v>verified_coordinate_and_open</x:v>
      </x:c>
      <x:c r="AC337" s="30" t="str">
        <x:v>Open</x:v>
      </x:c>
      <x:c r="AD337" s="30" t="str">
        <x:v>Public — handicap 54 or lower</x:v>
      </x:c>
      <x:c r="AE337" s="31" t="b">
        <x:v>1</x:v>
      </x:c>
      <x:c r="AF337" s="31" t="b">
        <x:v>0</x:v>
      </x:c>
      <x:c r="AG337" s="30"/>
      <x:c r="AH337" s="30"/>
      <x:c r="AI337" s="30"/>
      <x:c r="AJ337" s="31" t="b">
        <x:v>0</x:v>
      </x:c>
      <x:c r="AK337" s="31" t="b">
        <x:v>0</x:v>
      </x:c>
      <x:c r="AL337" s="30" t="str">
        <x:v>Verified — national register and exact BAG address</x:v>
      </x:c>
      <x:c r="AM337" s="30" t="str">
        <x:v>https://www.golf.nl/de-baan-op/banenzoeker/overzicht</x:v>
      </x:c>
      <x:c r="AN337" s="30" t="str">
        <x:v>2026-08-15</x:v>
      </x:c>
      <x:c r="AO337" s="30" t="str">
        <x:v>+31 297-281143</x:v>
      </x:c>
      <x:c r="AP337" s="30" t="str">
        <x:v>Current NGF/GOLF.NL listing: 18 holes, par 72, 5916 metres. Combined from exact NGF-listed constituent nine-hole loops: 1ste negen (9 holes, par 36, 2973 m); 2de negen (9 holes, par 36, 2943 m) Listed as qualifying.</x:v>
      </x:c>
    </x:row>
    <x:row r="338">
      <x:c r="A338" s="30" t="str">
        <x:v>NL-C0219</x:v>
      </x:c>
      <x:c r="B338" s="30" t="str">
        <x:v>NL-0337</x:v>
      </x:c>
      <x:c r="C338" s="30" t="str">
        <x:v>Golfpark Wilnis — Par-3 Course</x:v>
      </x:c>
      <x:c r="D338" s="30" t="str">
        <x:v>Golfpark Wilnis</x:v>
      </x:c>
      <x:c r="E338" s="30" t="str">
        <x:v>Par-3 Course</x:v>
      </x:c>
      <x:c r="F338" s="30" t="str">
        <x:v>Netherlands</x:v>
      </x:c>
      <x:c r="G338" s="30" t="str">
        <x:v>Utrecht</x:v>
      </x:c>
      <x:c r="H338" s="30" t="str">
        <x:v>De Ronde Venen</x:v>
      </x:c>
      <x:c r="I338" s="30" t="str">
        <x:v>Wilnis</x:v>
      </x:c>
      <x:c r="J338" s="30" t="str">
        <x:v>Bovendijk 16a</x:v>
      </x:c>
      <x:c r="K338" s="30" t="str">
        <x:v>3648 NM</x:v>
      </x:c>
      <x:c r="L338" s="32" t="n">
        <x:v>52.18072019</x:v>
      </x:c>
      <x:c r="M338" s="32" t="n">
        <x:v>4.88349503</x:v>
      </x:c>
      <x:c r="N338" s="30" t="str">
        <x:v>WGS84 / EPSG:4326</x:v>
      </x:c>
      <x:c r="O338" s="30" t="str">
        <x:v>Verified BAG address point via PDOK</x:v>
      </x:c>
      <x:c r="P338" s="30" t="str">
        <x:v>2026-08-15</x:v>
      </x:c>
      <x:c r="Q338" s="33" t="n">
        <x:f>IF(R338="","",ROUND(R338/0.9144,0))</x:f>
        <x:v>923</x:v>
      </x:c>
      <x:c r="R338" s="33" t="n">
        <x:v>844</x:v>
      </x:c>
      <x:c r="S338" s="33" t="n">
        <x:v>9</x:v>
      </x:c>
      <x:c r="T338" s="33" t="n">
        <x:v>27</x:v>
      </x:c>
      <x:c r="U338" s="30" t="str">
        <x:v>Par-3 course</x:v>
      </x:c>
      <x:c r="V338" s="30"/>
      <x:c r="W338" s="30"/>
      <x:c r="X338" s="30"/>
      <x:c r="Y338" s="30" t="str">
        <x:v>https://golfparkwilnis.nl/</x:v>
      </x:c>
      <x:c r="Z338" s="30" t="b">
        <x:f>IF(AND(F338="Netherlands",ISNUMBER(L338),ISNUMBER(M338),L338&gt;=50.7,L338&lt;=53.7,M338&gt;=3.2,M338&lt;=7.3,AC338&lt;&gt;"Closed"),TRUE,FALSE)</x:f>
        <x:v>1</x:v>
      </x:c>
      <x:c r="AA338" s="30" t="b">
        <x:f>Z338</x:f>
        <x:v>1</x:v>
      </x:c>
      <x:c r="AB338" s="30" t="str">
        <x:f>IF(Z338,"verified_coordinate_and_open","not_map_ready")</x:f>
        <x:v>verified_coordinate_and_open</x:v>
      </x:c>
      <x:c r="AC338" s="30" t="str">
        <x:v>Open</x:v>
      </x:c>
      <x:c r="AD338" s="30" t="str">
        <x:v>Public — NGF course permission</x:v>
      </x:c>
      <x:c r="AE338" s="31" t="b">
        <x:v>1</x:v>
      </x:c>
      <x:c r="AF338" s="31" t="b">
        <x:v>0</x:v>
      </x:c>
      <x:c r="AG338" s="30"/>
      <x:c r="AH338" s="30"/>
      <x:c r="AI338" s="30"/>
      <x:c r="AJ338" s="31" t="b">
        <x:v>0</x:v>
      </x:c>
      <x:c r="AK338" s="31" t="b">
        <x:v>0</x:v>
      </x:c>
      <x:c r="AL338" s="30" t="str">
        <x:v>Verified — national register and exact BAG address</x:v>
      </x:c>
      <x:c r="AM338" s="30" t="str">
        <x:v>https://www.golf.nl/de-baan-op/banenzoeker/overzicht</x:v>
      </x:c>
      <x:c r="AN338" s="30" t="str">
        <x:v>2026-08-15</x:v>
      </x:c>
      <x:c r="AO338" s="30" t="str">
        <x:v>+31 297-281143</x:v>
      </x:c>
      <x:c r="AP338" s="30" t="str">
        <x:v>Current NGF/GOLF.NL listing: 9 holes, par 27, 844 metres. Listed as qualifying.</x:v>
      </x:c>
    </x:row>
    <x:row r="339">
      <x:c r="A339" s="30" t="str">
        <x:v>NL-C0220</x:v>
      </x:c>
      <x:c r="B339" s="30" t="str">
        <x:v>NL-0338</x:v>
      </x:c>
      <x:c r="C339" s="30" t="str">
        <x:v>Golfsociëteit De Lage Vuursche — Main Course</x:v>
      </x:c>
      <x:c r="D339" s="30" t="str">
        <x:v>Golfsociëteit De Lage Vuursche</x:v>
      </x:c>
      <x:c r="E339" s="30" t="str">
        <x:v>Main Course</x:v>
      </x:c>
      <x:c r="F339" s="30" t="str">
        <x:v>Netherlands</x:v>
      </x:c>
      <x:c r="G339" s="30" t="str">
        <x:v>Utrecht</x:v>
      </x:c>
      <x:c r="H339" s="30" t="str">
        <x:v>Zeist</x:v>
      </x:c>
      <x:c r="I339" s="30" t="str">
        <x:v>Den Dolder</x:v>
      </x:c>
      <x:c r="J339" s="30" t="str">
        <x:v>Dolderseweg 262</x:v>
      </x:c>
      <x:c r="K339" s="30" t="str">
        <x:v>3734 BS</x:v>
      </x:c>
      <x:c r="L339" s="32" t="n">
        <x:v>52.15300432</x:v>
      </x:c>
      <x:c r="M339" s="32" t="n">
        <x:v>5.23990116</x:v>
      </x:c>
      <x:c r="N339" s="30" t="str">
        <x:v>WGS84 / EPSG:4326</x:v>
      </x:c>
      <x:c r="O339" s="30" t="str">
        <x:v>Verified BAG address point via PDOK</x:v>
      </x:c>
      <x:c r="P339" s="30" t="str">
        <x:v>2026-08-15</x:v>
      </x:c>
      <x:c r="Q339" s="33" t="n">
        <x:f>IF(R339="","",ROUND(R339/0.9144,0))</x:f>
        <x:v>6876</x:v>
      </x:c>
      <x:c r="R339" s="33" t="n">
        <x:v>6287</x:v>
      </x:c>
      <x:c r="S339" s="33" t="n">
        <x:v>18</x:v>
      </x:c>
      <x:c r="T339" s="33" t="n">
        <x:v>71</x:v>
      </x:c>
      <x:c r="U339" s="30" t="str">
        <x:v>Full-length course</x:v>
      </x:c>
      <x:c r="V339" s="30"/>
      <x:c r="W339" s="30"/>
      <x:c r="X339" s="30"/>
      <x:c r="Y339" s="30" t="str">
        <x:v>https://www.golflagevuursche.nl/</x:v>
      </x:c>
      <x:c r="Z339" s="30" t="b">
        <x:f>IF(AND(F339="Netherlands",ISNUMBER(L339),ISNUMBER(M339),L339&gt;=50.7,L339&lt;=53.7,M339&gt;=3.2,M339&lt;=7.3,AC339&lt;&gt;"Closed"),TRUE,FALSE)</x:f>
        <x:v>1</x:v>
      </x:c>
      <x:c r="AA339" s="30" t="b">
        <x:f>Z339</x:f>
        <x:v>1</x:v>
      </x:c>
      <x:c r="AB339" s="30" t="str">
        <x:f>IF(Z339,"verified_coordinate_and_open","not_map_ready")</x:f>
        <x:v>verified_coordinate_and_open</x:v>
      </x:c>
      <x:c r="AC339" s="30" t="str">
        <x:v>Open</x:v>
      </x:c>
      <x:c r="AD339" s="30" t="str">
        <x:v>Public — handicap 54 or lower</x:v>
      </x:c>
      <x:c r="AE339" s="31" t="b">
        <x:v>1</x:v>
      </x:c>
      <x:c r="AF339" s="31" t="b">
        <x:v>0</x:v>
      </x:c>
      <x:c r="AG339" s="30"/>
      <x:c r="AH339" s="30"/>
      <x:c r="AI339" s="30"/>
      <x:c r="AJ339" s="31" t="b">
        <x:v>0</x:v>
      </x:c>
      <x:c r="AK339" s="31" t="b">
        <x:v>0</x:v>
      </x:c>
      <x:c r="AL339" s="30" t="str">
        <x:v>Verified — national register and exact BAG address</x:v>
      </x:c>
      <x:c r="AM339" s="30" t="str">
        <x:v>https://www.golf.nl/de-baan-op/banenzoeker/overzicht</x:v>
      </x:c>
      <x:c r="AN339" s="30" t="str">
        <x:v>2026-08-15</x:v>
      </x:c>
      <x:c r="AO339" s="30" t="str">
        <x:v>+31 30-2292594</x:v>
      </x:c>
      <x:c r="AP339" s="30" t="str">
        <x:v>Current NGF/GOLF.NL listing: 18 holes, par 71, 6287 metres. Combined from exact NGF-listed constituent nine-hole loops: 1ste negen (9 holes, par 35, 3078 m); 2de negen (9 holes, par 36, 3209 m) Listed as qualifying.</x:v>
      </x:c>
    </x:row>
    <x:row r="340">
      <x:c r="A340" s="30" t="str">
        <x:v>NL-C0221</x:v>
      </x:c>
      <x:c r="B340" s="30" t="str">
        <x:v>NL-0339</x:v>
      </x:c>
      <x:c r="C340" s="30" t="str">
        <x:v>Golfvereniging Hoogland Amersfoort</x:v>
      </x:c>
      <x:c r="D340" s="30" t="str">
        <x:v>Golfvereniging Hoogland Amersfoort</x:v>
      </x:c>
      <x:c r="E340" s="30" t="str">
        <x:v>Course</x:v>
      </x:c>
      <x:c r="F340" s="30" t="str">
        <x:v>Netherlands</x:v>
      </x:c>
      <x:c r="G340" s="30" t="str">
        <x:v>Utrecht</x:v>
      </x:c>
      <x:c r="H340" s="30" t="str">
        <x:v>Amersfoort</x:v>
      </x:c>
      <x:c r="I340" s="30" t="str">
        <x:v>Hoogland</x:v>
      </x:c>
      <x:c r="J340" s="30" t="str">
        <x:v>Bunschoterstraat 23</x:v>
      </x:c>
      <x:c r="K340" s="30" t="str">
        <x:v>3828 NR</x:v>
      </x:c>
      <x:c r="L340" s="32" t="n">
        <x:v>52.18630993</x:v>
      </x:c>
      <x:c r="M340" s="32" t="n">
        <x:v>5.36660933</x:v>
      </x:c>
      <x:c r="N340" s="30" t="str">
        <x:v>WGS84 / EPSG:4326</x:v>
      </x:c>
      <x:c r="O340" s="30" t="str">
        <x:v>Verified BAG address point via PDOK</x:v>
      </x:c>
      <x:c r="P340" s="30" t="str">
        <x:v>2026-08-15</x:v>
      </x:c>
      <x:c r="Q340" s="33" t="n">
        <x:f>IF(R340="","",ROUND(R340/0.9144,0))</x:f>
        <x:v>2862</x:v>
      </x:c>
      <x:c r="R340" s="33" t="n">
        <x:v>2617</x:v>
      </x:c>
      <x:c r="S340" s="33" t="n">
        <x:v>9</x:v>
      </x:c>
      <x:c r="T340" s="33" t="n">
        <x:v>34</x:v>
      </x:c>
      <x:c r="U340" s="30" t="str">
        <x:v>Full-length course</x:v>
      </x:c>
      <x:c r="V340" s="30"/>
      <x:c r="W340" s="30"/>
      <x:c r="X340" s="30"/>
      <x:c r="Y340" s="30" t="str">
        <x:v>https://www.gcha.nl/</x:v>
      </x:c>
      <x:c r="Z340" s="30" t="b">
        <x:f>IF(AND(F340="Netherlands",ISNUMBER(L340),ISNUMBER(M340),L340&gt;=50.7,L340&lt;=53.7,M340&gt;=3.2,M340&lt;=7.3,AC340&lt;&gt;"Closed"),TRUE,FALSE)</x:f>
        <x:v>1</x:v>
      </x:c>
      <x:c r="AA340" s="30" t="b">
        <x:f>Z340</x:f>
        <x:v>1</x:v>
      </x:c>
      <x:c r="AB340" s="30" t="str">
        <x:f>IF(Z340,"verified_coordinate_and_open","not_map_ready")</x:f>
        <x:v>verified_coordinate_and_open</x:v>
      </x:c>
      <x:c r="AC340" s="30" t="str">
        <x:v>Open</x:v>
      </x:c>
      <x:c r="AD340" s="30" t="str">
        <x:v>Public — handicap 54 or lower</x:v>
      </x:c>
      <x:c r="AE340" s="31" t="b">
        <x:v>1</x:v>
      </x:c>
      <x:c r="AF340" s="31" t="b">
        <x:v>0</x:v>
      </x:c>
      <x:c r="AG340" s="30"/>
      <x:c r="AH340" s="30"/>
      <x:c r="AI340" s="30"/>
      <x:c r="AJ340" s="31" t="b">
        <x:v>0</x:v>
      </x:c>
      <x:c r="AK340" s="31" t="b">
        <x:v>0</x:v>
      </x:c>
      <x:c r="AL340" s="30" t="str">
        <x:v>Verified — national register and exact BAG address</x:v>
      </x:c>
      <x:c r="AM340" s="30" t="str">
        <x:v>https://www.golf.nl/de-baan-op/banenzoeker/overzicht</x:v>
      </x:c>
      <x:c r="AN340" s="30" t="str">
        <x:v>2026-08-15</x:v>
      </x:c>
      <x:c r="AO340" s="30" t="str">
        <x:v>+31 33-8888475</x:v>
      </x:c>
      <x:c r="AP340" s="30" t="str">
        <x:v>Current NGF/GOLF.NL listing: 9 holes, par 34, 2617 metres. Listed as qualifying.</x:v>
      </x:c>
    </x:row>
    <x:row r="341">
      <x:c r="A341" s="30" t="str">
        <x:v>NL-C0222</x:v>
      </x:c>
      <x:c r="B341" s="30" t="str">
        <x:v>NL-0340</x:v>
      </x:c>
      <x:c r="C341" s="30" t="str">
        <x:v>Gooise Golfclub</x:v>
      </x:c>
      <x:c r="D341" s="30" t="str">
        <x:v>Gooise Golfclub</x:v>
      </x:c>
      <x:c r="E341" s="30" t="str">
        <x:v>Course</x:v>
      </x:c>
      <x:c r="F341" s="30" t="str">
        <x:v>Netherlands</x:v>
      </x:c>
      <x:c r="G341" s="30" t="str">
        <x:v>Utrecht</x:v>
      </x:c>
      <x:c r="H341" s="30" t="str">
        <x:v>Wijdemeren</x:v>
      </x:c>
      <x:c r="I341" s="30" t="str">
        <x:v>Loosdrecht</x:v>
      </x:c>
      <x:c r="J341" s="30" t="str">
        <x:v>t Jagerspaadje 24a</x:v>
      </x:c>
      <x:c r="K341" s="30" t="str">
        <x:v>1231 KJ</x:v>
      </x:c>
      <x:c r="L341" s="32" t="n">
        <x:v>52.20943794</x:v>
      </x:c>
      <x:c r="M341" s="32" t="n">
        <x:v>5.13230299</x:v>
      </x:c>
      <x:c r="N341" s="30" t="str">
        <x:v>WGS84 / EPSG:4326</x:v>
      </x:c>
      <x:c r="O341" s="30" t="str">
        <x:v>Verified BAG address point via PDOK</x:v>
      </x:c>
      <x:c r="P341" s="30" t="str">
        <x:v>2026-08-15</x:v>
      </x:c>
      <x:c r="Q341" s="33" t="n">
        <x:f>IF(R341="","",ROUND(R341/0.9144,0))</x:f>
        <x:v>1023</x:v>
      </x:c>
      <x:c r="R341" s="33" t="n">
        <x:v>935</x:v>
      </x:c>
      <x:c r="S341" s="33" t="n">
        <x:v>9</x:v>
      </x:c>
      <x:c r="T341" s="33" t="n">
        <x:v>27</x:v>
      </x:c>
      <x:c r="U341" s="30" t="str">
        <x:v>Par-3 course</x:v>
      </x:c>
      <x:c r="V341" s="30"/>
      <x:c r="W341" s="30"/>
      <x:c r="X341" s="30"/>
      <x:c r="Y341" s="30" t="str">
        <x:v>https://www.gooisegolfclub.nl/</x:v>
      </x:c>
      <x:c r="Z341" s="30" t="b">
        <x:f>IF(AND(F341="Netherlands",ISNUMBER(L341),ISNUMBER(M341),L341&gt;=50.7,L341&lt;=53.7,M341&gt;=3.2,M341&lt;=7.3,AC341&lt;&gt;"Closed"),TRUE,FALSE)</x:f>
        <x:v>1</x:v>
      </x:c>
      <x:c r="AA341" s="30" t="b">
        <x:f>Z341</x:f>
        <x:v>1</x:v>
      </x:c>
      <x:c r="AB341" s="30" t="str">
        <x:f>IF(Z341,"verified_coordinate_and_open","not_map_ready")</x:f>
        <x:v>verified_coordinate_and_open</x:v>
      </x:c>
      <x:c r="AC341" s="30" t="str">
        <x:v>Open</x:v>
      </x:c>
      <x:c r="AD341" s="30" t="str">
        <x:v>Public — handicap 54 or lower</x:v>
      </x:c>
      <x:c r="AE341" s="31" t="b">
        <x:v>1</x:v>
      </x:c>
      <x:c r="AF341" s="31" t="b">
        <x:v>0</x:v>
      </x:c>
      <x:c r="AG341" s="30"/>
      <x:c r="AH341" s="30"/>
      <x:c r="AI341" s="30"/>
      <x:c r="AJ341" s="31" t="b">
        <x:v>0</x:v>
      </x:c>
      <x:c r="AK341" s="31" t="b">
        <x:v>0</x:v>
      </x:c>
      <x:c r="AL341" s="30" t="str">
        <x:v>Verified — national register and exact BAG address</x:v>
      </x:c>
      <x:c r="AM341" s="30" t="str">
        <x:v>https://www.golf.nl/de-baan-op/banenzoeker/overzicht</x:v>
      </x:c>
      <x:c r="AN341" s="30" t="str">
        <x:v>2026-08-15</x:v>
      </x:c>
      <x:c r="AO341" s="30" t="str">
        <x:v>+31 6-51965199</x:v>
      </x:c>
      <x:c r="AP341" s="30" t="str">
        <x:v>Current NGF/GOLF.NL listing: 9 holes, par 27, 935 metres. Listed as qualifying.</x:v>
      </x:c>
    </x:row>
    <x:row r="342">
      <x:c r="A342" s="30" t="str">
        <x:v>NL-C0223</x:v>
      </x:c>
      <x:c r="B342" s="30" t="str">
        <x:v>NL-0341</x:v>
      </x:c>
      <x:c r="C342" s="30" t="str">
        <x:v>Goyer Golf &amp; Country Club — Main Course</x:v>
      </x:c>
      <x:c r="D342" s="30" t="str">
        <x:v>Goyer Golf &amp; Country Club</x:v>
      </x:c>
      <x:c r="E342" s="30" t="str">
        <x:v>Main Course</x:v>
      </x:c>
      <x:c r="F342" s="30" t="str">
        <x:v>Netherlands</x:v>
      </x:c>
      <x:c r="G342" s="30" t="str">
        <x:v>Utrecht</x:v>
      </x:c>
      <x:c r="H342" s="30" t="str">
        <x:v>Eemnes</x:v>
      </x:c>
      <x:c r="I342" s="30" t="str">
        <x:v>Eemnes</x:v>
      </x:c>
      <x:c r="J342" s="30" t="str">
        <x:v>Beukenlaan 1 en 2</x:v>
      </x:c>
      <x:c r="K342" s="30" t="str">
        <x:v>3755 MP</x:v>
      </x:c>
      <x:c r="L342" s="32" t="n">
        <x:v>52.24001547</x:v>
      </x:c>
      <x:c r="M342" s="32" t="n">
        <x:v>5.23834907</x:v>
      </x:c>
      <x:c r="N342" s="30" t="str">
        <x:v>WGS84 / EPSG:4326</x:v>
      </x:c>
      <x:c r="O342" s="30" t="str">
        <x:v>Verified BAG address point via PDOK</x:v>
      </x:c>
      <x:c r="P342" s="30" t="str">
        <x:v>2026-08-15</x:v>
      </x:c>
      <x:c r="Q342" s="33" t="n">
        <x:f>IF(R342="","",ROUND(R342/0.9144,0))</x:f>
        <x:v>6821</x:v>
      </x:c>
      <x:c r="R342" s="33" t="n">
        <x:v>6237</x:v>
      </x:c>
      <x:c r="S342" s="33" t="n">
        <x:v>18</x:v>
      </x:c>
      <x:c r="T342" s="33" t="n">
        <x:v>72</x:v>
      </x:c>
      <x:c r="U342" s="30" t="str">
        <x:v>Full-length course</x:v>
      </x:c>
      <x:c r="V342" s="30"/>
      <x:c r="W342" s="30"/>
      <x:c r="X342" s="30"/>
      <x:c r="Y342" s="30" t="str">
        <x:v>https://www.goyer.nl/</x:v>
      </x:c>
      <x:c r="Z342" s="30" t="b">
        <x:f>IF(AND(F342="Netherlands",ISNUMBER(L342),ISNUMBER(M342),L342&gt;=50.7,L342&lt;=53.7,M342&gt;=3.2,M342&lt;=7.3,AC342&lt;&gt;"Closed"),TRUE,FALSE)</x:f>
        <x:v>1</x:v>
      </x:c>
      <x:c r="AA342" s="30" t="b">
        <x:f>Z342</x:f>
        <x:v>1</x:v>
      </x:c>
      <x:c r="AB342" s="30" t="str">
        <x:f>IF(Z342,"verified_coordinate_and_open","not_map_ready")</x:f>
        <x:v>verified_coordinate_and_open</x:v>
      </x:c>
      <x:c r="AC342" s="30" t="str">
        <x:v>Open</x:v>
      </x:c>
      <x:c r="AD342" s="30" t="str">
        <x:v>Public — handicap 24 or lower</x:v>
      </x:c>
      <x:c r="AE342" s="31" t="b">
        <x:v>1</x:v>
      </x:c>
      <x:c r="AF342" s="31" t="b">
        <x:v>0</x:v>
      </x:c>
      <x:c r="AG342" s="30"/>
      <x:c r="AH342" s="30"/>
      <x:c r="AI342" s="30"/>
      <x:c r="AJ342" s="31" t="b">
        <x:v>0</x:v>
      </x:c>
      <x:c r="AK342" s="31" t="b">
        <x:v>0</x:v>
      </x:c>
      <x:c r="AL342" s="30" t="str">
        <x:v>Verified — national register and exact BAG address</x:v>
      </x:c>
      <x:c r="AM342" s="30" t="str">
        <x:v>https://www.golf.nl/de-baan-op/banenzoeker/overzicht</x:v>
      </x:c>
      <x:c r="AN342" s="30" t="str">
        <x:v>2026-08-15</x:v>
      </x:c>
      <x:c r="AO342" s="30" t="str">
        <x:v>+31 35-5393111</x:v>
      </x:c>
      <x:c r="AP342" s="30" t="str">
        <x:v>Current NGF/GOLF.NL listing: 18 holes, par 72, 6237 metres. Combined from exact NGF-listed constituent nine-hole loops: 1ste negen (9 holes, par 36, 3058 m); 2de negen (9 holes, par 36, 3179 m) Listed as qualifying.</x:v>
      </x:c>
    </x:row>
    <x:row r="343">
      <x:c r="A343" s="30" t="str">
        <x:v>NL-C0224</x:v>
      </x:c>
      <x:c r="B343" s="30" t="str">
        <x:v>NL-0342</x:v>
      </x:c>
      <x:c r="C343" s="30" t="str">
        <x:v>Health Center Hoenderdaal</x:v>
      </x:c>
      <x:c r="D343" s="30" t="str">
        <x:v>Health Center Hoenderdaal</x:v>
      </x:c>
      <x:c r="E343" s="30" t="str">
        <x:v>Course</x:v>
      </x:c>
      <x:c r="F343" s="30" t="str">
        <x:v>Netherlands</x:v>
      </x:c>
      <x:c r="G343" s="30" t="str">
        <x:v>Utrecht</x:v>
      </x:c>
      <x:c r="H343" s="30" t="str">
        <x:v>Utrechtse Heuvelrug</x:v>
      </x:c>
      <x:c r="I343" s="30" t="str">
        <x:v>Driebergen-Rijsenburg</x:v>
      </x:c>
      <x:c r="J343" s="30" t="str">
        <x:v>Hoendersteeg 7</x:v>
      </x:c>
      <x:c r="K343" s="30" t="str">
        <x:v>3972 NA</x:v>
      </x:c>
      <x:c r="L343" s="32" t="n">
        <x:v>52.05569093</x:v>
      </x:c>
      <x:c r="M343" s="32" t="n">
        <x:v>5.26321401</x:v>
      </x:c>
      <x:c r="N343" s="30" t="str">
        <x:v>WGS84 / EPSG:4326</x:v>
      </x:c>
      <x:c r="O343" s="30" t="str">
        <x:v>Verified BAG address point via PDOK</x:v>
      </x:c>
      <x:c r="P343" s="30" t="str">
        <x:v>2026-08-15</x:v>
      </x:c>
      <x:c r="Q343" s="33" t="n">
        <x:f>IF(R343="","",ROUND(R343/0.9144,0))</x:f>
        <x:v>959</x:v>
      </x:c>
      <x:c r="R343" s="33" t="n">
        <x:v>877</x:v>
      </x:c>
      <x:c r="S343" s="33" t="n">
        <x:v>9</x:v>
      </x:c>
      <x:c r="T343" s="33" t="n">
        <x:v>27</x:v>
      </x:c>
      <x:c r="U343" s="30" t="str">
        <x:v>Par-3 course</x:v>
      </x:c>
      <x:c r="V343" s="30"/>
      <x:c r="W343" s="30"/>
      <x:c r="X343" s="30"/>
      <x:c r="Y343" s="30" t="str">
        <x:v>https://hoenderdaal.com/</x:v>
      </x:c>
      <x:c r="Z343" s="30" t="b">
        <x:f>IF(AND(F343="Netherlands",ISNUMBER(L343),ISNUMBER(M343),L343&gt;=50.7,L343&lt;=53.7,M343&gt;=3.2,M343&lt;=7.3,AC343&lt;&gt;"Closed"),TRUE,FALSE)</x:f>
        <x:v>1</x:v>
      </x:c>
      <x:c r="AA343" s="30" t="b">
        <x:f>Z343</x:f>
        <x:v>1</x:v>
      </x:c>
      <x:c r="AB343" s="30" t="str">
        <x:f>IF(Z343,"verified_coordinate_and_open","not_map_ready")</x:f>
        <x:v>verified_coordinate_and_open</x:v>
      </x:c>
      <x:c r="AC343" s="30" t="str">
        <x:v>Open</x:v>
      </x:c>
      <x:c r="AD343" s="30" t="str">
        <x:v>Public — NGF course permission</x:v>
      </x:c>
      <x:c r="AE343" s="31" t="b">
        <x:v>1</x:v>
      </x:c>
      <x:c r="AF343" s="31" t="b">
        <x:v>0</x:v>
      </x:c>
      <x:c r="AG343" s="30"/>
      <x:c r="AH343" s="30"/>
      <x:c r="AI343" s="30"/>
      <x:c r="AJ343" s="31" t="b">
        <x:v>0</x:v>
      </x:c>
      <x:c r="AK343" s="31" t="b">
        <x:v>0</x:v>
      </x:c>
      <x:c r="AL343" s="30" t="str">
        <x:v>Verified — national register and exact BAG address</x:v>
      </x:c>
      <x:c r="AM343" s="30" t="str">
        <x:v>https://www.golf.nl/de-baan-op/banenzoeker/overzicht</x:v>
      </x:c>
      <x:c r="AN343" s="30" t="str">
        <x:v>2026-08-15</x:v>
      </x:c>
      <x:c r="AO343" s="30" t="str">
        <x:v>+31 343-529333</x:v>
      </x:c>
      <x:c r="AP343" s="30" t="str">
        <x:v>Current NGF/GOLF.NL listing: 9 holes, par 27, 877 metres. Listed as qualifying.</x:v>
      </x:c>
    </x:row>
    <x:row r="344">
      <x:c r="A344" s="30" t="str">
        <x:v>NL-C0225</x:v>
      </x:c>
      <x:c r="B344" s="30" t="str">
        <x:v>NL-0343</x:v>
      </x:c>
      <x:c r="C344" s="30" t="str">
        <x:v>Pitch &amp; putt Buitenplaats Kameryck — Shortgolf / Pitch &amp; Putt Course</x:v>
      </x:c>
      <x:c r="D344" s="30" t="str">
        <x:v>Pitch &amp; putt Buitenplaats Kameryck</x:v>
      </x:c>
      <x:c r="E344" s="30" t="str">
        <x:v>Shortgolf / Pitch &amp; Putt Course</x:v>
      </x:c>
      <x:c r="F344" s="30" t="str">
        <x:v>Netherlands</x:v>
      </x:c>
      <x:c r="G344" s="30" t="str">
        <x:v>Utrecht</x:v>
      </x:c>
      <x:c r="H344" s="30" t="str">
        <x:v>Woerden</x:v>
      </x:c>
      <x:c r="I344" s="30" t="str">
        <x:v>Kamerik</x:v>
      </x:c>
      <x:c r="J344" s="30" t="str">
        <x:v>Oortjespad 3</x:v>
      </x:c>
      <x:c r="K344" s="30" t="str">
        <x:v>3471 HD</x:v>
      </x:c>
      <x:c r="L344" s="32" t="n">
        <x:v>52.13047646</x:v>
      </x:c>
      <x:c r="M344" s="32" t="n">
        <x:v>4.90615327</x:v>
      </x:c>
      <x:c r="N344" s="30" t="str">
        <x:v>WGS84 / EPSG:4326</x:v>
      </x:c>
      <x:c r="O344" s="30" t="str">
        <x:v>Verified BAG address point via PDOK</x:v>
      </x:c>
      <x:c r="P344" s="30" t="str">
        <x:v>2026-08-15</x:v>
      </x:c>
      <x:c r="Q344" s="33" t="n">
        <x:f>IF(R344="","",ROUND(R344/0.9144,0))</x:f>
        <x:v>984</x:v>
      </x:c>
      <x:c r="R344" s="33" t="n">
        <x:v>900</x:v>
      </x:c>
      <x:c r="S344" s="33" t="n">
        <x:v>18</x:v>
      </x:c>
      <x:c r="T344" s="33" t="n">
        <x:v>54</x:v>
      </x:c>
      <x:c r="U344" s="30" t="str">
        <x:v>Shortgolf / Pitch &amp; Putt</x:v>
      </x:c>
      <x:c r="V344" s="30"/>
      <x:c r="W344" s="30"/>
      <x:c r="X344" s="30"/>
      <x:c r="Y344" s="30" t="str">
        <x:v>https://kameryck.nl/</x:v>
      </x:c>
      <x:c r="Z344" s="30" t="b">
        <x:f>IF(AND(F344="Netherlands",ISNUMBER(L344),ISNUMBER(M344),L344&gt;=50.7,L344&lt;=53.7,M344&gt;=3.2,M344&lt;=7.3,AC344&lt;&gt;"Closed"),TRUE,FALSE)</x:f>
        <x:v>1</x:v>
      </x:c>
      <x:c r="AA344" s="30" t="b">
        <x:f>Z344</x:f>
        <x:v>1</x:v>
      </x:c>
      <x:c r="AB344" s="30" t="str">
        <x:f>IF(Z344,"verified_coordinate_and_open","not_map_ready")</x:f>
        <x:v>verified_coordinate_and_open</x:v>
      </x:c>
      <x:c r="AC344" s="30" t="str">
        <x:v>Open</x:v>
      </x:c>
      <x:c r="AD344" s="30" t="str">
        <x:v>Public — no playing requirement</x:v>
      </x:c>
      <x:c r="AE344" s="31" t="b">
        <x:v>0</x:v>
      </x:c>
      <x:c r="AF344" s="31" t="b">
        <x:v>0</x:v>
      </x:c>
      <x:c r="AG344" s="30"/>
      <x:c r="AH344" s="30"/>
      <x:c r="AI344" s="30"/>
      <x:c r="AJ344" s="31" t="b">
        <x:v>0</x:v>
      </x:c>
      <x:c r="AK344" s="31" t="b">
        <x:v>0</x:v>
      </x:c>
      <x:c r="AL344" s="30" t="str">
        <x:v>Verified — national register and exact BAG address</x:v>
      </x:c>
      <x:c r="AM344" s="30" t="str">
        <x:v>https://www.golf.nl/de-baan-op/banenzoeker/overzicht</x:v>
      </x:c>
      <x:c r="AN344" s="30" t="str">
        <x:v>2026-08-15</x:v>
      </x:c>
      <x:c r="AO344" s="30" t="str">
        <x:v>+31 348-400771</x:v>
      </x:c>
      <x:c r="AP344" s="30" t="str">
        <x:v>Current NGF/GOLF.NL listing: 18 holes, par 54, 900 metres. Combined from exact NGF-listed constituent nine-hole loops: 1ste negen (9 holes, par 27, 450 m); 2de negen (9 holes, par 27, 450 m) Listed as non-qualifying.</x:v>
      </x:c>
    </x:row>
    <x:row r="345">
      <x:c r="A345" s="30" t="str">
        <x:v>NL-C0226</x:v>
      </x:c>
      <x:c r="B345" s="30" t="str">
        <x:v>NL-0344</x:v>
      </x:c>
      <x:c r="C345" s="30" t="str">
        <x:v>ShortGolf Utrecht — Par-3 Course</x:v>
      </x:c>
      <x:c r="D345" s="30" t="str">
        <x:v>ShortGolf Utrecht</x:v>
      </x:c>
      <x:c r="E345" s="30" t="str">
        <x:v>Par-3 Course</x:v>
      </x:c>
      <x:c r="F345" s="30" t="str">
        <x:v>Netherlands</x:v>
      </x:c>
      <x:c r="G345" s="30" t="str">
        <x:v>Utrecht</x:v>
      </x:c>
      <x:c r="H345" s="30" t="str">
        <x:v>Nieuwegein</x:v>
      </x:c>
      <x:c r="I345" s="30" t="str">
        <x:v>Nieuwegein</x:v>
      </x:c>
      <x:c r="J345" s="30" t="str">
        <x:v>Sportpark Galecop 10</x:v>
      </x:c>
      <x:c r="K345" s="30" t="str">
        <x:v>3438 HX</x:v>
      </x:c>
      <x:c r="L345" s="32" t="n">
        <x:v>52.05806473</x:v>
      </x:c>
      <x:c r="M345" s="32" t="n">
        <x:v>5.09257331</x:v>
      </x:c>
      <x:c r="N345" s="30" t="str">
        <x:v>WGS84 / EPSG:4326</x:v>
      </x:c>
      <x:c r="O345" s="30" t="str">
        <x:v>Verified BAG address point via PDOK</x:v>
      </x:c>
      <x:c r="P345" s="30" t="str">
        <x:v>2026-08-15</x:v>
      </x:c>
      <x:c r="Q345" s="33" t="n">
        <x:f>IF(R345="","",ROUND(R345/0.9144,0))</x:f>
        <x:v>771</x:v>
      </x:c>
      <x:c r="R345" s="33" t="n">
        <x:v>705</x:v>
      </x:c>
      <x:c r="S345" s="33" t="n">
        <x:v>9</x:v>
      </x:c>
      <x:c r="T345" s="33" t="n">
        <x:v>27</x:v>
      </x:c>
      <x:c r="U345" s="30" t="str">
        <x:v>Par-3 course</x:v>
      </x:c>
      <x:c r="V345" s="30"/>
      <x:c r="W345" s="30"/>
      <x:c r="X345" s="30"/>
      <x:c r="Y345" s="30" t="str">
        <x:v>https://www.hollandschegolfclub.nl/golfpark/shortgolf-utrecht/</x:v>
      </x:c>
      <x:c r="Z345" s="30" t="b">
        <x:f>IF(AND(F345="Netherlands",ISNUMBER(L345),ISNUMBER(M345),L345&gt;=50.7,L345&lt;=53.7,M345&gt;=3.2,M345&lt;=7.3,AC345&lt;&gt;"Closed"),TRUE,FALSE)</x:f>
        <x:v>1</x:v>
      </x:c>
      <x:c r="AA345" s="30" t="b">
        <x:f>Z345</x:f>
        <x:v>1</x:v>
      </x:c>
      <x:c r="AB345" s="30" t="str">
        <x:f>IF(Z345,"verified_coordinate_and_open","not_map_ready")</x:f>
        <x:v>verified_coordinate_and_open</x:v>
      </x:c>
      <x:c r="AC345" s="30" t="str">
        <x:v>Open</x:v>
      </x:c>
      <x:c r="AD345" s="30" t="str">
        <x:v>Public — no playing requirement</x:v>
      </x:c>
      <x:c r="AE345" s="31" t="b">
        <x:v>1</x:v>
      </x:c>
      <x:c r="AF345" s="31" t="b">
        <x:v>0</x:v>
      </x:c>
      <x:c r="AG345" s="30"/>
      <x:c r="AH345" s="30"/>
      <x:c r="AI345" s="30"/>
      <x:c r="AJ345" s="31" t="b">
        <x:v>0</x:v>
      </x:c>
      <x:c r="AK345" s="31" t="b">
        <x:v>0</x:v>
      </x:c>
      <x:c r="AL345" s="30" t="str">
        <x:v>Verified — national register and exact BAG address</x:v>
      </x:c>
      <x:c r="AM345" s="30" t="str">
        <x:v>https://www.golf.nl/de-baan-op/banenzoeker/overzicht</x:v>
      </x:c>
      <x:c r="AN345" s="30" t="str">
        <x:v>2026-08-15</x:v>
      </x:c>
      <x:c r="AO345" s="30" t="str">
        <x:v>+31 30-2083005</x:v>
      </x:c>
      <x:c r="AP345" s="30" t="str">
        <x:v>Current NGF/GOLF.NL listing: 9 holes, par 27, 705 metres. Listed as qualifying.</x:v>
      </x:c>
    </x:row>
    <x:row r="346">
      <x:c r="A346" s="30" t="str">
        <x:v>NL-C0226</x:v>
      </x:c>
      <x:c r="B346" s="30" t="str">
        <x:v>NL-0345</x:v>
      </x:c>
      <x:c r="C346" s="30" t="str">
        <x:v>ShortGolf Utrecht — Par-3/4 Course</x:v>
      </x:c>
      <x:c r="D346" s="30" t="str">
        <x:v>ShortGolf Utrecht</x:v>
      </x:c>
      <x:c r="E346" s="30" t="str">
        <x:v>Par-3/4 Course</x:v>
      </x:c>
      <x:c r="F346" s="30" t="str">
        <x:v>Netherlands</x:v>
      </x:c>
      <x:c r="G346" s="30" t="str">
        <x:v>Utrecht</x:v>
      </x:c>
      <x:c r="H346" s="30" t="str">
        <x:v>Nieuwegein</x:v>
      </x:c>
      <x:c r="I346" s="30" t="str">
        <x:v>Nieuwegein</x:v>
      </x:c>
      <x:c r="J346" s="30" t="str">
        <x:v>Sportpark Galecop 10</x:v>
      </x:c>
      <x:c r="K346" s="30" t="str">
        <x:v>3438 HX</x:v>
      </x:c>
      <x:c r="L346" s="32" t="n">
        <x:v>52.05806473</x:v>
      </x:c>
      <x:c r="M346" s="32" t="n">
        <x:v>5.09257331</x:v>
      </x:c>
      <x:c r="N346" s="30" t="str">
        <x:v>WGS84 / EPSG:4326</x:v>
      </x:c>
      <x:c r="O346" s="30" t="str">
        <x:v>Verified BAG address point via PDOK</x:v>
      </x:c>
      <x:c r="P346" s="30" t="str">
        <x:v>2026-08-15</x:v>
      </x:c>
      <x:c r="Q346" s="33" t="n">
        <x:f>IF(R346="","",ROUND(R346/0.9144,0))</x:f>
        <x:v>1202</x:v>
      </x:c>
      <x:c r="R346" s="33" t="n">
        <x:v>1099</x:v>
      </x:c>
      <x:c r="S346" s="33" t="n">
        <x:v>9</x:v>
      </x:c>
      <x:c r="T346" s="33" t="n">
        <x:v>29</x:v>
      </x:c>
      <x:c r="U346" s="30" t="str">
        <x:v>Par-3/4 course</x:v>
      </x:c>
      <x:c r="V346" s="30"/>
      <x:c r="W346" s="30"/>
      <x:c r="X346" s="30"/>
      <x:c r="Y346" s="30" t="str">
        <x:v>https://www.hollandschegolfclub.nl/golfpark/shortgolf-utrecht/</x:v>
      </x:c>
      <x:c r="Z346" s="30" t="b">
        <x:f>IF(AND(F346="Netherlands",ISNUMBER(L346),ISNUMBER(M346),L346&gt;=50.7,L346&lt;=53.7,M346&gt;=3.2,M346&lt;=7.3,AC346&lt;&gt;"Closed"),TRUE,FALSE)</x:f>
        <x:v>1</x:v>
      </x:c>
      <x:c r="AA346" s="30" t="b">
        <x:f>Z346</x:f>
        <x:v>1</x:v>
      </x:c>
      <x:c r="AB346" s="30" t="str">
        <x:f>IF(Z346,"verified_coordinate_and_open","not_map_ready")</x:f>
        <x:v>verified_coordinate_and_open</x:v>
      </x:c>
      <x:c r="AC346" s="30" t="str">
        <x:v>Open</x:v>
      </x:c>
      <x:c r="AD346" s="30" t="str">
        <x:v>Public — no playing requirement</x:v>
      </x:c>
      <x:c r="AE346" s="31" t="b">
        <x:v>1</x:v>
      </x:c>
      <x:c r="AF346" s="31" t="b">
        <x:v>0</x:v>
      </x:c>
      <x:c r="AG346" s="30"/>
      <x:c r="AH346" s="30"/>
      <x:c r="AI346" s="30"/>
      <x:c r="AJ346" s="31" t="b">
        <x:v>0</x:v>
      </x:c>
      <x:c r="AK346" s="31" t="b">
        <x:v>0</x:v>
      </x:c>
      <x:c r="AL346" s="30" t="str">
        <x:v>Verified — national register and exact BAG address</x:v>
      </x:c>
      <x:c r="AM346" s="30" t="str">
        <x:v>https://www.golf.nl/de-baan-op/banenzoeker/overzicht</x:v>
      </x:c>
      <x:c r="AN346" s="30" t="str">
        <x:v>2026-08-15</x:v>
      </x:c>
      <x:c r="AO346" s="30" t="str">
        <x:v>+31 30-2083005</x:v>
      </x:c>
      <x:c r="AP346" s="30" t="str">
        <x:v>Current NGF/GOLF.NL listing: 9 holes, par 29, 1099 metres. Listed as qualifying.</x:v>
      </x:c>
    </x:row>
    <x:row r="347">
      <x:c r="A347" s="30" t="str">
        <x:v>NL-C0227</x:v>
      </x:c>
      <x:c r="B347" s="30" t="str">
        <x:v>NL-0346</x:v>
      </x:c>
      <x:c r="C347" s="30" t="str">
        <x:v>Utrechtse Golfclub Amelisweerd — Main Course</x:v>
      </x:c>
      <x:c r="D347" s="30" t="str">
        <x:v>Utrechtse Golfclub Amelisweerd</x:v>
      </x:c>
      <x:c r="E347" s="30" t="str">
        <x:v>Main Course</x:v>
      </x:c>
      <x:c r="F347" s="30" t="str">
        <x:v>Netherlands</x:v>
      </x:c>
      <x:c r="G347" s="30" t="str">
        <x:v>Utrecht</x:v>
      </x:c>
      <x:c r="H347" s="30" t="str">
        <x:v>Utrecht</x:v>
      </x:c>
      <x:c r="I347" s="30" t="str">
        <x:v>Utrecht</x:v>
      </x:c>
      <x:c r="J347" s="30" t="str">
        <x:v>Mereveldseweg 7</x:v>
      </x:c>
      <x:c r="K347" s="30" t="str">
        <x:v>3585 LH</x:v>
      </x:c>
      <x:c r="L347" s="32" t="n">
        <x:v>52.06305251</x:v>
      </x:c>
      <x:c r="M347" s="32" t="n">
        <x:v>5.15083609</x:v>
      </x:c>
      <x:c r="N347" s="30" t="str">
        <x:v>WGS84 / EPSG:4326</x:v>
      </x:c>
      <x:c r="O347" s="30" t="str">
        <x:v>Verified BAG address point via PDOK</x:v>
      </x:c>
      <x:c r="P347" s="30" t="str">
        <x:v>2026-08-15</x:v>
      </x:c>
      <x:c r="Q347" s="33" t="n">
        <x:f>IF(R347="","",ROUND(R347/0.9144,0))</x:f>
        <x:v>6609</x:v>
      </x:c>
      <x:c r="R347" s="33" t="n">
        <x:v>6043</x:v>
      </x:c>
      <x:c r="S347" s="33" t="n">
        <x:v>18</x:v>
      </x:c>
      <x:c r="T347" s="33" t="n">
        <x:v>70</x:v>
      </x:c>
      <x:c r="U347" s="30" t="str">
        <x:v>Full-length course</x:v>
      </x:c>
      <x:c r="V347" s="30"/>
      <x:c r="W347" s="30"/>
      <x:c r="X347" s="30"/>
      <x:c r="Y347" s="30" t="str">
        <x:v>https://amelisweerd.nl/</x:v>
      </x:c>
      <x:c r="Z347" s="30" t="b">
        <x:f>IF(AND(F347="Netherlands",ISNUMBER(L347),ISNUMBER(M347),L347&gt;=50.7,L347&lt;=53.7,M347&gt;=3.2,M347&lt;=7.3,AC347&lt;&gt;"Closed"),TRUE,FALSE)</x:f>
        <x:v>1</x:v>
      </x:c>
      <x:c r="AA347" s="30" t="b">
        <x:f>Z347</x:f>
        <x:v>1</x:v>
      </x:c>
      <x:c r="AB347" s="30" t="str">
        <x:f>IF(Z347,"verified_coordinate_and_open","not_map_ready")</x:f>
        <x:v>verified_coordinate_and_open</x:v>
      </x:c>
      <x:c r="AC347" s="30" t="str">
        <x:v>Open</x:v>
      </x:c>
      <x:c r="AD347" s="30" t="str">
        <x:v>Public — handicap 54 or lower</x:v>
      </x:c>
      <x:c r="AE347" s="31" t="b">
        <x:v>1</x:v>
      </x:c>
      <x:c r="AF347" s="31" t="b">
        <x:v>0</x:v>
      </x:c>
      <x:c r="AG347" s="30"/>
      <x:c r="AH347" s="30"/>
      <x:c r="AI347" s="30"/>
      <x:c r="AJ347" s="31" t="b">
        <x:v>0</x:v>
      </x:c>
      <x:c r="AK347" s="31" t="b">
        <x:v>0</x:v>
      </x:c>
      <x:c r="AL347" s="30" t="str">
        <x:v>Verified — national register and exact BAG address</x:v>
      </x:c>
      <x:c r="AM347" s="30" t="str">
        <x:v>https://www.golf.nl/de-baan-op/banenzoeker/overzicht</x:v>
      </x:c>
      <x:c r="AN347" s="30" t="str">
        <x:v>2026-08-15</x:v>
      </x:c>
      <x:c r="AO347" s="30" t="str">
        <x:v>+31 30-2546648</x:v>
      </x:c>
      <x:c r="AP347" s="30" t="str">
        <x:v>Current NGF/GOLF.NL listing: 18 holes, par 70, 6043 metres. Combined from exact NGF-listed constituent nine-hole loops: 1ste negen (9 holes, par 34, 2855 m); 2de negen (9 holes, par 36, 3188 m) Listed as qualifying.</x:v>
      </x:c>
    </x:row>
    <x:row r="348">
      <x:c r="A348" s="30" t="str">
        <x:v>NL-C0227</x:v>
      </x:c>
      <x:c r="B348" s="30" t="str">
        <x:v>NL-0347</x:v>
      </x:c>
      <x:c r="C348" s="30" t="str">
        <x:v>Utrechtse Golfclub Amelisweerd — Par-3 Course</x:v>
      </x:c>
      <x:c r="D348" s="30" t="str">
        <x:v>Utrechtse Golfclub Amelisweerd</x:v>
      </x:c>
      <x:c r="E348" s="30" t="str">
        <x:v>Par-3 Course</x:v>
      </x:c>
      <x:c r="F348" s="30" t="str">
        <x:v>Netherlands</x:v>
      </x:c>
      <x:c r="G348" s="30" t="str">
        <x:v>Utrecht</x:v>
      </x:c>
      <x:c r="H348" s="30" t="str">
        <x:v>Utrecht</x:v>
      </x:c>
      <x:c r="I348" s="30" t="str">
        <x:v>Utrecht</x:v>
      </x:c>
      <x:c r="J348" s="30" t="str">
        <x:v>Mereveldseweg 7</x:v>
      </x:c>
      <x:c r="K348" s="30" t="str">
        <x:v>3585 LH</x:v>
      </x:c>
      <x:c r="L348" s="32" t="n">
        <x:v>52.06305251</x:v>
      </x:c>
      <x:c r="M348" s="32" t="n">
        <x:v>5.15083609</x:v>
      </x:c>
      <x:c r="N348" s="30" t="str">
        <x:v>WGS84 / EPSG:4326</x:v>
      </x:c>
      <x:c r="O348" s="30" t="str">
        <x:v>Verified BAG address point via PDOK</x:v>
      </x:c>
      <x:c r="P348" s="30" t="str">
        <x:v>2026-08-15</x:v>
      </x:c>
      <x:c r="Q348" s="33" t="n">
        <x:f>IF(R348="","",ROUND(R348/0.9144,0))</x:f>
        <x:v>788</x:v>
      </x:c>
      <x:c r="R348" s="33" t="n">
        <x:v>721</x:v>
      </x:c>
      <x:c r="S348" s="33" t="n">
        <x:v>9</x:v>
      </x:c>
      <x:c r="T348" s="33" t="n">
        <x:v>27</x:v>
      </x:c>
      <x:c r="U348" s="30" t="str">
        <x:v>Par-3 course</x:v>
      </x:c>
      <x:c r="V348" s="30"/>
      <x:c r="W348" s="30"/>
      <x:c r="X348" s="30"/>
      <x:c r="Y348" s="30" t="str">
        <x:v>https://amelisweerd.nl/</x:v>
      </x:c>
      <x:c r="Z348" s="30" t="b">
        <x:f>IF(AND(F348="Netherlands",ISNUMBER(L348),ISNUMBER(M348),L348&gt;=50.7,L348&lt;=53.7,M348&gt;=3.2,M348&lt;=7.3,AC348&lt;&gt;"Closed"),TRUE,FALSE)</x:f>
        <x:v>1</x:v>
      </x:c>
      <x:c r="AA348" s="30" t="b">
        <x:f>Z348</x:f>
        <x:v>1</x:v>
      </x:c>
      <x:c r="AB348" s="30" t="str">
        <x:f>IF(Z348,"verified_coordinate_and_open","not_map_ready")</x:f>
        <x:v>verified_coordinate_and_open</x:v>
      </x:c>
      <x:c r="AC348" s="30" t="str">
        <x:v>Open</x:v>
      </x:c>
      <x:c r="AD348" s="30" t="str">
        <x:v>Public — NGF course permission</x:v>
      </x:c>
      <x:c r="AE348" s="31" t="b">
        <x:v>1</x:v>
      </x:c>
      <x:c r="AF348" s="31" t="b">
        <x:v>0</x:v>
      </x:c>
      <x:c r="AG348" s="30"/>
      <x:c r="AH348" s="30"/>
      <x:c r="AI348" s="30"/>
      <x:c r="AJ348" s="31" t="b">
        <x:v>0</x:v>
      </x:c>
      <x:c r="AK348" s="31" t="b">
        <x:v>0</x:v>
      </x:c>
      <x:c r="AL348" s="30" t="str">
        <x:v>Verified — national register and exact BAG address</x:v>
      </x:c>
      <x:c r="AM348" s="30" t="str">
        <x:v>https://www.golf.nl/de-baan-op/banenzoeker/overzicht</x:v>
      </x:c>
      <x:c r="AN348" s="30" t="str">
        <x:v>2026-08-15</x:v>
      </x:c>
      <x:c r="AO348" s="30" t="str">
        <x:v>+31 30-2546648</x:v>
      </x:c>
      <x:c r="AP348" s="30" t="str">
        <x:v>Current NGF/GOLF.NL listing: 9 holes, par 27, 721 metres. Listed as qualifying.</x:v>
      </x:c>
    </x:row>
    <x:row r="349">
      <x:c r="A349" s="30" t="str">
        <x:v>NL-C0228</x:v>
      </x:c>
      <x:c r="B349" s="30" t="str">
        <x:v>NL-0348</x:v>
      </x:c>
      <x:c r="C349" s="30" t="str">
        <x:v>Utrechtse Golfclub De Pan — Main Course</x:v>
      </x:c>
      <x:c r="D349" s="30" t="str">
        <x:v>Utrechtse Golfclub De Pan</x:v>
      </x:c>
      <x:c r="E349" s="30" t="str">
        <x:v>Main Course</x:v>
      </x:c>
      <x:c r="F349" s="30" t="str">
        <x:v>Netherlands</x:v>
      </x:c>
      <x:c r="G349" s="30" t="str">
        <x:v>Utrecht</x:v>
      </x:c>
      <x:c r="H349" s="30" t="str">
        <x:v>Zeist</x:v>
      </x:c>
      <x:c r="I349" s="30" t="str">
        <x:v>Bosch en Duin</x:v>
      </x:c>
      <x:c r="J349" s="30" t="str">
        <x:v>Amersfoortseweg 1</x:v>
      </x:c>
      <x:c r="K349" s="30" t="str">
        <x:v>3735 LJ</x:v>
      </x:c>
      <x:c r="L349" s="32" t="n">
        <x:v>52.10834569</x:v>
      </x:c>
      <x:c r="M349" s="32" t="n">
        <x:v>5.22792808</x:v>
      </x:c>
      <x:c r="N349" s="30" t="str">
        <x:v>WGS84 / EPSG:4326</x:v>
      </x:c>
      <x:c r="O349" s="30" t="str">
        <x:v>Verified BAG address point via PDOK</x:v>
      </x:c>
      <x:c r="P349" s="30" t="str">
        <x:v>2026-08-15</x:v>
      </x:c>
      <x:c r="Q349" s="33" t="n">
        <x:f>IF(R349="","",ROUND(R349/0.9144,0))</x:f>
        <x:v>6668</x:v>
      </x:c>
      <x:c r="R349" s="33" t="n">
        <x:v>6097</x:v>
      </x:c>
      <x:c r="S349" s="33" t="n">
        <x:v>18</x:v>
      </x:c>
      <x:c r="T349" s="33" t="n">
        <x:v>72</x:v>
      </x:c>
      <x:c r="U349" s="30" t="str">
        <x:v>Full-length course</x:v>
      </x:c>
      <x:c r="V349" s="30"/>
      <x:c r="W349" s="30"/>
      <x:c r="X349" s="30"/>
      <x:c r="Y349" s="30" t="str">
        <x:v>https://ugc-depan.nl/</x:v>
      </x:c>
      <x:c r="Z349" s="30" t="b">
        <x:f>IF(AND(F349="Netherlands",ISNUMBER(L349),ISNUMBER(M349),L349&gt;=50.7,L349&lt;=53.7,M349&gt;=3.2,M349&lt;=7.3,AC349&lt;&gt;"Closed"),TRUE,FALSE)</x:f>
        <x:v>1</x:v>
      </x:c>
      <x:c r="AA349" s="30" t="b">
        <x:f>Z349</x:f>
        <x:v>1</x:v>
      </x:c>
      <x:c r="AB349" s="30" t="str">
        <x:f>IF(Z349,"verified_coordinate_and_open","not_map_ready")</x:f>
        <x:v>verified_coordinate_and_open</x:v>
      </x:c>
      <x:c r="AC349" s="30" t="str">
        <x:v>Open</x:v>
      </x:c>
      <x:c r="AD349" s="30" t="str">
        <x:v>Public — handicap 24 or lower</x:v>
      </x:c>
      <x:c r="AE349" s="31" t="b">
        <x:v>1</x:v>
      </x:c>
      <x:c r="AF349" s="31" t="b">
        <x:v>0</x:v>
      </x:c>
      <x:c r="AG349" s="30"/>
      <x:c r="AH349" s="30"/>
      <x:c r="AI349" s="30"/>
      <x:c r="AJ349" s="31" t="b">
        <x:v>0</x:v>
      </x:c>
      <x:c r="AK349" s="31" t="b">
        <x:v>0</x:v>
      </x:c>
      <x:c r="AL349" s="30" t="str">
        <x:v>Verified — national register and exact BAG address</x:v>
      </x:c>
      <x:c r="AM349" s="30" t="str">
        <x:v>https://www.golf.nl/de-baan-op/banenzoeker/overzicht</x:v>
      </x:c>
      <x:c r="AN349" s="30" t="str">
        <x:v>2026-08-15</x:v>
      </x:c>
      <x:c r="AO349" s="30" t="str">
        <x:v>+31 30-6969120</x:v>
      </x:c>
      <x:c r="AP349" s="30" t="str">
        <x:v>Current NGF/GOLF.NL listing: 18 holes, par 72, 6097 metres. Combined from exact NGF-listed constituent nine-hole loops: 1ste negen (9 holes, par 36, 3129 m); 2de negen (9 holes, par 36, 2968 m) Listed as qualifying.</x:v>
      </x:c>
    </x:row>
    <x:row r="350">
      <x:c r="A350" s="30" t="str">
        <x:v>NL-C0229</x:v>
      </x:c>
      <x:c r="B350" s="30" t="str">
        <x:v>NL-0349</x:v>
      </x:c>
      <x:c r="C350" s="30" t="str">
        <x:v>De Goese Golf — Main Course</x:v>
      </x:c>
      <x:c r="D350" s="30" t="str">
        <x:v>De Goese Golf</x:v>
      </x:c>
      <x:c r="E350" s="30" t="str">
        <x:v>Main Course</x:v>
      </x:c>
      <x:c r="F350" s="30" t="str">
        <x:v>Netherlands</x:v>
      </x:c>
      <x:c r="G350" s="30" t="str">
        <x:v>Zeeland</x:v>
      </x:c>
      <x:c r="H350" s="30" t="str">
        <x:v>Goes</x:v>
      </x:c>
      <x:c r="I350" s="30" t="str">
        <x:v>Goes</x:v>
      </x:c>
      <x:c r="J350" s="30" t="str">
        <x:v>Krukweg 52</x:v>
      </x:c>
      <x:c r="K350" s="30" t="str">
        <x:v>4465 BH</x:v>
      </x:c>
      <x:c r="L350" s="32" t="n">
        <x:v>51.52031258</x:v>
      </x:c>
      <x:c r="M350" s="32" t="n">
        <x:v>3.91140866</x:v>
      </x:c>
      <x:c r="N350" s="30" t="str">
        <x:v>WGS84 / EPSG:4326</x:v>
      </x:c>
      <x:c r="O350" s="30" t="str">
        <x:v>Verified BAG address point via PDOK</x:v>
      </x:c>
      <x:c r="P350" s="30" t="str">
        <x:v>2026-08-15</x:v>
      </x:c>
      <x:c r="Q350" s="33" t="n">
        <x:f>IF(R350="","",ROUND(R350/0.9144,0))</x:f>
        <x:v>6855</x:v>
      </x:c>
      <x:c r="R350" s="33" t="n">
        <x:v>6268</x:v>
      </x:c>
      <x:c r="S350" s="33" t="n">
        <x:v>18</x:v>
      </x:c>
      <x:c r="T350" s="33" t="n">
        <x:v>72</x:v>
      </x:c>
      <x:c r="U350" s="30" t="str">
        <x:v>Full-length course</x:v>
      </x:c>
      <x:c r="V350" s="30"/>
      <x:c r="W350" s="30"/>
      <x:c r="X350" s="30"/>
      <x:c r="Y350" s="30" t="str">
        <x:v>https://goesegolf.nl/</x:v>
      </x:c>
      <x:c r="Z350" s="30" t="b">
        <x:f>IF(AND(F350="Netherlands",ISNUMBER(L350),ISNUMBER(M350),L350&gt;=50.7,L350&lt;=53.7,M350&gt;=3.2,M350&lt;=7.3,AC350&lt;&gt;"Closed"),TRUE,FALSE)</x:f>
        <x:v>1</x:v>
      </x:c>
      <x:c r="AA350" s="30" t="b">
        <x:f>Z350</x:f>
        <x:v>1</x:v>
      </x:c>
      <x:c r="AB350" s="30" t="str">
        <x:f>IF(Z350,"verified_coordinate_and_open","not_map_ready")</x:f>
        <x:v>verified_coordinate_and_open</x:v>
      </x:c>
      <x:c r="AC350" s="30" t="str">
        <x:v>Open</x:v>
      </x:c>
      <x:c r="AD350" s="30" t="str">
        <x:v>Public — handicap 54 or lower</x:v>
      </x:c>
      <x:c r="AE350" s="31" t="b">
        <x:v>1</x:v>
      </x:c>
      <x:c r="AF350" s="31" t="b">
        <x:v>0</x:v>
      </x:c>
      <x:c r="AG350" s="30"/>
      <x:c r="AH350" s="30"/>
      <x:c r="AI350" s="30"/>
      <x:c r="AJ350" s="31" t="b">
        <x:v>0</x:v>
      </x:c>
      <x:c r="AK350" s="31" t="b">
        <x:v>0</x:v>
      </x:c>
      <x:c r="AL350" s="30" t="str">
        <x:v>Verified — national register and exact BAG address</x:v>
      </x:c>
      <x:c r="AM350" s="30" t="str">
        <x:v>https://www.golf.nl/de-baan-op/banenzoeker/overzicht</x:v>
      </x:c>
      <x:c r="AN350" s="30" t="str">
        <x:v>2026-08-15</x:v>
      </x:c>
      <x:c r="AO350" s="30" t="str">
        <x:v>+31 113-229557</x:v>
      </x:c>
      <x:c r="AP350" s="30" t="str">
        <x:v>Current NGF/GOLF.NL listing: 18 holes, par 72, 6268 metres. Combined from exact NGF-listed constituent nine-hole loops: 1ste negen (9 holes, par 36, 3119 m); 2de negen (9 holes, par 36, 3149 m) Listed as qualifying.</x:v>
      </x:c>
    </x:row>
    <x:row r="351">
      <x:c r="A351" s="30" t="str">
        <x:v>NL-C0229</x:v>
      </x:c>
      <x:c r="B351" s="30" t="str">
        <x:v>NL-0350</x:v>
      </x:c>
      <x:c r="C351" s="30" t="str">
        <x:v>De Goese Golf — Par-3 Course</x:v>
      </x:c>
      <x:c r="D351" s="30" t="str">
        <x:v>De Goese Golf</x:v>
      </x:c>
      <x:c r="E351" s="30" t="str">
        <x:v>Par-3 Course</x:v>
      </x:c>
      <x:c r="F351" s="30" t="str">
        <x:v>Netherlands</x:v>
      </x:c>
      <x:c r="G351" s="30" t="str">
        <x:v>Zeeland</x:v>
      </x:c>
      <x:c r="H351" s="30" t="str">
        <x:v>Goes</x:v>
      </x:c>
      <x:c r="I351" s="30" t="str">
        <x:v>Goes</x:v>
      </x:c>
      <x:c r="J351" s="30" t="str">
        <x:v>Krukweg 52</x:v>
      </x:c>
      <x:c r="K351" s="30" t="str">
        <x:v>4465 BH</x:v>
      </x:c>
      <x:c r="L351" s="32" t="n">
        <x:v>51.52031258</x:v>
      </x:c>
      <x:c r="M351" s="32" t="n">
        <x:v>3.91140866</x:v>
      </x:c>
      <x:c r="N351" s="30" t="str">
        <x:v>WGS84 / EPSG:4326</x:v>
      </x:c>
      <x:c r="O351" s="30" t="str">
        <x:v>Verified BAG address point via PDOK</x:v>
      </x:c>
      <x:c r="P351" s="30" t="str">
        <x:v>2026-08-15</x:v>
      </x:c>
      <x:c r="Q351" s="33" t="n">
        <x:f>IF(R351="","",ROUND(R351/0.9144,0))</x:f>
        <x:v>793</x:v>
      </x:c>
      <x:c r="R351" s="33" t="n">
        <x:v>725</x:v>
      </x:c>
      <x:c r="S351" s="33" t="n">
        <x:v>9</x:v>
      </x:c>
      <x:c r="T351" s="33" t="n">
        <x:v>27</x:v>
      </x:c>
      <x:c r="U351" s="30" t="str">
        <x:v>Par-3 course</x:v>
      </x:c>
      <x:c r="V351" s="30"/>
      <x:c r="W351" s="30"/>
      <x:c r="X351" s="30"/>
      <x:c r="Y351" s="30" t="str">
        <x:v>https://goesegolf.nl/</x:v>
      </x:c>
      <x:c r="Z351" s="30" t="b">
        <x:f>IF(AND(F351="Netherlands",ISNUMBER(L351),ISNUMBER(M351),L351&gt;=50.7,L351&lt;=53.7,M351&gt;=3.2,M351&lt;=7.3,AC351&lt;&gt;"Closed"),TRUE,FALSE)</x:f>
        <x:v>1</x:v>
      </x:c>
      <x:c r="AA351" s="30" t="b">
        <x:f>Z351</x:f>
        <x:v>1</x:v>
      </x:c>
      <x:c r="AB351" s="30" t="str">
        <x:f>IF(Z351,"verified_coordinate_and_open","not_map_ready")</x:f>
        <x:v>verified_coordinate_and_open</x:v>
      </x:c>
      <x:c r="AC351" s="30" t="str">
        <x:v>Open</x:v>
      </x:c>
      <x:c r="AD351" s="30" t="str">
        <x:v>Public — no playing requirement</x:v>
      </x:c>
      <x:c r="AE351" s="31" t="b">
        <x:v>1</x:v>
      </x:c>
      <x:c r="AF351" s="31" t="b">
        <x:v>0</x:v>
      </x:c>
      <x:c r="AG351" s="30"/>
      <x:c r="AH351" s="30"/>
      <x:c r="AI351" s="30"/>
      <x:c r="AJ351" s="31" t="b">
        <x:v>0</x:v>
      </x:c>
      <x:c r="AK351" s="31" t="b">
        <x:v>0</x:v>
      </x:c>
      <x:c r="AL351" s="30" t="str">
        <x:v>Verified — national register and exact BAG address</x:v>
      </x:c>
      <x:c r="AM351" s="30" t="str">
        <x:v>https://www.golf.nl/de-baan-op/banenzoeker/overzicht</x:v>
      </x:c>
      <x:c r="AN351" s="30" t="str">
        <x:v>2026-08-15</x:v>
      </x:c>
      <x:c r="AO351" s="30" t="str">
        <x:v>+31 113-229557</x:v>
      </x:c>
      <x:c r="AP351" s="30" t="str">
        <x:v>Current NGF/GOLF.NL listing: 9 holes, par 27, 725 metres. Listed as qualifying.</x:v>
      </x:c>
    </x:row>
    <x:row r="352">
      <x:c r="A352" s="30" t="str">
        <x:v>NL-C0230</x:v>
      </x:c>
      <x:c r="B352" s="30" t="str">
        <x:v>NL-0351</x:v>
      </x:c>
      <x:c r="C352" s="30" t="str">
        <x:v>De Zeeuwsche — Main Course</x:v>
      </x:c>
      <x:c r="D352" s="30" t="str">
        <x:v>De Zeeuwsche</x:v>
      </x:c>
      <x:c r="E352" s="30" t="str">
        <x:v>Main Course</x:v>
      </x:c>
      <x:c r="F352" s="30" t="str">
        <x:v>Netherlands</x:v>
      </x:c>
      <x:c r="G352" s="30" t="str">
        <x:v>Zeeland</x:v>
      </x:c>
      <x:c r="H352" s="30" t="str">
        <x:v>Middelburg</x:v>
      </x:c>
      <x:c r="I352" s="30" t="str">
        <x:v>Middelburg</x:v>
      </x:c>
      <x:c r="J352" s="30" t="str">
        <x:v>Paukenweg 1</x:v>
      </x:c>
      <x:c r="K352" s="30" t="str">
        <x:v>4337 WH</x:v>
      </x:c>
      <x:c r="L352" s="32" t="n">
        <x:v>51.4794072</x:v>
      </x:c>
      <x:c r="M352" s="32" t="n">
        <x:v>3.63895438</x:v>
      </x:c>
      <x:c r="N352" s="30" t="str">
        <x:v>WGS84 / EPSG:4326</x:v>
      </x:c>
      <x:c r="O352" s="30" t="str">
        <x:v>Verified BAG address point via PDOK</x:v>
      </x:c>
      <x:c r="P352" s="30" t="str">
        <x:v>2026-08-15</x:v>
      </x:c>
      <x:c r="Q352" s="33" t="n">
        <x:f>IF(R352="","",ROUND(R352/0.9144,0))</x:f>
        <x:v>2924</x:v>
      </x:c>
      <x:c r="R352" s="33" t="n">
        <x:v>2674</x:v>
      </x:c>
      <x:c r="S352" s="33" t="n">
        <x:v>9</x:v>
      </x:c>
      <x:c r="T352" s="33" t="n">
        <x:v>35</x:v>
      </x:c>
      <x:c r="U352" s="30" t="str">
        <x:v>Full-length course</x:v>
      </x:c>
      <x:c r="V352" s="30"/>
      <x:c r="W352" s="30"/>
      <x:c r="X352" s="30"/>
      <x:c r="Y352" s="30" t="str">
        <x:v>https://www.dezeeuwsche.nl/</x:v>
      </x:c>
      <x:c r="Z352" s="30" t="b">
        <x:f>IF(AND(F352="Netherlands",ISNUMBER(L352),ISNUMBER(M352),L352&gt;=50.7,L352&lt;=53.7,M352&gt;=3.2,M352&lt;=7.3,AC352&lt;&gt;"Closed"),TRUE,FALSE)</x:f>
        <x:v>1</x:v>
      </x:c>
      <x:c r="AA352" s="30" t="b">
        <x:f>Z352</x:f>
        <x:v>1</x:v>
      </x:c>
      <x:c r="AB352" s="30" t="str">
        <x:f>IF(Z352,"verified_coordinate_and_open","not_map_ready")</x:f>
        <x:v>verified_coordinate_and_open</x:v>
      </x:c>
      <x:c r="AC352" s="30" t="str">
        <x:v>Open</x:v>
      </x:c>
      <x:c r="AD352" s="30" t="str">
        <x:v>Public — handicap 54 or lower</x:v>
      </x:c>
      <x:c r="AE352" s="31" t="b">
        <x:v>1</x:v>
      </x:c>
      <x:c r="AF352" s="31" t="b">
        <x:v>0</x:v>
      </x:c>
      <x:c r="AG352" s="30"/>
      <x:c r="AH352" s="30"/>
      <x:c r="AI352" s="30"/>
      <x:c r="AJ352" s="31" t="b">
        <x:v>0</x:v>
      </x:c>
      <x:c r="AK352" s="31" t="b">
        <x:v>0</x:v>
      </x:c>
      <x:c r="AL352" s="30" t="str">
        <x:v>Verified — national register and exact BAG address</x:v>
      </x:c>
      <x:c r="AM352" s="30" t="str">
        <x:v>https://www.golf.nl/de-baan-op/banenzoeker/overzicht</x:v>
      </x:c>
      <x:c r="AN352" s="30" t="str">
        <x:v>2026-08-15</x:v>
      </x:c>
      <x:c r="AO352" s="30" t="str">
        <x:v>+31 118-567490</x:v>
      </x:c>
      <x:c r="AP352" s="30" t="str">
        <x:v>Current NGF/GOLF.NL listing: 9 holes, par 35, 2674 metres. Listed as qualifying.</x:v>
      </x:c>
    </x:row>
    <x:row r="353">
      <x:c r="A353" s="30" t="str">
        <x:v>NL-C0230</x:v>
      </x:c>
      <x:c r="B353" s="30" t="str">
        <x:v>NL-0352</x:v>
      </x:c>
      <x:c r="C353" s="30" t="str">
        <x:v>De Zeeuwsche — Par-3 Course</x:v>
      </x:c>
      <x:c r="D353" s="30" t="str">
        <x:v>De Zeeuwsche</x:v>
      </x:c>
      <x:c r="E353" s="30" t="str">
        <x:v>Par-3 Course</x:v>
      </x:c>
      <x:c r="F353" s="30" t="str">
        <x:v>Netherlands</x:v>
      </x:c>
      <x:c r="G353" s="30" t="str">
        <x:v>Zeeland</x:v>
      </x:c>
      <x:c r="H353" s="30" t="str">
        <x:v>Middelburg</x:v>
      </x:c>
      <x:c r="I353" s="30" t="str">
        <x:v>Middelburg</x:v>
      </x:c>
      <x:c r="J353" s="30" t="str">
        <x:v>Paukenweg 1</x:v>
      </x:c>
      <x:c r="K353" s="30" t="str">
        <x:v>4337 WH</x:v>
      </x:c>
      <x:c r="L353" s="32" t="n">
        <x:v>51.4794072</x:v>
      </x:c>
      <x:c r="M353" s="32" t="n">
        <x:v>3.63895438</x:v>
      </x:c>
      <x:c r="N353" s="30" t="str">
        <x:v>WGS84 / EPSG:4326</x:v>
      </x:c>
      <x:c r="O353" s="30" t="str">
        <x:v>Verified BAG address point via PDOK</x:v>
      </x:c>
      <x:c r="P353" s="30" t="str">
        <x:v>2026-08-15</x:v>
      </x:c>
      <x:c r="Q353" s="33" t="n">
        <x:f>IF(R353="","",ROUND(R353/0.9144,0))</x:f>
        <x:v>1007</x:v>
      </x:c>
      <x:c r="R353" s="33" t="n">
        <x:v>921</x:v>
      </x:c>
      <x:c r="S353" s="33" t="n">
        <x:v>9</x:v>
      </x:c>
      <x:c r="T353" s="33" t="n">
        <x:v>27</x:v>
      </x:c>
      <x:c r="U353" s="30" t="str">
        <x:v>Par-3 course</x:v>
      </x:c>
      <x:c r="V353" s="30"/>
      <x:c r="W353" s="30"/>
      <x:c r="X353" s="30"/>
      <x:c r="Y353" s="30" t="str">
        <x:v>https://www.dezeeuwsche.nl/</x:v>
      </x:c>
      <x:c r="Z353" s="30" t="b">
        <x:f>IF(AND(F353="Netherlands",ISNUMBER(L353),ISNUMBER(M353),L353&gt;=50.7,L353&lt;=53.7,M353&gt;=3.2,M353&lt;=7.3,AC353&lt;&gt;"Closed"),TRUE,FALSE)</x:f>
        <x:v>1</x:v>
      </x:c>
      <x:c r="AA353" s="30" t="b">
        <x:f>Z353</x:f>
        <x:v>1</x:v>
      </x:c>
      <x:c r="AB353" s="30" t="str">
        <x:f>IF(Z353,"verified_coordinate_and_open","not_map_ready")</x:f>
        <x:v>verified_coordinate_and_open</x:v>
      </x:c>
      <x:c r="AC353" s="30" t="str">
        <x:v>Open</x:v>
      </x:c>
      <x:c r="AD353" s="30" t="str">
        <x:v>Public — no playing requirement</x:v>
      </x:c>
      <x:c r="AE353" s="31" t="b">
        <x:v>1</x:v>
      </x:c>
      <x:c r="AF353" s="31" t="b">
        <x:v>0</x:v>
      </x:c>
      <x:c r="AG353" s="30"/>
      <x:c r="AH353" s="30"/>
      <x:c r="AI353" s="30"/>
      <x:c r="AJ353" s="31" t="b">
        <x:v>0</x:v>
      </x:c>
      <x:c r="AK353" s="31" t="b">
        <x:v>0</x:v>
      </x:c>
      <x:c r="AL353" s="30" t="str">
        <x:v>Verified — national register and exact BAG address</x:v>
      </x:c>
      <x:c r="AM353" s="30" t="str">
        <x:v>https://www.golf.nl/de-baan-op/banenzoeker/overzicht</x:v>
      </x:c>
      <x:c r="AN353" s="30" t="str">
        <x:v>2026-08-15</x:v>
      </x:c>
      <x:c r="AO353" s="30" t="str">
        <x:v>+31 118-567490</x:v>
      </x:c>
      <x:c r="AP353" s="30" t="str">
        <x:v>Current NGF/GOLF.NL listing: 9 holes, par 27, 921 metres. Listed as qualifying.</x:v>
      </x:c>
    </x:row>
    <x:row r="354">
      <x:c r="A354" s="30" t="str">
        <x:v>NL-C0231</x:v>
      </x:c>
      <x:c r="B354" s="30" t="str">
        <x:v>NL-0353</x:v>
      </x:c>
      <x:c r="C354" s="30" t="str">
        <x:v>Domburgsche Golfclub</x:v>
      </x:c>
      <x:c r="D354" s="30" t="str">
        <x:v>Domburgsche Golfclub</x:v>
      </x:c>
      <x:c r="E354" s="30" t="str">
        <x:v>Course</x:v>
      </x:c>
      <x:c r="F354" s="30" t="str">
        <x:v>Netherlands</x:v>
      </x:c>
      <x:c r="G354" s="30" t="str">
        <x:v>Zeeland</x:v>
      </x:c>
      <x:c r="H354" s="30" t="str">
        <x:v>Veere</x:v>
      </x:c>
      <x:c r="I354" s="30" t="str">
        <x:v>Domburg</x:v>
      </x:c>
      <x:c r="J354" s="30" t="str">
        <x:v>Schelpweg 26</x:v>
      </x:c>
      <x:c r="K354" s="30" t="str">
        <x:v>4357 BP</x:v>
      </x:c>
      <x:c r="L354" s="32" t="n">
        <x:v>51.56064014</x:v>
      </x:c>
      <x:c r="M354" s="32" t="n">
        <x:v>3.48929687</x:v>
      </x:c>
      <x:c r="N354" s="30" t="str">
        <x:v>WGS84 / EPSG:4326</x:v>
      </x:c>
      <x:c r="O354" s="30" t="str">
        <x:v>Verified BAG address point via PDOK</x:v>
      </x:c>
      <x:c r="P354" s="30" t="str">
        <x:v>2026-08-15</x:v>
      </x:c>
      <x:c r="Q354" s="33" t="n">
        <x:f>IF(R354="","",ROUND(R354/0.9144,0))</x:f>
        <x:v>2805</x:v>
      </x:c>
      <x:c r="R354" s="33" t="n">
        <x:v>2565</x:v>
      </x:c>
      <x:c r="S354" s="33" t="n">
        <x:v>9</x:v>
      </x:c>
      <x:c r="T354" s="33" t="n">
        <x:v>35</x:v>
      </x:c>
      <x:c r="U354" s="30" t="str">
        <x:v>Full-length course</x:v>
      </x:c>
      <x:c r="V354" s="30"/>
      <x:c r="W354" s="30"/>
      <x:c r="X354" s="30"/>
      <x:c r="Y354" s="30" t="str">
        <x:v>https://www.domburgschegolfclub.nl/</x:v>
      </x:c>
      <x:c r="Z354" s="30" t="b">
        <x:f>IF(AND(F354="Netherlands",ISNUMBER(L354),ISNUMBER(M354),L354&gt;=50.7,L354&lt;=53.7,M354&gt;=3.2,M354&lt;=7.3,AC354&lt;&gt;"Closed"),TRUE,FALSE)</x:f>
        <x:v>1</x:v>
      </x:c>
      <x:c r="AA354" s="30" t="b">
        <x:f>Z354</x:f>
        <x:v>1</x:v>
      </x:c>
      <x:c r="AB354" s="30" t="str">
        <x:f>IF(Z354,"verified_coordinate_and_open","not_map_ready")</x:f>
        <x:v>verified_coordinate_and_open</x:v>
      </x:c>
      <x:c r="AC354" s="30" t="str">
        <x:v>Open</x:v>
      </x:c>
      <x:c r="AD354" s="30" t="str">
        <x:v>Public — handicap 36 or lower</x:v>
      </x:c>
      <x:c r="AE354" s="31" t="b">
        <x:v>1</x:v>
      </x:c>
      <x:c r="AF354" s="31" t="b">
        <x:v>0</x:v>
      </x:c>
      <x:c r="AG354" s="30"/>
      <x:c r="AH354" s="30"/>
      <x:c r="AI354" s="30"/>
      <x:c r="AJ354" s="31" t="b">
        <x:v>0</x:v>
      </x:c>
      <x:c r="AK354" s="31" t="b">
        <x:v>0</x:v>
      </x:c>
      <x:c r="AL354" s="30" t="str">
        <x:v>Verified — national register and exact BAG address</x:v>
      </x:c>
      <x:c r="AM354" s="30" t="str">
        <x:v>https://www.golf.nl/de-baan-op/banenzoeker/overzicht</x:v>
      </x:c>
      <x:c r="AN354" s="30" t="str">
        <x:v>2026-08-15</x:v>
      </x:c>
      <x:c r="AO354" s="30" t="str">
        <x:v>+31 118-586106</x:v>
      </x:c>
      <x:c r="AP354" s="30" t="str">
        <x:v>Current NGF/GOLF.NL listing: 9 holes, par 35, 2565 metres. Listed as qualifying.</x:v>
      </x:c>
    </x:row>
    <x:row r="355">
      <x:c r="A355" s="30" t="str">
        <x:v>NL-C0232</x:v>
      </x:c>
      <x:c r="B355" s="30" t="str">
        <x:v>NL-0354</x:v>
      </x:c>
      <x:c r="C355" s="30" t="str">
        <x:v>Golfbaan Molenberg — Shortgolf / Pitch &amp; Putt Course</x:v>
      </x:c>
      <x:c r="D355" s="30" t="str">
        <x:v>Golfbaan Molenberg</x:v>
      </x:c>
      <x:c r="E355" s="30" t="str">
        <x:v>Shortgolf / Pitch &amp; Putt Course</x:v>
      </x:c>
      <x:c r="F355" s="30" t="str">
        <x:v>Netherlands</x:v>
      </x:c>
      <x:c r="G355" s="30" t="str">
        <x:v>Zeeland</x:v>
      </x:c>
      <x:c r="H355" s="30" t="str">
        <x:v>Schouwen-Duiveland</x:v>
      </x:c>
      <x:c r="I355" s="30" t="str">
        <x:v>Burgh-Haamstede</x:v>
      </x:c>
      <x:c r="J355" s="30" t="str">
        <x:v>Hogeweg 53</x:v>
      </x:c>
      <x:c r="K355" s="30" t="str">
        <x:v>4328 PB</x:v>
      </x:c>
      <x:c r="L355" s="32" t="n">
        <x:v>51.68408311</x:v>
      </x:c>
      <x:c r="M355" s="32" t="n">
        <x:v>3.72469462</x:v>
      </x:c>
      <x:c r="N355" s="30" t="str">
        <x:v>WGS84 / EPSG:4326</x:v>
      </x:c>
      <x:c r="O355" s="30" t="str">
        <x:v>Verified BAG address point via PDOK</x:v>
      </x:c>
      <x:c r="P355" s="30" t="str">
        <x:v>2026-08-15</x:v>
      </x:c>
      <x:c r="Q355" s="33" t="n">
        <x:f>IF(R355="","",ROUND(R355/0.9144,0))</x:f>
        <x:v>857</x:v>
      </x:c>
      <x:c r="R355" s="33" t="n">
        <x:v>784</x:v>
      </x:c>
      <x:c r="S355" s="33" t="n">
        <x:v>18</x:v>
      </x:c>
      <x:c r="T355" s="33" t="n">
        <x:v>54</x:v>
      </x:c>
      <x:c r="U355" s="30" t="str">
        <x:v>Shortgolf / Pitch &amp; Putt</x:v>
      </x:c>
      <x:c r="V355" s="30"/>
      <x:c r="W355" s="30"/>
      <x:c r="X355" s="30"/>
      <x:c r="Y355" s="30" t="str">
        <x:v>https://www.golfclubmolenberg.nl/</x:v>
      </x:c>
      <x:c r="Z355" s="30" t="b">
        <x:f>IF(AND(F355="Netherlands",ISNUMBER(L355),ISNUMBER(M355),L355&gt;=50.7,L355&lt;=53.7,M355&gt;=3.2,M355&lt;=7.3,AC355&lt;&gt;"Closed"),TRUE,FALSE)</x:f>
        <x:v>1</x:v>
      </x:c>
      <x:c r="AA355" s="30" t="b">
        <x:f>Z355</x:f>
        <x:v>1</x:v>
      </x:c>
      <x:c r="AB355" s="30" t="str">
        <x:f>IF(Z355,"verified_coordinate_and_open","not_map_ready")</x:f>
        <x:v>verified_coordinate_and_open</x:v>
      </x:c>
      <x:c r="AC355" s="30" t="str">
        <x:v>Open</x:v>
      </x:c>
      <x:c r="AD355" s="30" t="str">
        <x:v>Public — no playing requirement</x:v>
      </x:c>
      <x:c r="AE355" s="31" t="b">
        <x:v>0</x:v>
      </x:c>
      <x:c r="AF355" s="31" t="b">
        <x:v>0</x:v>
      </x:c>
      <x:c r="AG355" s="30"/>
      <x:c r="AH355" s="30"/>
      <x:c r="AI355" s="30"/>
      <x:c r="AJ355" s="31" t="b">
        <x:v>0</x:v>
      </x:c>
      <x:c r="AK355" s="31" t="b">
        <x:v>0</x:v>
      </x:c>
      <x:c r="AL355" s="30" t="str">
        <x:v>Verified — national register and exact BAG address</x:v>
      </x:c>
      <x:c r="AM355" s="30" t="str">
        <x:v>https://www.golf.nl/de-baan-op/banenzoeker/overzicht</x:v>
      </x:c>
      <x:c r="AN355" s="30" t="str">
        <x:v>2026-08-15</x:v>
      </x:c>
      <x:c r="AO355" s="30" t="str">
        <x:v>+31 111-654400</x:v>
      </x:c>
      <x:c r="AP355" s="30" t="str">
        <x:v>Current NGF/GOLF.NL listing: 18 holes, par 54, 784 metres. Combined from exact NGF-listed constituent nine-hole loops: 1ste negen (9 holes, par 27, 390 m); 2de negen (9 holes, par 27, 394 m) Listed as non-qualifying.</x:v>
      </x:c>
    </x:row>
    <x:row r="356">
      <x:c r="A356" s="30" t="str">
        <x:v>NL-C0233</x:v>
      </x:c>
      <x:c r="B356" s="30" t="str">
        <x:v>NL-0355</x:v>
      </x:c>
      <x:c r="C356" s="30" t="str">
        <x:v>Golfclub Grevelingenhout — Main Course</x:v>
      </x:c>
      <x:c r="D356" s="30" t="str">
        <x:v>Golfclub Grevelingenhout</x:v>
      </x:c>
      <x:c r="E356" s="30" t="str">
        <x:v>Main Course</x:v>
      </x:c>
      <x:c r="F356" s="30" t="str">
        <x:v>Netherlands</x:v>
      </x:c>
      <x:c r="G356" s="30" t="str">
        <x:v>Zeeland</x:v>
      </x:c>
      <x:c r="H356" s="30" t="str">
        <x:v>Schouwen-Duiveland</x:v>
      </x:c>
      <x:c r="I356" s="30" t="str">
        <x:v>Bruinisse</x:v>
      </x:c>
      <x:c r="J356" s="30" t="str">
        <x:v>Oudendijk 3</x:v>
      </x:c>
      <x:c r="K356" s="30" t="str">
        <x:v>4311 NA</x:v>
      </x:c>
      <x:c r="L356" s="32" t="n">
        <x:v>51.66984891</x:v>
      </x:c>
      <x:c r="M356" s="32" t="n">
        <x:v>4.0619094</x:v>
      </x:c>
      <x:c r="N356" s="30" t="str">
        <x:v>WGS84 / EPSG:4326</x:v>
      </x:c>
      <x:c r="O356" s="30" t="str">
        <x:v>Verified BAG address point via PDOK</x:v>
      </x:c>
      <x:c r="P356" s="30" t="str">
        <x:v>2026-08-15</x:v>
      </x:c>
      <x:c r="Q356" s="33" t="n">
        <x:f>IF(R356="","",ROUND(R356/0.9144,0))</x:f>
        <x:v>6727</x:v>
      </x:c>
      <x:c r="R356" s="33" t="n">
        <x:v>6151</x:v>
      </x:c>
      <x:c r="S356" s="33" t="n">
        <x:v>18</x:v>
      </x:c>
      <x:c r="T356" s="33" t="n">
        <x:v>72</x:v>
      </x:c>
      <x:c r="U356" s="30" t="str">
        <x:v>Full-length course</x:v>
      </x:c>
      <x:c r="V356" s="30"/>
      <x:c r="W356" s="30"/>
      <x:c r="X356" s="30"/>
      <x:c r="Y356" s="30" t="str">
        <x:v>https://www.grevelingenhout.nl/</x:v>
      </x:c>
      <x:c r="Z356" s="30" t="b">
        <x:f>IF(AND(F356="Netherlands",ISNUMBER(L356),ISNUMBER(M356),L356&gt;=50.7,L356&lt;=53.7,M356&gt;=3.2,M356&lt;=7.3,AC356&lt;&gt;"Closed"),TRUE,FALSE)</x:f>
        <x:v>1</x:v>
      </x:c>
      <x:c r="AA356" s="30" t="b">
        <x:f>Z356</x:f>
        <x:v>1</x:v>
      </x:c>
      <x:c r="AB356" s="30" t="str">
        <x:f>IF(Z356,"verified_coordinate_and_open","not_map_ready")</x:f>
        <x:v>verified_coordinate_and_open</x:v>
      </x:c>
      <x:c r="AC356" s="30" t="str">
        <x:v>Open</x:v>
      </x:c>
      <x:c r="AD356" s="30" t="str">
        <x:v>Public — handicap 54 or lower</x:v>
      </x:c>
      <x:c r="AE356" s="31" t="b">
        <x:v>1</x:v>
      </x:c>
      <x:c r="AF356" s="31" t="b">
        <x:v>0</x:v>
      </x:c>
      <x:c r="AG356" s="30"/>
      <x:c r="AH356" s="30"/>
      <x:c r="AI356" s="30"/>
      <x:c r="AJ356" s="31" t="b">
        <x:v>0</x:v>
      </x:c>
      <x:c r="AK356" s="31" t="b">
        <x:v>0</x:v>
      </x:c>
      <x:c r="AL356" s="30" t="str">
        <x:v>Verified — national register and exact BAG address</x:v>
      </x:c>
      <x:c r="AM356" s="30" t="str">
        <x:v>https://www.golf.nl/de-baan-op/banenzoeker/overzicht</x:v>
      </x:c>
      <x:c r="AN356" s="30" t="str">
        <x:v>2026-08-15</x:v>
      </x:c>
      <x:c r="AO356" s="30" t="str">
        <x:v>+31 111-482650</x:v>
      </x:c>
      <x:c r="AP356" s="30" t="str">
        <x:v>Current NGF/GOLF.NL listing: 18 holes, par 72, 6151 metres. Combined from exact NGF-listed constituent nine-hole loops: 1ste negen (9 holes, par 36, 3036 m); 2de negen (9 holes, par 36, 3115 m) Listed as qualifying.</x:v>
      </x:c>
    </x:row>
    <x:row r="357">
      <x:c r="A357" s="30" t="str">
        <x:v>NL-C0233</x:v>
      </x:c>
      <x:c r="B357" s="30" t="str">
        <x:v>NL-0356</x:v>
      </x:c>
      <x:c r="C357" s="30" t="str">
        <x:v>Golfclub Grevelingenhout — Par-3 Course</x:v>
      </x:c>
      <x:c r="D357" s="30" t="str">
        <x:v>Golfclub Grevelingenhout</x:v>
      </x:c>
      <x:c r="E357" s="30" t="str">
        <x:v>Par-3 Course</x:v>
      </x:c>
      <x:c r="F357" s="30" t="str">
        <x:v>Netherlands</x:v>
      </x:c>
      <x:c r="G357" s="30" t="str">
        <x:v>Zeeland</x:v>
      </x:c>
      <x:c r="H357" s="30" t="str">
        <x:v>Schouwen-Duiveland</x:v>
      </x:c>
      <x:c r="I357" s="30" t="str">
        <x:v>Bruinisse</x:v>
      </x:c>
      <x:c r="J357" s="30" t="str">
        <x:v>Oudendijk 3</x:v>
      </x:c>
      <x:c r="K357" s="30" t="str">
        <x:v>4311 NA</x:v>
      </x:c>
      <x:c r="L357" s="32" t="n">
        <x:v>51.66984891</x:v>
      </x:c>
      <x:c r="M357" s="32" t="n">
        <x:v>4.0619094</x:v>
      </x:c>
      <x:c r="N357" s="30" t="str">
        <x:v>WGS84 / EPSG:4326</x:v>
      </x:c>
      <x:c r="O357" s="30" t="str">
        <x:v>Verified BAG address point via PDOK</x:v>
      </x:c>
      <x:c r="P357" s="30" t="str">
        <x:v>2026-08-15</x:v>
      </x:c>
      <x:c r="Q357" s="33" t="n">
        <x:f>IF(R357="","",ROUND(R357/0.9144,0))</x:f>
        <x:v>878</x:v>
      </x:c>
      <x:c r="R357" s="33" t="n">
        <x:v>803</x:v>
      </x:c>
      <x:c r="S357" s="33" t="n">
        <x:v>9</x:v>
      </x:c>
      <x:c r="T357" s="33" t="n">
        <x:v>27</x:v>
      </x:c>
      <x:c r="U357" s="30" t="str">
        <x:v>Par-3 course</x:v>
      </x:c>
      <x:c r="V357" s="30"/>
      <x:c r="W357" s="30"/>
      <x:c r="X357" s="30"/>
      <x:c r="Y357" s="30" t="str">
        <x:v>https://www.grevelingenhout.nl/</x:v>
      </x:c>
      <x:c r="Z357" s="30" t="b">
        <x:f>IF(AND(F357="Netherlands",ISNUMBER(L357),ISNUMBER(M357),L357&gt;=50.7,L357&lt;=53.7,M357&gt;=3.2,M357&lt;=7.3,AC357&lt;&gt;"Closed"),TRUE,FALSE)</x:f>
        <x:v>1</x:v>
      </x:c>
      <x:c r="AA357" s="30" t="b">
        <x:f>Z357</x:f>
        <x:v>1</x:v>
      </x:c>
      <x:c r="AB357" s="30" t="str">
        <x:f>IF(Z357,"verified_coordinate_and_open","not_map_ready")</x:f>
        <x:v>verified_coordinate_and_open</x:v>
      </x:c>
      <x:c r="AC357" s="30" t="str">
        <x:v>Open</x:v>
      </x:c>
      <x:c r="AD357" s="30" t="str">
        <x:v>Public — NGF course permission</x:v>
      </x:c>
      <x:c r="AE357" s="31" t="b">
        <x:v>1</x:v>
      </x:c>
      <x:c r="AF357" s="31" t="b">
        <x:v>0</x:v>
      </x:c>
      <x:c r="AG357" s="30"/>
      <x:c r="AH357" s="30"/>
      <x:c r="AI357" s="30"/>
      <x:c r="AJ357" s="31" t="b">
        <x:v>0</x:v>
      </x:c>
      <x:c r="AK357" s="31" t="b">
        <x:v>0</x:v>
      </x:c>
      <x:c r="AL357" s="30" t="str">
        <x:v>Verified — national register and exact BAG address</x:v>
      </x:c>
      <x:c r="AM357" s="30" t="str">
        <x:v>https://www.golf.nl/de-baan-op/banenzoeker/overzicht</x:v>
      </x:c>
      <x:c r="AN357" s="30" t="str">
        <x:v>2026-08-15</x:v>
      </x:c>
      <x:c r="AO357" s="30" t="str">
        <x:v>+31 111-482650</x:v>
      </x:c>
      <x:c r="AP357" s="30" t="str">
        <x:v>Current NGF/GOLF.NL listing: 9 holes, par 27, 803 metres. Listed as qualifying.</x:v>
      </x:c>
    </x:row>
    <x:row r="358">
      <x:c r="A358" s="30" t="str">
        <x:v>NL-C0234</x:v>
      </x:c>
      <x:c r="B358" s="30" t="str">
        <x:v>NL-0357</x:v>
      </x:c>
      <x:c r="C358" s="30" t="str">
        <x:v>Golfclub Oostburg/Golfbaan De Brugse Vaart — Main Course</x:v>
      </x:c>
      <x:c r="D358" s="30" t="str">
        <x:v>Golfclub Oostburg/Golfbaan De Brugse Vaart</x:v>
      </x:c>
      <x:c r="E358" s="30" t="str">
        <x:v>Main Course</x:v>
      </x:c>
      <x:c r="F358" s="30" t="str">
        <x:v>Netherlands</x:v>
      </x:c>
      <x:c r="G358" s="30" t="str">
        <x:v>Zeeland</x:v>
      </x:c>
      <x:c r="H358" s="30" t="str">
        <x:v>Sluis</x:v>
      </x:c>
      <x:c r="I358" s="30" t="str">
        <x:v>Oostburg</x:v>
      </x:c>
      <x:c r="J358" s="30" t="str">
        <x:v>Brugsevaart 10</x:v>
      </x:c>
      <x:c r="K358" s="30" t="str">
        <x:v>4501 NE</x:v>
      </x:c>
      <x:c r="L358" s="32" t="n">
        <x:v>51.3242419</x:v>
      </x:c>
      <x:c r="M358" s="32" t="n">
        <x:v>3.46319615</x:v>
      </x:c>
      <x:c r="N358" s="30" t="str">
        <x:v>WGS84 / EPSG:4326</x:v>
      </x:c>
      <x:c r="O358" s="30" t="str">
        <x:v>Verified BAG address point via PDOK</x:v>
      </x:c>
      <x:c r="P358" s="30" t="str">
        <x:v>2026-08-15</x:v>
      </x:c>
      <x:c r="Q358" s="33" t="n">
        <x:f>IF(R358="","",ROUND(R358/0.9144,0))</x:f>
        <x:v>6939</x:v>
      </x:c>
      <x:c r="R358" s="33" t="n">
        <x:v>6345</x:v>
      </x:c>
      <x:c r="S358" s="33" t="n">
        <x:v>18</x:v>
      </x:c>
      <x:c r="T358" s="33" t="n">
        <x:v>73</x:v>
      </x:c>
      <x:c r="U358" s="30" t="str">
        <x:v>Full-length course</x:v>
      </x:c>
      <x:c r="V358" s="30"/>
      <x:c r="W358" s="30"/>
      <x:c r="X358" s="30"/>
      <x:c r="Y358" s="30" t="str">
        <x:v>https://www.golfoostburg.com/</x:v>
      </x:c>
      <x:c r="Z358" s="30" t="b">
        <x:f>IF(AND(F358="Netherlands",ISNUMBER(L358),ISNUMBER(M358),L358&gt;=50.7,L358&lt;=53.7,M358&gt;=3.2,M358&lt;=7.3,AC358&lt;&gt;"Closed"),TRUE,FALSE)</x:f>
        <x:v>1</x:v>
      </x:c>
      <x:c r="AA358" s="30" t="b">
        <x:f>Z358</x:f>
        <x:v>1</x:v>
      </x:c>
      <x:c r="AB358" s="30" t="str">
        <x:f>IF(Z358,"verified_coordinate_and_open","not_map_ready")</x:f>
        <x:v>verified_coordinate_and_open</x:v>
      </x:c>
      <x:c r="AC358" s="30" t="str">
        <x:v>Open</x:v>
      </x:c>
      <x:c r="AD358" s="30" t="str">
        <x:v>Public — handicap 54 or lower</x:v>
      </x:c>
      <x:c r="AE358" s="31" t="b">
        <x:v>1</x:v>
      </x:c>
      <x:c r="AF358" s="31" t="b">
        <x:v>0</x:v>
      </x:c>
      <x:c r="AG358" s="30"/>
      <x:c r="AH358" s="30"/>
      <x:c r="AI358" s="30"/>
      <x:c r="AJ358" s="31" t="b">
        <x:v>0</x:v>
      </x:c>
      <x:c r="AK358" s="31" t="b">
        <x:v>0</x:v>
      </x:c>
      <x:c r="AL358" s="30" t="str">
        <x:v>Verified — national register and exact BAG address</x:v>
      </x:c>
      <x:c r="AM358" s="30" t="str">
        <x:v>https://www.golf.nl/de-baan-op/banenzoeker/overzicht</x:v>
      </x:c>
      <x:c r="AN358" s="30" t="str">
        <x:v>2026-08-15</x:v>
      </x:c>
      <x:c r="AO358" s="30" t="str">
        <x:v>+31 117-453410</x:v>
      </x:c>
      <x:c r="AP358" s="30" t="str">
        <x:v>Current NGF/GOLF.NL listing: 18 holes, par 73, 6345 metres. Combined from exact NGF-listed constituent nine-hole loops: 1ste negen (9 holes, par 36, 3119 m); 2de negen (9 holes, par 37, 3226 m) Listed as qualifying.</x:v>
      </x:c>
    </x:row>
    <x:row r="359">
      <x:c r="A359" s="30" t="str">
        <x:v>NL-C0235</x:v>
      </x:c>
      <x:c r="B359" s="30" t="str">
        <x:v>NL-0358</x:v>
      </x:c>
      <x:c r="C359" s="30" t="str">
        <x:v>Golfpark Reymerswael — Main Course</x:v>
      </x:c>
      <x:c r="D359" s="30" t="str">
        <x:v>Golfpark Reymerswael</x:v>
      </x:c>
      <x:c r="E359" s="30" t="str">
        <x:v>Main Course</x:v>
      </x:c>
      <x:c r="F359" s="30" t="str">
        <x:v>Netherlands</x:v>
      </x:c>
      <x:c r="G359" s="30" t="str">
        <x:v>Zeeland</x:v>
      </x:c>
      <x:c r="H359" s="30" t="str">
        <x:v>Reimerswaal</x:v>
      </x:c>
      <x:c r="I359" s="30" t="str">
        <x:v>Rilland</x:v>
      </x:c>
      <x:c r="J359" s="30" t="str">
        <x:v>Grensweg 21</x:v>
      </x:c>
      <x:c r="K359" s="30" t="str">
        <x:v>4411 ST</x:v>
      </x:c>
      <x:c r="L359" s="32" t="n">
        <x:v>51.3897663</x:v>
      </x:c>
      <x:c r="M359" s="32" t="n">
        <x:v>4.23888512</x:v>
      </x:c>
      <x:c r="N359" s="30" t="str">
        <x:v>WGS84 / EPSG:4326</x:v>
      </x:c>
      <x:c r="O359" s="30" t="str">
        <x:v>Verified BAG address point via PDOK</x:v>
      </x:c>
      <x:c r="P359" s="30" t="str">
        <x:v>2026-08-15</x:v>
      </x:c>
      <x:c r="Q359" s="33" t="n">
        <x:f>IF(R359="","",ROUND(R359/0.9144,0))</x:f>
        <x:v>6500</x:v>
      </x:c>
      <x:c r="R359" s="33" t="n">
        <x:v>5944</x:v>
      </x:c>
      <x:c r="S359" s="33" t="n">
        <x:v>18</x:v>
      </x:c>
      <x:c r="T359" s="33" t="n">
        <x:v>71</x:v>
      </x:c>
      <x:c r="U359" s="30" t="str">
        <x:v>Full-length course</x:v>
      </x:c>
      <x:c r="V359" s="30"/>
      <x:c r="W359" s="30"/>
      <x:c r="X359" s="30"/>
      <x:c r="Y359" s="30" t="str">
        <x:v>https://www.hollandschegolfclub.nl/golfpark/reymerswael/</x:v>
      </x:c>
      <x:c r="Z359" s="30" t="b">
        <x:f>IF(AND(F359="Netherlands",ISNUMBER(L359),ISNUMBER(M359),L359&gt;=50.7,L359&lt;=53.7,M359&gt;=3.2,M359&lt;=7.3,AC359&lt;&gt;"Closed"),TRUE,FALSE)</x:f>
        <x:v>1</x:v>
      </x:c>
      <x:c r="AA359" s="30" t="b">
        <x:f>Z359</x:f>
        <x:v>1</x:v>
      </x:c>
      <x:c r="AB359" s="30" t="str">
        <x:f>IF(Z359,"verified_coordinate_and_open","not_map_ready")</x:f>
        <x:v>verified_coordinate_and_open</x:v>
      </x:c>
      <x:c r="AC359" s="30" t="str">
        <x:v>Open</x:v>
      </x:c>
      <x:c r="AD359" s="30" t="str">
        <x:v>Public — handicap 54 or lower</x:v>
      </x:c>
      <x:c r="AE359" s="31" t="b">
        <x:v>1</x:v>
      </x:c>
      <x:c r="AF359" s="31" t="b">
        <x:v>0</x:v>
      </x:c>
      <x:c r="AG359" s="30"/>
      <x:c r="AH359" s="30"/>
      <x:c r="AI359" s="30"/>
      <x:c r="AJ359" s="31" t="b">
        <x:v>0</x:v>
      </x:c>
      <x:c r="AK359" s="31" t="b">
        <x:v>0</x:v>
      </x:c>
      <x:c r="AL359" s="30" t="str">
        <x:v>Verified — national register and exact BAG address</x:v>
      </x:c>
      <x:c r="AM359" s="30" t="str">
        <x:v>https://www.golf.nl/de-baan-op/banenzoeker/overzicht</x:v>
      </x:c>
      <x:c r="AN359" s="30" t="str">
        <x:v>2026-08-15</x:v>
      </x:c>
      <x:c r="AO359" s="30" t="str">
        <x:v>+31 113-551265</x:v>
      </x:c>
      <x:c r="AP359" s="30" t="str">
        <x:v>Current NGF/GOLF.NL listing: 18 holes, par 71, 5944 metres. Combined from exact NGF-listed constituent nine-hole loops: 1ste negen (9 holes, par 35, 2736 m); 2de negen (9 holes, par 36, 3208 m) Listed as qualifying.</x:v>
      </x:c>
    </x:row>
    <x:row r="360">
      <x:c r="A360" s="30" t="str">
        <x:v>NL-C0236</x:v>
      </x:c>
      <x:c r="B360" s="30" t="str">
        <x:v>NL-0359</x:v>
      </x:c>
      <x:c r="C360" s="30" t="str">
        <x:v>Golfvereniging De Woeste Kop — Grote Kreek</x:v>
      </x:c>
      <x:c r="D360" s="30" t="str">
        <x:v>Golfvereniging De Woeste Kop</x:v>
      </x:c>
      <x:c r="E360" s="30" t="str">
        <x:v>Grote Kreek</x:v>
      </x:c>
      <x:c r="F360" s="30" t="str">
        <x:v>Netherlands</x:v>
      </x:c>
      <x:c r="G360" s="30" t="str">
        <x:v>Zeeland</x:v>
      </x:c>
      <x:c r="H360" s="30" t="str">
        <x:v>Terneuzen</x:v>
      </x:c>
      <x:c r="I360" s="30" t="str">
        <x:v>Axel</x:v>
      </x:c>
      <x:c r="J360" s="30" t="str">
        <x:v>Justaasweg 4</x:v>
      </x:c>
      <x:c r="K360" s="30" t="str">
        <x:v>4571 NB</x:v>
      </x:c>
      <x:c r="L360" s="32" t="n">
        <x:v>51.25660807</x:v>
      </x:c>
      <x:c r="M360" s="32" t="n">
        <x:v>3.90051042</x:v>
      </x:c>
      <x:c r="N360" s="30" t="str">
        <x:v>WGS84 / EPSG:4326</x:v>
      </x:c>
      <x:c r="O360" s="30" t="str">
        <x:v>Verified BAG address point via PDOK</x:v>
      </x:c>
      <x:c r="P360" s="30" t="str">
        <x:v>2026-08-15</x:v>
      </x:c>
      <x:c r="Q360" s="33" t="n">
        <x:f>IF(R360="","",ROUND(R360/0.9144,0))</x:f>
        <x:v>3433</x:v>
      </x:c>
      <x:c r="R360" s="33" t="n">
        <x:v>3139</x:v>
      </x:c>
      <x:c r="S360" s="33" t="n">
        <x:v>9</x:v>
      </x:c>
      <x:c r="T360" s="33" t="n">
        <x:v>37</x:v>
      </x:c>
      <x:c r="U360" s="30" t="str">
        <x:v>Full-length course</x:v>
      </x:c>
      <x:c r="V360" s="30"/>
      <x:c r="W360" s="30"/>
      <x:c r="X360" s="30"/>
      <x:c r="Y360" s="30" t="str">
        <x:v>https://www.dewoestekop.nl/</x:v>
      </x:c>
      <x:c r="Z360" s="30" t="b">
        <x:f>IF(AND(F360="Netherlands",ISNUMBER(L360),ISNUMBER(M360),L360&gt;=50.7,L360&lt;=53.7,M360&gt;=3.2,M360&lt;=7.3,AC360&lt;&gt;"Closed"),TRUE,FALSE)</x:f>
        <x:v>1</x:v>
      </x:c>
      <x:c r="AA360" s="30" t="b">
        <x:f>Z360</x:f>
        <x:v>1</x:v>
      </x:c>
      <x:c r="AB360" s="30" t="str">
        <x:f>IF(Z360,"verified_coordinate_and_open","not_map_ready")</x:f>
        <x:v>verified_coordinate_and_open</x:v>
      </x:c>
      <x:c r="AC360" s="30" t="str">
        <x:v>Open</x:v>
      </x:c>
      <x:c r="AD360" s="30" t="str">
        <x:v>Public — handicap 36 or lower</x:v>
      </x:c>
      <x:c r="AE360" s="31" t="b">
        <x:v>1</x:v>
      </x:c>
      <x:c r="AF360" s="31" t="b">
        <x:v>0</x:v>
      </x:c>
      <x:c r="AG360" s="30"/>
      <x:c r="AH360" s="30"/>
      <x:c r="AI360" s="30"/>
      <x:c r="AJ360" s="31" t="b">
        <x:v>0</x:v>
      </x:c>
      <x:c r="AK360" s="31" t="b">
        <x:v>0</x:v>
      </x:c>
      <x:c r="AL360" s="30" t="str">
        <x:v>Verified — national register and exact BAG address</x:v>
      </x:c>
      <x:c r="AM360" s="30" t="str">
        <x:v>https://www.golf.nl/de-baan-op/banenzoeker/overzicht</x:v>
      </x:c>
      <x:c r="AN360" s="30" t="str">
        <x:v>2026-08-15</x:v>
      </x:c>
      <x:c r="AO360" s="30" t="str">
        <x:v>+31 115-564467</x:v>
      </x:c>
      <x:c r="AP360" s="30" t="str">
        <x:v>Current NGF/GOLF.NL listing: 9 holes, par 37, 3139 metres. Listed as qualifying.</x:v>
      </x:c>
    </x:row>
    <x:row r="361">
      <x:c r="A361" s="30" t="str">
        <x:v>NL-C0236</x:v>
      </x:c>
      <x:c r="B361" s="30" t="str">
        <x:v>NL-0360</x:v>
      </x:c>
      <x:c r="C361" s="30" t="str">
        <x:v>Golfvereniging De Woeste Kop — Watertoren</x:v>
      </x:c>
      <x:c r="D361" s="30" t="str">
        <x:v>Golfvereniging De Woeste Kop</x:v>
      </x:c>
      <x:c r="E361" s="30" t="str">
        <x:v>Watertoren</x:v>
      </x:c>
      <x:c r="F361" s="30" t="str">
        <x:v>Netherlands</x:v>
      </x:c>
      <x:c r="G361" s="30" t="str">
        <x:v>Zeeland</x:v>
      </x:c>
      <x:c r="H361" s="30" t="str">
        <x:v>Terneuzen</x:v>
      </x:c>
      <x:c r="I361" s="30" t="str">
        <x:v>Axel</x:v>
      </x:c>
      <x:c r="J361" s="30" t="str">
        <x:v>Justaasweg 4</x:v>
      </x:c>
      <x:c r="K361" s="30" t="str">
        <x:v>4571 NB</x:v>
      </x:c>
      <x:c r="L361" s="32" t="n">
        <x:v>51.25660807</x:v>
      </x:c>
      <x:c r="M361" s="32" t="n">
        <x:v>3.90051042</x:v>
      </x:c>
      <x:c r="N361" s="30" t="str">
        <x:v>WGS84 / EPSG:4326</x:v>
      </x:c>
      <x:c r="O361" s="30" t="str">
        <x:v>Verified BAG address point via PDOK</x:v>
      </x:c>
      <x:c r="P361" s="30" t="str">
        <x:v>2026-08-15</x:v>
      </x:c>
      <x:c r="Q361" s="33" t="n">
        <x:f>IF(R361="","",ROUND(R361/0.9144,0))</x:f>
        <x:v>3206</x:v>
      </x:c>
      <x:c r="R361" s="33" t="n">
        <x:v>2932</x:v>
      </x:c>
      <x:c r="S361" s="33" t="n">
        <x:v>9</x:v>
      </x:c>
      <x:c r="T361" s="33" t="n">
        <x:v>35</x:v>
      </x:c>
      <x:c r="U361" s="30" t="str">
        <x:v>Full-length course</x:v>
      </x:c>
      <x:c r="V361" s="30"/>
      <x:c r="W361" s="30"/>
      <x:c r="X361" s="30"/>
      <x:c r="Y361" s="30" t="str">
        <x:v>https://www.dewoestekop.nl/</x:v>
      </x:c>
      <x:c r="Z361" s="30" t="b">
        <x:f>IF(AND(F361="Netherlands",ISNUMBER(L361),ISNUMBER(M361),L361&gt;=50.7,L361&lt;=53.7,M361&gt;=3.2,M361&lt;=7.3,AC361&lt;&gt;"Closed"),TRUE,FALSE)</x:f>
        <x:v>1</x:v>
      </x:c>
      <x:c r="AA361" s="30" t="b">
        <x:f>Z361</x:f>
        <x:v>1</x:v>
      </x:c>
      <x:c r="AB361" s="30" t="str">
        <x:f>IF(Z361,"verified_coordinate_and_open","not_map_ready")</x:f>
        <x:v>verified_coordinate_and_open</x:v>
      </x:c>
      <x:c r="AC361" s="30" t="str">
        <x:v>Open</x:v>
      </x:c>
      <x:c r="AD361" s="30" t="str">
        <x:v>Public — handicap 36 or lower</x:v>
      </x:c>
      <x:c r="AE361" s="31" t="b">
        <x:v>1</x:v>
      </x:c>
      <x:c r="AF361" s="31" t="b">
        <x:v>0</x:v>
      </x:c>
      <x:c r="AG361" s="30"/>
      <x:c r="AH361" s="30"/>
      <x:c r="AI361" s="30"/>
      <x:c r="AJ361" s="31" t="b">
        <x:v>0</x:v>
      </x:c>
      <x:c r="AK361" s="31" t="b">
        <x:v>0</x:v>
      </x:c>
      <x:c r="AL361" s="30" t="str">
        <x:v>Verified — national register and exact BAG address</x:v>
      </x:c>
      <x:c r="AM361" s="30" t="str">
        <x:v>https://www.golf.nl/de-baan-op/banenzoeker/overzicht</x:v>
      </x:c>
      <x:c r="AN361" s="30" t="str">
        <x:v>2026-08-15</x:v>
      </x:c>
      <x:c r="AO361" s="30" t="str">
        <x:v>+31 115-564467</x:v>
      </x:c>
      <x:c r="AP361" s="30" t="str">
        <x:v>Current NGF/GOLF.NL listing: 9 holes, par 35, 2932 metres. Listed as qualifying.</x:v>
      </x:c>
    </x:row>
    <x:row r="362">
      <x:c r="A362" s="30" t="str">
        <x:v>NL-C0237</x:v>
      </x:c>
      <x:c r="B362" s="30" t="str">
        <x:v>NL-0361</x:v>
      </x:c>
      <x:c r="C362" s="30" t="str">
        <x:v>Crayestein Golf — Main Course</x:v>
      </x:c>
      <x:c r="D362" s="30" t="str">
        <x:v>Crayestein Golf</x:v>
      </x:c>
      <x:c r="E362" s="30" t="str">
        <x:v>Main Course</x:v>
      </x:c>
      <x:c r="F362" s="30" t="str">
        <x:v>Netherlands</x:v>
      </x:c>
      <x:c r="G362" s="30" t="str">
        <x:v>Zuid-Holland</x:v>
      </x:c>
      <x:c r="H362" s="30" t="str">
        <x:v>Dordrecht</x:v>
      </x:c>
      <x:c r="I362" s="30" t="str">
        <x:v>Dordrecht</x:v>
      </x:c>
      <x:c r="J362" s="30" t="str">
        <x:v>Baanhoekweg 50</x:v>
      </x:c>
      <x:c r="K362" s="30" t="str">
        <x:v>3313 LP</x:v>
      </x:c>
      <x:c r="L362" s="32" t="n">
        <x:v>51.81700748</x:v>
      </x:c>
      <x:c r="M362" s="32" t="n">
        <x:v>4.74574575</x:v>
      </x:c>
      <x:c r="N362" s="30" t="str">
        <x:v>WGS84 / EPSG:4326</x:v>
      </x:c>
      <x:c r="O362" s="30" t="str">
        <x:v>Verified BAG address point via PDOK</x:v>
      </x:c>
      <x:c r="P362" s="30" t="str">
        <x:v>2026-08-15</x:v>
      </x:c>
      <x:c r="Q362" s="33" t="n">
        <x:f>IF(R362="","",ROUND(R362/0.9144,0))</x:f>
        <x:v>6167</x:v>
      </x:c>
      <x:c r="R362" s="33" t="n">
        <x:v>5639</x:v>
      </x:c>
      <x:c r="S362" s="33" t="n">
        <x:v>18</x:v>
      </x:c>
      <x:c r="T362" s="33" t="n">
        <x:v>71</x:v>
      </x:c>
      <x:c r="U362" s="30" t="str">
        <x:v>Full-length course</x:v>
      </x:c>
      <x:c r="V362" s="30"/>
      <x:c r="W362" s="30"/>
      <x:c r="X362" s="30"/>
      <x:c r="Y362" s="30" t="str">
        <x:v>https://crayesteingolf.nl/</x:v>
      </x:c>
      <x:c r="Z362" s="30" t="b">
        <x:f>IF(AND(F362="Netherlands",ISNUMBER(L362),ISNUMBER(M362),L362&gt;=50.7,L362&lt;=53.7,M362&gt;=3.2,M362&lt;=7.3,AC362&lt;&gt;"Closed"),TRUE,FALSE)</x:f>
        <x:v>1</x:v>
      </x:c>
      <x:c r="AA362" s="30" t="b">
        <x:f>Z362</x:f>
        <x:v>1</x:v>
      </x:c>
      <x:c r="AB362" s="30" t="str">
        <x:f>IF(Z362,"verified_coordinate_and_open","not_map_ready")</x:f>
        <x:v>verified_coordinate_and_open</x:v>
      </x:c>
      <x:c r="AC362" s="30" t="str">
        <x:v>Open</x:v>
      </x:c>
      <x:c r="AD362" s="30" t="str">
        <x:v>Public — handicap 54 or lower</x:v>
      </x:c>
      <x:c r="AE362" s="31" t="b">
        <x:v>1</x:v>
      </x:c>
      <x:c r="AF362" s="31" t="b">
        <x:v>0</x:v>
      </x:c>
      <x:c r="AG362" s="30"/>
      <x:c r="AH362" s="30"/>
      <x:c r="AI362" s="30"/>
      <x:c r="AJ362" s="31" t="b">
        <x:v>0</x:v>
      </x:c>
      <x:c r="AK362" s="31" t="b">
        <x:v>0</x:v>
      </x:c>
      <x:c r="AL362" s="30" t="str">
        <x:v>Verified — national register and exact BAG address</x:v>
      </x:c>
      <x:c r="AM362" s="30" t="str">
        <x:v>https://www.golf.nl/de-baan-op/banenzoeker/overzicht</x:v>
      </x:c>
      <x:c r="AN362" s="30" t="str">
        <x:v>2026-08-15</x:v>
      </x:c>
      <x:c r="AO362" s="30" t="str">
        <x:v>+31 78-6211221</x:v>
      </x:c>
      <x:c r="AP362" s="30" t="str">
        <x:v>Current NGF/GOLF.NL listing: 18 holes, par 71, 5639 metres. Combined from exact NGF-listed constituent nine-hole loops: 1ste negen (9 holes, par 36, 2876 m); 2de negen (9 holes, par 35, 2763 m) Listed as qualifying.</x:v>
      </x:c>
    </x:row>
    <x:row r="363">
      <x:c r="A363" s="30" t="str">
        <x:v>NL-C0237</x:v>
      </x:c>
      <x:c r="B363" s="30" t="str">
        <x:v>NL-0362</x:v>
      </x:c>
      <x:c r="C363" s="30" t="str">
        <x:v>Crayestein Golf — Pitch&amp;Putt baan</x:v>
      </x:c>
      <x:c r="D363" s="30" t="str">
        <x:v>Crayestein Golf</x:v>
      </x:c>
      <x:c r="E363" s="30" t="str">
        <x:v>Pitch&amp;Putt baan</x:v>
      </x:c>
      <x:c r="F363" s="30" t="str">
        <x:v>Netherlands</x:v>
      </x:c>
      <x:c r="G363" s="30" t="str">
        <x:v>Zuid-Holland</x:v>
      </x:c>
      <x:c r="H363" s="30" t="str">
        <x:v>Dordrecht</x:v>
      </x:c>
      <x:c r="I363" s="30" t="str">
        <x:v>Dordrecht</x:v>
      </x:c>
      <x:c r="J363" s="30" t="str">
        <x:v>Baanhoekweg 50</x:v>
      </x:c>
      <x:c r="K363" s="30" t="str">
        <x:v>3313 LP</x:v>
      </x:c>
      <x:c r="L363" s="32" t="n">
        <x:v>51.81700748</x:v>
      </x:c>
      <x:c r="M363" s="32" t="n">
        <x:v>4.74574575</x:v>
      </x:c>
      <x:c r="N363" s="30" t="str">
        <x:v>WGS84 / EPSG:4326</x:v>
      </x:c>
      <x:c r="O363" s="30" t="str">
        <x:v>Verified BAG address point via PDOK</x:v>
      </x:c>
      <x:c r="P363" s="30" t="str">
        <x:v>2026-08-15</x:v>
      </x:c>
      <x:c r="Q363" s="33" t="n">
        <x:f>IF(R363="","",ROUND(R363/0.9144,0))</x:f>
        <x:v>506</x:v>
      </x:c>
      <x:c r="R363" s="33" t="n">
        <x:v>463</x:v>
      </x:c>
      <x:c r="S363" s="33" t="n">
        <x:v>9</x:v>
      </x:c>
      <x:c r="T363" s="33" t="n">
        <x:v>27</x:v>
      </x:c>
      <x:c r="U363" s="30" t="str">
        <x:v>Shortgolf / Pitch &amp; Putt</x:v>
      </x:c>
      <x:c r="V363" s="30"/>
      <x:c r="W363" s="30"/>
      <x:c r="X363" s="30"/>
      <x:c r="Y363" s="30" t="str">
        <x:v>https://crayesteingolf.nl/</x:v>
      </x:c>
      <x:c r="Z363" s="30" t="b">
        <x:f>IF(AND(F363="Netherlands",ISNUMBER(L363),ISNUMBER(M363),L363&gt;=50.7,L363&lt;=53.7,M363&gt;=3.2,M363&lt;=7.3,AC363&lt;&gt;"Closed"),TRUE,FALSE)</x:f>
        <x:v>1</x:v>
      </x:c>
      <x:c r="AA363" s="30" t="b">
        <x:f>Z363</x:f>
        <x:v>1</x:v>
      </x:c>
      <x:c r="AB363" s="30" t="str">
        <x:f>IF(Z363,"verified_coordinate_and_open","not_map_ready")</x:f>
        <x:v>verified_coordinate_and_open</x:v>
      </x:c>
      <x:c r="AC363" s="30" t="str">
        <x:v>Open</x:v>
      </x:c>
      <x:c r="AD363" s="30" t="str">
        <x:v>Public — no playing requirement</x:v>
      </x:c>
      <x:c r="AE363" s="31" t="b">
        <x:v>0</x:v>
      </x:c>
      <x:c r="AF363" s="31" t="b">
        <x:v>0</x:v>
      </x:c>
      <x:c r="AG363" s="30"/>
      <x:c r="AH363" s="30"/>
      <x:c r="AI363" s="30"/>
      <x:c r="AJ363" s="31" t="b">
        <x:v>0</x:v>
      </x:c>
      <x:c r="AK363" s="31" t="b">
        <x:v>0</x:v>
      </x:c>
      <x:c r="AL363" s="30" t="str">
        <x:v>Verified — national register and exact BAG address</x:v>
      </x:c>
      <x:c r="AM363" s="30" t="str">
        <x:v>https://www.golf.nl/de-baan-op/banenzoeker/overzicht</x:v>
      </x:c>
      <x:c r="AN363" s="30" t="str">
        <x:v>2026-08-15</x:v>
      </x:c>
      <x:c r="AO363" s="30" t="str">
        <x:v>+31 78-6211221</x:v>
      </x:c>
      <x:c r="AP363" s="30" t="str">
        <x:v>Current NGF/GOLF.NL listing: 9 holes, par 27, 463 metres. Listed as non-qualifying.</x:v>
      </x:c>
    </x:row>
    <x:row r="364">
      <x:c r="A364" s="30" t="str">
        <x:v>NL-C0238</x:v>
      </x:c>
      <x:c r="B364" s="30" t="str">
        <x:v>NL-0363</x:v>
      </x:c>
      <x:c r="C364" s="30" t="str">
        <x:v>De Strijensche Golfclub</x:v>
      </x:c>
      <x:c r="D364" s="30" t="str">
        <x:v>De Strijensche Golfclub</x:v>
      </x:c>
      <x:c r="E364" s="30" t="str">
        <x:v>Course</x:v>
      </x:c>
      <x:c r="F364" s="30" t="str">
        <x:v>Netherlands</x:v>
      </x:c>
      <x:c r="G364" s="30" t="str">
        <x:v>Zuid-Holland</x:v>
      </x:c>
      <x:c r="H364" s="30" t="str">
        <x:v>Ermelo</x:v>
      </x:c>
      <x:c r="I364" s="30" t="str">
        <x:v>Ermelo</x:v>
      </x:c>
      <x:c r="J364" s="30" t="str">
        <x:v>Palmbosweg 4</x:v>
      </x:c>
      <x:c r="K364" s="30" t="str">
        <x:v>3853 LB</x:v>
      </x:c>
      <x:c r="L364" s="32" t="n">
        <x:v>52.30227466</x:v>
      </x:c>
      <x:c r="M364" s="32" t="n">
        <x:v>5.55406021</x:v>
      </x:c>
      <x:c r="N364" s="30" t="str">
        <x:v>WGS84 / EPSG:4326</x:v>
      </x:c>
      <x:c r="O364" s="30" t="str">
        <x:v>Verified BAG address point via PDOK</x:v>
      </x:c>
      <x:c r="P364" s="30" t="str">
        <x:v>2026-08-15</x:v>
      </x:c>
      <x:c r="Q364" s="33" t="n">
        <x:f>IF(R364="","",ROUND(R364/0.9144,0))</x:f>
        <x:v>2993</x:v>
      </x:c>
      <x:c r="R364" s="33" t="n">
        <x:v>2737</x:v>
      </x:c>
      <x:c r="S364" s="33" t="n">
        <x:v>9</x:v>
      </x:c>
      <x:c r="T364" s="33" t="n">
        <x:v>35</x:v>
      </x:c>
      <x:c r="U364" s="30" t="str">
        <x:v>Full-length course</x:v>
      </x:c>
      <x:c r="V364" s="30"/>
      <x:c r="W364" s="30"/>
      <x:c r="X364" s="30"/>
      <x:c r="Y364" s="30" t="str">
        <x:v>https://destrijenschegolfclub.nl/</x:v>
      </x:c>
      <x:c r="Z364" s="30" t="b">
        <x:f>IF(AND(F364="Netherlands",ISNUMBER(L364),ISNUMBER(M364),L364&gt;=50.7,L364&lt;=53.7,M364&gt;=3.2,M364&lt;=7.3,AC364&lt;&gt;"Closed"),TRUE,FALSE)</x:f>
        <x:v>1</x:v>
      </x:c>
      <x:c r="AA364" s="30" t="b">
        <x:f>Z364</x:f>
        <x:v>1</x:v>
      </x:c>
      <x:c r="AB364" s="30" t="str">
        <x:f>IF(Z364,"verified_coordinate_and_open","not_map_ready")</x:f>
        <x:v>verified_coordinate_and_open</x:v>
      </x:c>
      <x:c r="AC364" s="30" t="str">
        <x:v>Open</x:v>
      </x:c>
      <x:c r="AD364" s="30" t="str">
        <x:v>Public — NGF course permission</x:v>
      </x:c>
      <x:c r="AE364" s="31" t="b">
        <x:v>1</x:v>
      </x:c>
      <x:c r="AF364" s="31" t="b">
        <x:v>0</x:v>
      </x:c>
      <x:c r="AG364" s="30"/>
      <x:c r="AH364" s="30"/>
      <x:c r="AI364" s="30"/>
      <x:c r="AJ364" s="31" t="b">
        <x:v>0</x:v>
      </x:c>
      <x:c r="AK364" s="31" t="b">
        <x:v>0</x:v>
      </x:c>
      <x:c r="AL364" s="30" t="str">
        <x:v>Verified — national register and exact BAG address</x:v>
      </x:c>
      <x:c r="AM364" s="30" t="str">
        <x:v>https://www.golf.nl/de-baan-op/banenzoeker/overzicht</x:v>
      </x:c>
      <x:c r="AN364" s="30" t="str">
        <x:v>2026-08-15</x:v>
      </x:c>
      <x:c r="AO364" s="30" t="str">
        <x:v>+31 78-6744564</x:v>
      </x:c>
      <x:c r="AP364" s="30" t="str">
        <x:v>Current NGF/GOLF.NL listing: 9 holes, par 35, 2737 metres. Listed as qualifying.</x:v>
      </x:c>
    </x:row>
    <x:row r="365">
      <x:c r="A365" s="30" t="str">
        <x:v>NL-C0239</x:v>
      </x:c>
      <x:c r="B365" s="30" t="str">
        <x:v>NL-0364</x:v>
      </x:c>
      <x:c r="C365" s="30" t="str">
        <x:v>DSV Concordia Golf</x:v>
      </x:c>
      <x:c r="D365" s="30" t="str">
        <x:v>DSV Concordia Golf</x:v>
      </x:c>
      <x:c r="E365" s="30" t="str">
        <x:v>Course</x:v>
      </x:c>
      <x:c r="F365" s="30" t="str">
        <x:v>Netherlands</x:v>
      </x:c>
      <x:c r="G365" s="30" t="str">
        <x:v>Zuid-Holland</x:v>
      </x:c>
      <x:c r="H365" s="30" t="str">
        <x:v>Delft</x:v>
      </x:c>
      <x:c r="I365" s="30" t="str">
        <x:v>Delft</x:v>
      </x:c>
      <x:c r="J365" s="30" t="str">
        <x:v>Brasserskade 236</x:v>
      </x:c>
      <x:c r="K365" s="30" t="str">
        <x:v>2616 LA</x:v>
      </x:c>
      <x:c r="L365" s="32" t="n">
        <x:v>52.03058638</x:v>
      </x:c>
      <x:c r="M365" s="32" t="n">
        <x:v>4.37242973</x:v>
      </x:c>
      <x:c r="N365" s="30" t="str">
        <x:v>WGS84 / EPSG:4326</x:v>
      </x:c>
      <x:c r="O365" s="30" t="str">
        <x:v>Verified BAG address point via PDOK</x:v>
      </x:c>
      <x:c r="P365" s="30" t="str">
        <x:v>2026-08-15</x:v>
      </x:c>
      <x:c r="Q365" s="33" t="n">
        <x:f>IF(R365="","",ROUND(R365/0.9144,0))</x:f>
        <x:v>1084</x:v>
      </x:c>
      <x:c r="R365" s="33" t="n">
        <x:v>991</x:v>
      </x:c>
      <x:c r="S365" s="33" t="n">
        <x:v>9</x:v>
      </x:c>
      <x:c r="T365" s="33" t="n">
        <x:v>27</x:v>
      </x:c>
      <x:c r="U365" s="30" t="str">
        <x:v>Par-3 course</x:v>
      </x:c>
      <x:c r="V365" s="30"/>
      <x:c r="W365" s="30"/>
      <x:c r="X365" s="30"/>
      <x:c r="Y365" s="30" t="str">
        <x:v>https://www.concordiadelft.nl/</x:v>
      </x:c>
      <x:c r="Z365" s="30" t="b">
        <x:f>IF(AND(F365="Netherlands",ISNUMBER(L365),ISNUMBER(M365),L365&gt;=50.7,L365&lt;=53.7,M365&gt;=3.2,M365&lt;=7.3,AC365&lt;&gt;"Closed"),TRUE,FALSE)</x:f>
        <x:v>1</x:v>
      </x:c>
      <x:c r="AA365" s="30" t="b">
        <x:f>Z365</x:f>
        <x:v>1</x:v>
      </x:c>
      <x:c r="AB365" s="30" t="str">
        <x:f>IF(Z365,"verified_coordinate_and_open","not_map_ready")</x:f>
        <x:v>verified_coordinate_and_open</x:v>
      </x:c>
      <x:c r="AC365" s="30" t="str">
        <x:v>Open</x:v>
      </x:c>
      <x:c r="AD365" s="30" t="str">
        <x:v>Public — NGF course permission</x:v>
      </x:c>
      <x:c r="AE365" s="31" t="b">
        <x:v>1</x:v>
      </x:c>
      <x:c r="AF365" s="31" t="b">
        <x:v>0</x:v>
      </x:c>
      <x:c r="AG365" s="30"/>
      <x:c r="AH365" s="30"/>
      <x:c r="AI365" s="30"/>
      <x:c r="AJ365" s="31" t="b">
        <x:v>0</x:v>
      </x:c>
      <x:c r="AK365" s="31" t="b">
        <x:v>0</x:v>
      </x:c>
      <x:c r="AL365" s="30" t="str">
        <x:v>Verified — national register and exact BAG address</x:v>
      </x:c>
      <x:c r="AM365" s="30" t="str">
        <x:v>https://www.golf.nl/de-baan-op/banenzoeker/overzicht</x:v>
      </x:c>
      <x:c r="AN365" s="30" t="str">
        <x:v>2026-08-15</x:v>
      </x:c>
      <x:c r="AO365" s="30" t="str">
        <x:v>+31 15-2572304</x:v>
      </x:c>
      <x:c r="AP365" s="30" t="str">
        <x:v>Current NGF/GOLF.NL listing: 9 holes, par 27, 991 metres. Listed as qualifying.</x:v>
      </x:c>
    </x:row>
    <x:row r="366">
      <x:c r="A366" s="30" t="str">
        <x:v>NL-C0240</x:v>
      </x:c>
      <x:c r="B366" s="30" t="str">
        <x:v>NL-0365</x:v>
      </x:c>
      <x:c r="C366" s="30" t="str">
        <x:v>Estec Golf Club</x:v>
      </x:c>
      <x:c r="D366" s="30" t="str">
        <x:v>Estec Golf Club</x:v>
      </x:c>
      <x:c r="E366" s="30" t="str">
        <x:v>Course</x:v>
      </x:c>
      <x:c r="F366" s="30" t="str">
        <x:v>Netherlands</x:v>
      </x:c>
      <x:c r="G366" s="30" t="str">
        <x:v>Zuid-Holland</x:v>
      </x:c>
      <x:c r="H366" s="30" t="str">
        <x:v>Noordwijk</x:v>
      </x:c>
      <x:c r="I366" s="30" t="str">
        <x:v>Noordwijk</x:v>
      </x:c>
      <x:c r="J366" s="30" t="str">
        <x:v>Keplerlaan 1</x:v>
      </x:c>
      <x:c r="K366" s="30" t="str">
        <x:v>2201 AZ</x:v>
      </x:c>
      <x:c r="L366" s="32" t="n">
        <x:v>52.21625467</x:v>
      </x:c>
      <x:c r="M366" s="32" t="n">
        <x:v>4.41604796</x:v>
      </x:c>
      <x:c r="N366" s="30" t="str">
        <x:v>WGS84 / EPSG:4326</x:v>
      </x:c>
      <x:c r="O366" s="30" t="str">
        <x:v>Verified BAG address point via PDOK</x:v>
      </x:c>
      <x:c r="P366" s="30" t="str">
        <x:v>2026-08-15</x:v>
      </x:c>
      <x:c r="Q366" s="33" t="n">
        <x:f>IF(R366="","",ROUND(R366/0.9144,0))</x:f>
        <x:v>1766</x:v>
      </x:c>
      <x:c r="R366" s="33" t="n">
        <x:v>1615</x:v>
      </x:c>
      <x:c r="S366" s="33" t="n">
        <x:v>9</x:v>
      </x:c>
      <x:c r="T366" s="33" t="n">
        <x:v>29</x:v>
      </x:c>
      <x:c r="U366" s="30" t="str">
        <x:v>Par-3/4 course</x:v>
      </x:c>
      <x:c r="V366" s="30"/>
      <x:c r="W366" s="30"/>
      <x:c r="X366" s="30"/>
      <x:c r="Y366" s="30" t="str">
        <x:v>https://www.egcgolf.nl/</x:v>
      </x:c>
      <x:c r="Z366" s="30" t="b">
        <x:f>IF(AND(F366="Netherlands",ISNUMBER(L366),ISNUMBER(M366),L366&gt;=50.7,L366&lt;=53.7,M366&gt;=3.2,M366&lt;=7.3,AC366&lt;&gt;"Closed"),TRUE,FALSE)</x:f>
        <x:v>1</x:v>
      </x:c>
      <x:c r="AA366" s="30" t="b">
        <x:f>Z366</x:f>
        <x:v>1</x:v>
      </x:c>
      <x:c r="AB366" s="30" t="str">
        <x:f>IF(Z366,"verified_coordinate_and_open","not_map_ready")</x:f>
        <x:v>verified_coordinate_and_open</x:v>
      </x:c>
      <x:c r="AC366" s="30" t="str">
        <x:v>Open</x:v>
      </x:c>
      <x:c r="AD366" s="30" t="str">
        <x:v>Public — handicap 54 or lower</x:v>
      </x:c>
      <x:c r="AE366" s="31" t="b">
        <x:v>1</x:v>
      </x:c>
      <x:c r="AF366" s="31" t="b">
        <x:v>0</x:v>
      </x:c>
      <x:c r="AG366" s="30"/>
      <x:c r="AH366" s="30"/>
      <x:c r="AI366" s="30"/>
      <x:c r="AJ366" s="31" t="b">
        <x:v>0</x:v>
      </x:c>
      <x:c r="AK366" s="31" t="b">
        <x:v>0</x:v>
      </x:c>
      <x:c r="AL366" s="30" t="str">
        <x:v>Verified — national register and exact BAG address</x:v>
      </x:c>
      <x:c r="AM366" s="30" t="str">
        <x:v>https://www.golf.nl/de-baan-op/banenzoeker/overzicht</x:v>
      </x:c>
      <x:c r="AN366" s="30" t="str">
        <x:v>2026-08-15</x:v>
      </x:c>
      <x:c r="AO366" s="30"/>
      <x:c r="AP366" s="30" t="str">
        <x:v>Current NGF/GOLF.NL listing: 9 holes, par 29, 1615 metres. Listed as qualifying.</x:v>
      </x:c>
    </x:row>
    <x:row r="367">
      <x:c r="A367" s="30" t="str">
        <x:v>NL-C0241</x:v>
      </x:c>
      <x:c r="B367" s="30" t="str">
        <x:v>NL-0366</x:v>
      </x:c>
      <x:c r="C367" s="30" t="str">
        <x:v>Golf &amp; Country Club Liemeer — Bovenlandenbaan</x:v>
      </x:c>
      <x:c r="D367" s="30" t="str">
        <x:v>Golf &amp; Country Club Liemeer</x:v>
      </x:c>
      <x:c r="E367" s="30" t="str">
        <x:v>Bovenlandenbaan</x:v>
      </x:c>
      <x:c r="F367" s="30" t="str">
        <x:v>Netherlands</x:v>
      </x:c>
      <x:c r="G367" s="30" t="str">
        <x:v>Zuid-Holland</x:v>
      </x:c>
      <x:c r="H367" s="30" t="str">
        <x:v>Nieuwkoop</x:v>
      </x:c>
      <x:c r="I367" s="30" t="str">
        <x:v>Nieuwveen</x:v>
      </x:c>
      <x:c r="J367" s="30" t="str">
        <x:v>Golfpad 1</x:v>
      </x:c>
      <x:c r="K367" s="30" t="str">
        <x:v>2441 EW</x:v>
      </x:c>
      <x:c r="L367" s="32" t="n">
        <x:v>52.18960374</x:v>
      </x:c>
      <x:c r="M367" s="32" t="n">
        <x:v>4.7436161</x:v>
      </x:c>
      <x:c r="N367" s="30" t="str">
        <x:v>WGS84 / EPSG:4326</x:v>
      </x:c>
      <x:c r="O367" s="30" t="str">
        <x:v>Verified BAG address point via PDOK</x:v>
      </x:c>
      <x:c r="P367" s="30" t="str">
        <x:v>2026-08-15</x:v>
      </x:c>
      <x:c r="Q367" s="33" t="n">
        <x:f>IF(R367="","",ROUND(R367/0.9144,0))</x:f>
        <x:v>1772</x:v>
      </x:c>
      <x:c r="R367" s="33" t="n">
        <x:v>1620</x:v>
      </x:c>
      <x:c r="S367" s="33" t="n">
        <x:v>9</x:v>
      </x:c>
      <x:c r="T367" s="33" t="n">
        <x:v>31</x:v>
      </x:c>
      <x:c r="U367" s="30" t="str">
        <x:v>Par-3/4 course</x:v>
      </x:c>
      <x:c r="V367" s="30"/>
      <x:c r="W367" s="30"/>
      <x:c r="X367" s="30"/>
      <x:c r="Y367" s="30" t="str">
        <x:v>https://www.golfclubliemeer.nl/nl/</x:v>
      </x:c>
      <x:c r="Z367" s="30" t="b">
        <x:f>IF(AND(F367="Netherlands",ISNUMBER(L367),ISNUMBER(M367),L367&gt;=50.7,L367&lt;=53.7,M367&gt;=3.2,M367&lt;=7.3,AC367&lt;&gt;"Closed"),TRUE,FALSE)</x:f>
        <x:v>1</x:v>
      </x:c>
      <x:c r="AA367" s="30" t="b">
        <x:f>Z367</x:f>
        <x:v>1</x:v>
      </x:c>
      <x:c r="AB367" s="30" t="str">
        <x:f>IF(Z367,"verified_coordinate_and_open","not_map_ready")</x:f>
        <x:v>verified_coordinate_and_open</x:v>
      </x:c>
      <x:c r="AC367" s="30" t="str">
        <x:v>Open</x:v>
      </x:c>
      <x:c r="AD367" s="30" t="str">
        <x:v>Public — NGF course permission</x:v>
      </x:c>
      <x:c r="AE367" s="31" t="b">
        <x:v>1</x:v>
      </x:c>
      <x:c r="AF367" s="31" t="b">
        <x:v>0</x:v>
      </x:c>
      <x:c r="AG367" s="30"/>
      <x:c r="AH367" s="30"/>
      <x:c r="AI367" s="30"/>
      <x:c r="AJ367" s="31" t="b">
        <x:v>0</x:v>
      </x:c>
      <x:c r="AK367" s="31" t="b">
        <x:v>0</x:v>
      </x:c>
      <x:c r="AL367" s="30" t="str">
        <x:v>Verified — national register and exact BAG address</x:v>
      </x:c>
      <x:c r="AM367" s="30" t="str">
        <x:v>https://www.golf.nl/de-baan-op/banenzoeker/overzicht</x:v>
      </x:c>
      <x:c r="AN367" s="30" t="str">
        <x:v>2026-08-15</x:v>
      </x:c>
      <x:c r="AO367" s="30" t="str">
        <x:v>+31 172-538439</x:v>
      </x:c>
      <x:c r="AP367" s="30" t="str">
        <x:v>Current NGF/GOLF.NL listing: 9 holes, par 31, 1620 metres. Listed as qualifying.</x:v>
      </x:c>
    </x:row>
    <x:row r="368">
      <x:c r="A368" s="30" t="str">
        <x:v>NL-C0241</x:v>
      </x:c>
      <x:c r="B368" s="30" t="str">
        <x:v>NL-0367</x:v>
      </x:c>
      <x:c r="C368" s="30" t="str">
        <x:v>Golf &amp; Country Club Liemeer — Torenbaan</x:v>
      </x:c>
      <x:c r="D368" s="30" t="str">
        <x:v>Golf &amp; Country Club Liemeer</x:v>
      </x:c>
      <x:c r="E368" s="30" t="str">
        <x:v>Torenbaan</x:v>
      </x:c>
      <x:c r="F368" s="30" t="str">
        <x:v>Netherlands</x:v>
      </x:c>
      <x:c r="G368" s="30" t="str">
        <x:v>Zuid-Holland</x:v>
      </x:c>
      <x:c r="H368" s="30" t="str">
        <x:v>Nieuwkoop</x:v>
      </x:c>
      <x:c r="I368" s="30" t="str">
        <x:v>Nieuwveen</x:v>
      </x:c>
      <x:c r="J368" s="30" t="str">
        <x:v>Golfpad 1</x:v>
      </x:c>
      <x:c r="K368" s="30" t="str">
        <x:v>2441 EW</x:v>
      </x:c>
      <x:c r="L368" s="32" t="n">
        <x:v>52.18960374</x:v>
      </x:c>
      <x:c r="M368" s="32" t="n">
        <x:v>4.7436161</x:v>
      </x:c>
      <x:c r="N368" s="30" t="str">
        <x:v>WGS84 / EPSG:4326</x:v>
      </x:c>
      <x:c r="O368" s="30" t="str">
        <x:v>Verified BAG address point via PDOK</x:v>
      </x:c>
      <x:c r="P368" s="30" t="str">
        <x:v>2026-08-15</x:v>
      </x:c>
      <x:c r="Q368" s="33" t="n">
        <x:f>IF(R368="","",ROUND(R368/0.9144,0))</x:f>
        <x:v>6584</x:v>
      </x:c>
      <x:c r="R368" s="33" t="n">
        <x:v>6020</x:v>
      </x:c>
      <x:c r="S368" s="33" t="n">
        <x:v>18</x:v>
      </x:c>
      <x:c r="T368" s="33" t="n">
        <x:v>72</x:v>
      </x:c>
      <x:c r="U368" s="30" t="str">
        <x:v>Full-length course</x:v>
      </x:c>
      <x:c r="V368" s="30"/>
      <x:c r="W368" s="30"/>
      <x:c r="X368" s="30"/>
      <x:c r="Y368" s="30" t="str">
        <x:v>https://www.golfclubliemeer.nl/nl/</x:v>
      </x:c>
      <x:c r="Z368" s="30" t="b">
        <x:f>IF(AND(F368="Netherlands",ISNUMBER(L368),ISNUMBER(M368),L368&gt;=50.7,L368&lt;=53.7,M368&gt;=3.2,M368&lt;=7.3,AC368&lt;&gt;"Closed"),TRUE,FALSE)</x:f>
        <x:v>1</x:v>
      </x:c>
      <x:c r="AA368" s="30" t="b">
        <x:f>Z368</x:f>
        <x:v>1</x:v>
      </x:c>
      <x:c r="AB368" s="30" t="str">
        <x:f>IF(Z368,"verified_coordinate_and_open","not_map_ready")</x:f>
        <x:v>verified_coordinate_and_open</x:v>
      </x:c>
      <x:c r="AC368" s="30" t="str">
        <x:v>Open</x:v>
      </x:c>
      <x:c r="AD368" s="30" t="str">
        <x:v>Public — handicap 54 or lower</x:v>
      </x:c>
      <x:c r="AE368" s="31" t="b">
        <x:v>1</x:v>
      </x:c>
      <x:c r="AF368" s="31" t="b">
        <x:v>0</x:v>
      </x:c>
      <x:c r="AG368" s="30"/>
      <x:c r="AH368" s="30"/>
      <x:c r="AI368" s="30"/>
      <x:c r="AJ368" s="31" t="b">
        <x:v>0</x:v>
      </x:c>
      <x:c r="AK368" s="31" t="b">
        <x:v>0</x:v>
      </x:c>
      <x:c r="AL368" s="30" t="str">
        <x:v>Verified — national register and exact BAG address</x:v>
      </x:c>
      <x:c r="AM368" s="30" t="str">
        <x:v>https://www.golf.nl/de-baan-op/banenzoeker/overzicht</x:v>
      </x:c>
      <x:c r="AN368" s="30" t="str">
        <x:v>2026-08-15</x:v>
      </x:c>
      <x:c r="AO368" s="30" t="str">
        <x:v>+31 172-538439</x:v>
      </x:c>
      <x:c r="AP368" s="30" t="str">
        <x:v>Current NGF/GOLF.NL listing: 18 holes, par 72, 6020 metres. Combined from exact NGF-listed constituent nine-hole loops: Torenbaan 1ste negen (9 holes, par 36, 2929 m); Torenbaan 2de negen (9 holes, par 36, 3091 m) Listed as qualifying.</x:v>
      </x:c>
    </x:row>
    <x:row r="369">
      <x:c r="A369" s="30" t="str">
        <x:v>NL-C0242</x:v>
      </x:c>
      <x:c r="B369" s="30" t="str">
        <x:v>NL-0368</x:v>
      </x:c>
      <x:c r="C369" s="30" t="str">
        <x:v>Golf Centrum Noordwijk</x:v>
      </x:c>
      <x:c r="D369" s="30" t="str">
        <x:v>Golf Centrum Noordwijk</x:v>
      </x:c>
      <x:c r="E369" s="30" t="str">
        <x:v>Course</x:v>
      </x:c>
      <x:c r="F369" s="30" t="str">
        <x:v>Netherlands</x:v>
      </x:c>
      <x:c r="G369" s="30" t="str">
        <x:v>Zuid-Holland</x:v>
      </x:c>
      <x:c r="H369" s="30" t="str">
        <x:v>Noordwijk</x:v>
      </x:c>
      <x:c r="I369" s="30" t="str">
        <x:v>Noordwijk</x:v>
      </x:c>
      <x:c r="J369" s="30" t="str">
        <x:v>Van Berckelweg 38</x:v>
      </x:c>
      <x:c r="K369" s="30" t="str">
        <x:v>2203 LB</x:v>
      </x:c>
      <x:c r="L369" s="32" t="n">
        <x:v>52.22791268</x:v>
      </x:c>
      <x:c r="M369" s="32" t="n">
        <x:v>4.46574921</x:v>
      </x:c>
      <x:c r="N369" s="30" t="str">
        <x:v>WGS84 / EPSG:4326</x:v>
      </x:c>
      <x:c r="O369" s="30" t="str">
        <x:v>Verified BAG address point via PDOK</x:v>
      </x:c>
      <x:c r="P369" s="30" t="str">
        <x:v>2026-08-15</x:v>
      </x:c>
      <x:c r="Q369" s="33" t="n">
        <x:f>IF(R369="","",ROUND(R369/0.9144,0))</x:f>
        <x:v>868</x:v>
      </x:c>
      <x:c r="R369" s="33" t="n">
        <x:v>794</x:v>
      </x:c>
      <x:c r="S369" s="33" t="n">
        <x:v>9</x:v>
      </x:c>
      <x:c r="T369" s="33" t="n">
        <x:v>27</x:v>
      </x:c>
      <x:c r="U369" s="30" t="str">
        <x:v>Par-3 course</x:v>
      </x:c>
      <x:c r="V369" s="30"/>
      <x:c r="W369" s="30"/>
      <x:c r="X369" s="30"/>
      <x:c r="Y369" s="30" t="str">
        <x:v>https://golfcentrumnoordwijk.nl/</x:v>
      </x:c>
      <x:c r="Z369" s="30" t="b">
        <x:f>IF(AND(F369="Netherlands",ISNUMBER(L369),ISNUMBER(M369),L369&gt;=50.7,L369&lt;=53.7,M369&gt;=3.2,M369&lt;=7.3,AC369&lt;&gt;"Closed"),TRUE,FALSE)</x:f>
        <x:v>1</x:v>
      </x:c>
      <x:c r="AA369" s="30" t="b">
        <x:f>Z369</x:f>
        <x:v>1</x:v>
      </x:c>
      <x:c r="AB369" s="30" t="str">
        <x:f>IF(Z369,"verified_coordinate_and_open","not_map_ready")</x:f>
        <x:v>verified_coordinate_and_open</x:v>
      </x:c>
      <x:c r="AC369" s="30" t="str">
        <x:v>Open</x:v>
      </x:c>
      <x:c r="AD369" s="30" t="str">
        <x:v>Public — NGF course permission</x:v>
      </x:c>
      <x:c r="AE369" s="31" t="b">
        <x:v>1</x:v>
      </x:c>
      <x:c r="AF369" s="31" t="b">
        <x:v>0</x:v>
      </x:c>
      <x:c r="AG369" s="30"/>
      <x:c r="AH369" s="30"/>
      <x:c r="AI369" s="30"/>
      <x:c r="AJ369" s="31" t="b">
        <x:v>0</x:v>
      </x:c>
      <x:c r="AK369" s="31" t="b">
        <x:v>0</x:v>
      </x:c>
      <x:c r="AL369" s="30" t="str">
        <x:v>Verified — national register and exact BAG address</x:v>
      </x:c>
      <x:c r="AM369" s="30" t="str">
        <x:v>https://www.golf.nl/de-baan-op/banenzoeker/overzicht</x:v>
      </x:c>
      <x:c r="AN369" s="30" t="str">
        <x:v>2026-08-15</x:v>
      </x:c>
      <x:c r="AO369" s="30" t="str">
        <x:v>+31 71-3646543</x:v>
      </x:c>
      <x:c r="AP369" s="30" t="str">
        <x:v>Current NGF/GOLF.NL listing: 9 holes, par 27, 794 metres. Listed as qualifying.</x:v>
      </x:c>
    </x:row>
    <x:row r="370">
      <x:c r="A370" s="30" t="str">
        <x:v>NL-C0243</x:v>
      </x:c>
      <x:c r="B370" s="30" t="str">
        <x:v>NL-0369</x:v>
      </x:c>
      <x:c r="C370" s="30" t="str">
        <x:v>Golf Duinzicht</x:v>
      </x:c>
      <x:c r="D370" s="30" t="str">
        <x:v>Golf Duinzicht</x:v>
      </x:c>
      <x:c r="E370" s="30" t="str">
        <x:v>Course</x:v>
      </x:c>
      <x:c r="F370" s="30" t="str">
        <x:v>Netherlands</x:v>
      </x:c>
      <x:c r="G370" s="30" t="str">
        <x:v>Zuid-Holland</x:v>
      </x:c>
      <x:c r="H370" s="30" t="str">
        <x:v>Wassenaar</x:v>
      </x:c>
      <x:c r="I370" s="30" t="str">
        <x:v>Wassenaar</x:v>
      </x:c>
      <x:c r="J370" s="30" t="str">
        <x:v>Waalsdorperlaan 40</x:v>
      </x:c>
      <x:c r="K370" s="30" t="str">
        <x:v>2244 BN</x:v>
      </x:c>
      <x:c r="L370" s="32" t="n">
        <x:v>52.10897623</x:v>
      </x:c>
      <x:c r="M370" s="32" t="n">
        <x:v>4.34177814</x:v>
      </x:c>
      <x:c r="N370" s="30" t="str">
        <x:v>WGS84 / EPSG:4326</x:v>
      </x:c>
      <x:c r="O370" s="30" t="str">
        <x:v>Verified BAG address point via PDOK</x:v>
      </x:c>
      <x:c r="P370" s="30" t="str">
        <x:v>2026-08-15</x:v>
      </x:c>
      <x:c r="Q370" s="33" t="n">
        <x:f>IF(R370="","",ROUND(R370/0.9144,0))</x:f>
        <x:v>1561</x:v>
      </x:c>
      <x:c r="R370" s="33" t="n">
        <x:v>1427</x:v>
      </x:c>
      <x:c r="S370" s="33" t="n">
        <x:v>9</x:v>
      </x:c>
      <x:c r="T370" s="33" t="n">
        <x:v>29</x:v>
      </x:c>
      <x:c r="U370" s="30" t="str">
        <x:v>Par-3/4 course</x:v>
      </x:c>
      <x:c r="V370" s="30"/>
      <x:c r="W370" s="30"/>
      <x:c r="X370" s="30"/>
      <x:c r="Y370" s="30" t="str">
        <x:v>https://golfduinzicht.nl/</x:v>
      </x:c>
      <x:c r="Z370" s="30" t="b">
        <x:f>IF(AND(F370="Netherlands",ISNUMBER(L370),ISNUMBER(M370),L370&gt;=50.7,L370&lt;=53.7,M370&gt;=3.2,M370&lt;=7.3,AC370&lt;&gt;"Closed"),TRUE,FALSE)</x:f>
        <x:v>1</x:v>
      </x:c>
      <x:c r="AA370" s="30" t="b">
        <x:f>Z370</x:f>
        <x:v>1</x:v>
      </x:c>
      <x:c r="AB370" s="30" t="str">
        <x:f>IF(Z370,"verified_coordinate_and_open","not_map_ready")</x:f>
        <x:v>verified_coordinate_and_open</x:v>
      </x:c>
      <x:c r="AC370" s="30" t="str">
        <x:v>Open</x:v>
      </x:c>
      <x:c r="AD370" s="30" t="str">
        <x:v>Public — handicap 54 or lower</x:v>
      </x:c>
      <x:c r="AE370" s="31" t="b">
        <x:v>1</x:v>
      </x:c>
      <x:c r="AF370" s="31" t="b">
        <x:v>0</x:v>
      </x:c>
      <x:c r="AG370" s="30"/>
      <x:c r="AH370" s="30"/>
      <x:c r="AI370" s="30"/>
      <x:c r="AJ370" s="31" t="b">
        <x:v>0</x:v>
      </x:c>
      <x:c r="AK370" s="31" t="b">
        <x:v>0</x:v>
      </x:c>
      <x:c r="AL370" s="30" t="str">
        <x:v>Verified — national register and exact BAG address</x:v>
      </x:c>
      <x:c r="AM370" s="30" t="str">
        <x:v>https://www.golf.nl/de-baan-op/banenzoeker/overzicht</x:v>
      </x:c>
      <x:c r="AN370" s="30" t="str">
        <x:v>2026-08-15</x:v>
      </x:c>
      <x:c r="AO370" s="30" t="str">
        <x:v>+31 70-3246598</x:v>
      </x:c>
      <x:c r="AP370" s="30" t="str">
        <x:v>Current NGF/GOLF.NL listing: 9 holes, par 29, 1427 metres. Listed as qualifying.</x:v>
      </x:c>
    </x:row>
    <x:row r="371">
      <x:c r="A371" s="30" t="str">
        <x:v>NL-C0244</x:v>
      </x:c>
      <x:c r="B371" s="30" t="str">
        <x:v>NL-0370</x:v>
      </x:c>
      <x:c r="C371" s="30" t="str">
        <x:v>Golf Ockenburgh</x:v>
      </x:c>
      <x:c r="D371" s="30" t="str">
        <x:v>Golf Ockenburgh</x:v>
      </x:c>
      <x:c r="E371" s="30" t="str">
        <x:v>Course</x:v>
      </x:c>
      <x:c r="F371" s="30" t="str">
        <x:v>Netherlands</x:v>
      </x:c>
      <x:c r="G371" s="30" t="str">
        <x:v>Zuid-Holland</x:v>
      </x:c>
      <x:c r="H371" s="30" t="str">
        <x:v>'s-Gravenhage</x:v>
      </x:c>
      <x:c r="I371" s="30" t="str">
        <x:v>'s-Gravenhage</x:v>
      </x:c>
      <x:c r="J371" s="30" t="str">
        <x:v>Wijndaelerweg 125</x:v>
      </x:c>
      <x:c r="K371" s="30" t="str">
        <x:v>2554 CA</x:v>
      </x:c>
      <x:c r="L371" s="32" t="n">
        <x:v>52.05642957</x:v>
      </x:c>
      <x:c r="M371" s="32" t="n">
        <x:v>4.21719054</x:v>
      </x:c>
      <x:c r="N371" s="30" t="str">
        <x:v>WGS84 / EPSG:4326</x:v>
      </x:c>
      <x:c r="O371" s="30" t="str">
        <x:v>Verified BAG address point via PDOK</x:v>
      </x:c>
      <x:c r="P371" s="30" t="str">
        <x:v>2026-08-15</x:v>
      </x:c>
      <x:c r="Q371" s="33" t="n">
        <x:f>IF(R371="","",ROUND(R371/0.9144,0))</x:f>
        <x:v>1586</x:v>
      </x:c>
      <x:c r="R371" s="33" t="n">
        <x:v>1450</x:v>
      </x:c>
      <x:c r="S371" s="33" t="n">
        <x:v>9</x:v>
      </x:c>
      <x:c r="T371" s="33" t="n">
        <x:v>29</x:v>
      </x:c>
      <x:c r="U371" s="30" t="str">
        <x:v>Par-3/4 course</x:v>
      </x:c>
      <x:c r="V371" s="30"/>
      <x:c r="W371" s="30"/>
      <x:c r="X371" s="30"/>
      <x:c r="Y371" s="30" t="str">
        <x:v>https://golfockenburgh.nl/</x:v>
      </x:c>
      <x:c r="Z371" s="30" t="b">
        <x:f>IF(AND(F371="Netherlands",ISNUMBER(L371),ISNUMBER(M371),L371&gt;=50.7,L371&lt;=53.7,M371&gt;=3.2,M371&lt;=7.3,AC371&lt;&gt;"Closed"),TRUE,FALSE)</x:f>
        <x:v>1</x:v>
      </x:c>
      <x:c r="AA371" s="30" t="b">
        <x:f>Z371</x:f>
        <x:v>1</x:v>
      </x:c>
      <x:c r="AB371" s="30" t="str">
        <x:f>IF(Z371,"verified_coordinate_and_open","not_map_ready")</x:f>
        <x:v>verified_coordinate_and_open</x:v>
      </x:c>
      <x:c r="AC371" s="30" t="str">
        <x:v>Open</x:v>
      </x:c>
      <x:c r="AD371" s="30" t="str">
        <x:v>Public — handicap 54 or lower</x:v>
      </x:c>
      <x:c r="AE371" s="31" t="b">
        <x:v>1</x:v>
      </x:c>
      <x:c r="AF371" s="31" t="b">
        <x:v>0</x:v>
      </x:c>
      <x:c r="AG371" s="30"/>
      <x:c r="AH371" s="30"/>
      <x:c r="AI371" s="30"/>
      <x:c r="AJ371" s="31" t="b">
        <x:v>0</x:v>
      </x:c>
      <x:c r="AK371" s="31" t="b">
        <x:v>0</x:v>
      </x:c>
      <x:c r="AL371" s="30" t="str">
        <x:v>Verified — national register and exact BAG address</x:v>
      </x:c>
      <x:c r="AM371" s="30" t="str">
        <x:v>https://www.golf.nl/de-baan-op/banenzoeker/overzicht</x:v>
      </x:c>
      <x:c r="AN371" s="30" t="str">
        <x:v>2026-08-15</x:v>
      </x:c>
      <x:c r="AO371" s="30" t="str">
        <x:v>+31 70-3646633</x:v>
      </x:c>
      <x:c r="AP371" s="30" t="str">
        <x:v>Current NGF/GOLF.NL listing: 9 holes, par 29, 1450 metres. Listed as qualifying.</x:v>
      </x:c>
    </x:row>
    <x:row r="372">
      <x:c r="A372" s="30" t="str">
        <x:v>NL-C0245</x:v>
      </x:c>
      <x:c r="B372" s="30" t="str">
        <x:v>NL-0371</x:v>
      </x:c>
      <x:c r="C372" s="30" t="str">
        <x:v>Golfbaan Bentwoud — Noordwoud</x:v>
      </x:c>
      <x:c r="D372" s="30" t="str">
        <x:v>Golfbaan Bentwoud</x:v>
      </x:c>
      <x:c r="E372" s="30" t="str">
        <x:v>Noordwoud</x:v>
      </x:c>
      <x:c r="F372" s="30" t="str">
        <x:v>Netherlands</x:v>
      </x:c>
      <x:c r="G372" s="30" t="str">
        <x:v>Zuid-Holland</x:v>
      </x:c>
      <x:c r="H372" s="30" t="str">
        <x:v>Alphen aan den Rijn</x:v>
      </x:c>
      <x:c r="I372" s="30" t="str">
        <x:v>Benthuizen</x:v>
      </x:c>
      <x:c r="J372" s="30" t="str">
        <x:v>Boslaan 3</x:v>
      </x:c>
      <x:c r="K372" s="30" t="str">
        <x:v>2731 LD</x:v>
      </x:c>
      <x:c r="L372" s="32" t="n">
        <x:v>52.07329494</x:v>
      </x:c>
      <x:c r="M372" s="32" t="n">
        <x:v>4.57204773</x:v>
      </x:c>
      <x:c r="N372" s="30" t="str">
        <x:v>WGS84 / EPSG:4326</x:v>
      </x:c>
      <x:c r="O372" s="30" t="str">
        <x:v>Verified BAG address point via PDOK</x:v>
      </x:c>
      <x:c r="P372" s="30" t="str">
        <x:v>2026-08-15</x:v>
      </x:c>
      <x:c r="Q372" s="33" t="n">
        <x:f>IF(R372="","",ROUND(R372/0.9144,0))</x:f>
        <x:v>1472</x:v>
      </x:c>
      <x:c r="R372" s="33" t="n">
        <x:v>1346</x:v>
      </x:c>
      <x:c r="S372" s="33" t="n">
        <x:v>9</x:v>
      </x:c>
      <x:c r="T372" s="33" t="n">
        <x:v>29</x:v>
      </x:c>
      <x:c r="U372" s="30" t="str">
        <x:v>Par-3/4 course</x:v>
      </x:c>
      <x:c r="V372" s="30"/>
      <x:c r="W372" s="30"/>
      <x:c r="X372" s="30"/>
      <x:c r="Y372" s="30" t="str">
        <x:v>https://www.golfbaanbentwoud.nl/</x:v>
      </x:c>
      <x:c r="Z372" s="30" t="b">
        <x:f>IF(AND(F372="Netherlands",ISNUMBER(L372),ISNUMBER(M372),L372&gt;=50.7,L372&lt;=53.7,M372&gt;=3.2,M372&lt;=7.3,AC372&lt;&gt;"Closed"),TRUE,FALSE)</x:f>
        <x:v>1</x:v>
      </x:c>
      <x:c r="AA372" s="30" t="b">
        <x:f>Z372</x:f>
        <x:v>1</x:v>
      </x:c>
      <x:c r="AB372" s="30" t="str">
        <x:f>IF(Z372,"verified_coordinate_and_open","not_map_ready")</x:f>
        <x:v>verified_coordinate_and_open</x:v>
      </x:c>
      <x:c r="AC372" s="30" t="str">
        <x:v>Open</x:v>
      </x:c>
      <x:c r="AD372" s="30" t="str">
        <x:v>Public — no playing requirement</x:v>
      </x:c>
      <x:c r="AE372" s="31" t="b">
        <x:v>1</x:v>
      </x:c>
      <x:c r="AF372" s="31" t="b">
        <x:v>0</x:v>
      </x:c>
      <x:c r="AG372" s="30"/>
      <x:c r="AH372" s="30"/>
      <x:c r="AI372" s="30"/>
      <x:c r="AJ372" s="31" t="b">
        <x:v>0</x:v>
      </x:c>
      <x:c r="AK372" s="31" t="b">
        <x:v>0</x:v>
      </x:c>
      <x:c r="AL372" s="30" t="str">
        <x:v>Verified — national register and exact BAG address</x:v>
      </x:c>
      <x:c r="AM372" s="30" t="str">
        <x:v>https://www.golf.nl/de-baan-op/banenzoeker/overzicht</x:v>
      </x:c>
      <x:c r="AN372" s="30" t="str">
        <x:v>2026-08-15</x:v>
      </x:c>
      <x:c r="AO372" s="30" t="str">
        <x:v>+31 172-583010</x:v>
      </x:c>
      <x:c r="AP372" s="30" t="str">
        <x:v>Current NGF/GOLF.NL listing: 9 holes, par 29, 1346 metres. Listed as qualifying.</x:v>
      </x:c>
    </x:row>
    <x:row r="373">
      <x:c r="A373" s="30" t="str">
        <x:v>NL-C0245</x:v>
      </x:c>
      <x:c r="B373" s="30" t="str">
        <x:v>NL-0372</x:v>
      </x:c>
      <x:c r="C373" s="30" t="str">
        <x:v>Golfbaan Bentwoud — Oostwoud</x:v>
      </x:c>
      <x:c r="D373" s="30" t="str">
        <x:v>Golfbaan Bentwoud</x:v>
      </x:c>
      <x:c r="E373" s="30" t="str">
        <x:v>Oostwoud</x:v>
      </x:c>
      <x:c r="F373" s="30" t="str">
        <x:v>Netherlands</x:v>
      </x:c>
      <x:c r="G373" s="30" t="str">
        <x:v>Zuid-Holland</x:v>
      </x:c>
      <x:c r="H373" s="30" t="str">
        <x:v>Alphen aan den Rijn</x:v>
      </x:c>
      <x:c r="I373" s="30" t="str">
        <x:v>Benthuizen</x:v>
      </x:c>
      <x:c r="J373" s="30" t="str">
        <x:v>Boslaan 3</x:v>
      </x:c>
      <x:c r="K373" s="30" t="str">
        <x:v>2731 LD</x:v>
      </x:c>
      <x:c r="L373" s="32" t="n">
        <x:v>52.07329494</x:v>
      </x:c>
      <x:c r="M373" s="32" t="n">
        <x:v>4.57204773</x:v>
      </x:c>
      <x:c r="N373" s="30" t="str">
        <x:v>WGS84 / EPSG:4326</x:v>
      </x:c>
      <x:c r="O373" s="30" t="str">
        <x:v>Verified BAG address point via PDOK</x:v>
      </x:c>
      <x:c r="P373" s="30" t="str">
        <x:v>2026-08-15</x:v>
      </x:c>
      <x:c r="Q373" s="33" t="n">
        <x:f>IF(R373="","",ROUND(R373/0.9144,0))</x:f>
        <x:v>3073</x:v>
      </x:c>
      <x:c r="R373" s="33" t="n">
        <x:v>2810</x:v>
      </x:c>
      <x:c r="S373" s="33" t="n">
        <x:v>9</x:v>
      </x:c>
      <x:c r="T373" s="33" t="n">
        <x:v>35</x:v>
      </x:c>
      <x:c r="U373" s="30" t="str">
        <x:v>Full-length course</x:v>
      </x:c>
      <x:c r="V373" s="30"/>
      <x:c r="W373" s="30"/>
      <x:c r="X373" s="30"/>
      <x:c r="Y373" s="30" t="str">
        <x:v>https://www.golfbaanbentwoud.nl/</x:v>
      </x:c>
      <x:c r="Z373" s="30" t="b">
        <x:f>IF(AND(F373="Netherlands",ISNUMBER(L373),ISNUMBER(M373),L373&gt;=50.7,L373&lt;=53.7,M373&gt;=3.2,M373&lt;=7.3,AC373&lt;&gt;"Closed"),TRUE,FALSE)</x:f>
        <x:v>1</x:v>
      </x:c>
      <x:c r="AA373" s="30" t="b">
        <x:f>Z373</x:f>
        <x:v>1</x:v>
      </x:c>
      <x:c r="AB373" s="30" t="str">
        <x:f>IF(Z373,"verified_coordinate_and_open","not_map_ready")</x:f>
        <x:v>verified_coordinate_and_open</x:v>
      </x:c>
      <x:c r="AC373" s="30" t="str">
        <x:v>Open</x:v>
      </x:c>
      <x:c r="AD373" s="30" t="str">
        <x:v>Public — handicap 54 or lower</x:v>
      </x:c>
      <x:c r="AE373" s="31" t="b">
        <x:v>1</x:v>
      </x:c>
      <x:c r="AF373" s="31" t="b">
        <x:v>0</x:v>
      </x:c>
      <x:c r="AG373" s="30"/>
      <x:c r="AH373" s="30"/>
      <x:c r="AI373" s="30"/>
      <x:c r="AJ373" s="31" t="b">
        <x:v>0</x:v>
      </x:c>
      <x:c r="AK373" s="31" t="b">
        <x:v>0</x:v>
      </x:c>
      <x:c r="AL373" s="30" t="str">
        <x:v>Verified — national register and exact BAG address</x:v>
      </x:c>
      <x:c r="AM373" s="30" t="str">
        <x:v>https://www.golf.nl/de-baan-op/banenzoeker/overzicht</x:v>
      </x:c>
      <x:c r="AN373" s="30" t="str">
        <x:v>2026-08-15</x:v>
      </x:c>
      <x:c r="AO373" s="30" t="str">
        <x:v>+31 172-583010</x:v>
      </x:c>
      <x:c r="AP373" s="30" t="str">
        <x:v>Current NGF/GOLF.NL listing: 9 holes, par 35, 2810 metres. Listed as qualifying.</x:v>
      </x:c>
    </x:row>
    <x:row r="374">
      <x:c r="A374" s="30" t="str">
        <x:v>NL-C0245</x:v>
      </x:c>
      <x:c r="B374" s="30" t="str">
        <x:v>NL-0373</x:v>
      </x:c>
      <x:c r="C374" s="30" t="str">
        <x:v>Golfbaan Bentwoud — Westwoud</x:v>
      </x:c>
      <x:c r="D374" s="30" t="str">
        <x:v>Golfbaan Bentwoud</x:v>
      </x:c>
      <x:c r="E374" s="30" t="str">
        <x:v>Westwoud</x:v>
      </x:c>
      <x:c r="F374" s="30" t="str">
        <x:v>Netherlands</x:v>
      </x:c>
      <x:c r="G374" s="30" t="str">
        <x:v>Zuid-Holland</x:v>
      </x:c>
      <x:c r="H374" s="30" t="str">
        <x:v>Alphen aan den Rijn</x:v>
      </x:c>
      <x:c r="I374" s="30" t="str">
        <x:v>Benthuizen</x:v>
      </x:c>
      <x:c r="J374" s="30" t="str">
        <x:v>Boslaan 3</x:v>
      </x:c>
      <x:c r="K374" s="30" t="str">
        <x:v>2731 LD</x:v>
      </x:c>
      <x:c r="L374" s="32" t="n">
        <x:v>52.07329494</x:v>
      </x:c>
      <x:c r="M374" s="32" t="n">
        <x:v>4.57204773</x:v>
      </x:c>
      <x:c r="N374" s="30" t="str">
        <x:v>WGS84 / EPSG:4326</x:v>
      </x:c>
      <x:c r="O374" s="30" t="str">
        <x:v>Verified BAG address point via PDOK</x:v>
      </x:c>
      <x:c r="P374" s="30" t="str">
        <x:v>2026-08-15</x:v>
      </x:c>
      <x:c r="Q374" s="33" t="n">
        <x:f>IF(R374="","",ROUND(R374/0.9144,0))</x:f>
        <x:v>3159</x:v>
      </x:c>
      <x:c r="R374" s="33" t="n">
        <x:v>2889</x:v>
      </x:c>
      <x:c r="S374" s="33" t="n">
        <x:v>9</x:v>
      </x:c>
      <x:c r="T374" s="33" t="n">
        <x:v>35</x:v>
      </x:c>
      <x:c r="U374" s="30" t="str">
        <x:v>Full-length course</x:v>
      </x:c>
      <x:c r="V374" s="30"/>
      <x:c r="W374" s="30"/>
      <x:c r="X374" s="30"/>
      <x:c r="Y374" s="30" t="str">
        <x:v>https://www.golfbaanbentwoud.nl/</x:v>
      </x:c>
      <x:c r="Z374" s="30" t="b">
        <x:f>IF(AND(F374="Netherlands",ISNUMBER(L374),ISNUMBER(M374),L374&gt;=50.7,L374&lt;=53.7,M374&gt;=3.2,M374&lt;=7.3,AC374&lt;&gt;"Closed"),TRUE,FALSE)</x:f>
        <x:v>1</x:v>
      </x:c>
      <x:c r="AA374" s="30" t="b">
        <x:f>Z374</x:f>
        <x:v>1</x:v>
      </x:c>
      <x:c r="AB374" s="30" t="str">
        <x:f>IF(Z374,"verified_coordinate_and_open","not_map_ready")</x:f>
        <x:v>verified_coordinate_and_open</x:v>
      </x:c>
      <x:c r="AC374" s="30" t="str">
        <x:v>Open</x:v>
      </x:c>
      <x:c r="AD374" s="30" t="str">
        <x:v>Public — handicap 54 or lower</x:v>
      </x:c>
      <x:c r="AE374" s="31" t="b">
        <x:v>1</x:v>
      </x:c>
      <x:c r="AF374" s="31" t="b">
        <x:v>0</x:v>
      </x:c>
      <x:c r="AG374" s="30"/>
      <x:c r="AH374" s="30"/>
      <x:c r="AI374" s="30"/>
      <x:c r="AJ374" s="31" t="b">
        <x:v>0</x:v>
      </x:c>
      <x:c r="AK374" s="31" t="b">
        <x:v>0</x:v>
      </x:c>
      <x:c r="AL374" s="30" t="str">
        <x:v>Verified — national register and exact BAG address</x:v>
      </x:c>
      <x:c r="AM374" s="30" t="str">
        <x:v>https://www.golf.nl/de-baan-op/banenzoeker/overzicht</x:v>
      </x:c>
      <x:c r="AN374" s="30" t="str">
        <x:v>2026-08-15</x:v>
      </x:c>
      <x:c r="AO374" s="30" t="str">
        <x:v>+31 172-583010</x:v>
      </x:c>
      <x:c r="AP374" s="30" t="str">
        <x:v>Current NGF/GOLF.NL listing: 9 holes, par 35, 2889 metres. Listed as qualifying.</x:v>
      </x:c>
    </x:row>
    <x:row r="375">
      <x:c r="A375" s="30" t="str">
        <x:v>NL-C0245</x:v>
      </x:c>
      <x:c r="B375" s="30" t="str">
        <x:v>NL-0374</x:v>
      </x:c>
      <x:c r="C375" s="30" t="str">
        <x:v>Golfbaan Bentwoud — Zuidwoud</x:v>
      </x:c>
      <x:c r="D375" s="30" t="str">
        <x:v>Golfbaan Bentwoud</x:v>
      </x:c>
      <x:c r="E375" s="30" t="str">
        <x:v>Zuidwoud</x:v>
      </x:c>
      <x:c r="F375" s="30" t="str">
        <x:v>Netherlands</x:v>
      </x:c>
      <x:c r="G375" s="30" t="str">
        <x:v>Zuid-Holland</x:v>
      </x:c>
      <x:c r="H375" s="30" t="str">
        <x:v>Alphen aan den Rijn</x:v>
      </x:c>
      <x:c r="I375" s="30" t="str">
        <x:v>Benthuizen</x:v>
      </x:c>
      <x:c r="J375" s="30" t="str">
        <x:v>Boslaan 3</x:v>
      </x:c>
      <x:c r="K375" s="30" t="str">
        <x:v>2731 LD</x:v>
      </x:c>
      <x:c r="L375" s="32" t="n">
        <x:v>52.07329494</x:v>
      </x:c>
      <x:c r="M375" s="32" t="n">
        <x:v>4.57204773</x:v>
      </x:c>
      <x:c r="N375" s="30" t="str">
        <x:v>WGS84 / EPSG:4326</x:v>
      </x:c>
      <x:c r="O375" s="30" t="str">
        <x:v>Verified BAG address point via PDOK</x:v>
      </x:c>
      <x:c r="P375" s="30" t="str">
        <x:v>2026-08-15</x:v>
      </x:c>
      <x:c r="Q375" s="33" t="n">
        <x:f>IF(R375="","",ROUND(R375/0.9144,0))</x:f>
        <x:v>3498</x:v>
      </x:c>
      <x:c r="R375" s="33" t="n">
        <x:v>3199</x:v>
      </x:c>
      <x:c r="S375" s="33" t="n">
        <x:v>9</x:v>
      </x:c>
      <x:c r="T375" s="33" t="n">
        <x:v>36</x:v>
      </x:c>
      <x:c r="U375" s="30" t="str">
        <x:v>Full-length course</x:v>
      </x:c>
      <x:c r="V375" s="30"/>
      <x:c r="W375" s="30"/>
      <x:c r="X375" s="30"/>
      <x:c r="Y375" s="30" t="str">
        <x:v>https://www.golfbaanbentwoud.nl/</x:v>
      </x:c>
      <x:c r="Z375" s="30" t="b">
        <x:f>IF(AND(F375="Netherlands",ISNUMBER(L375),ISNUMBER(M375),L375&gt;=50.7,L375&lt;=53.7,M375&gt;=3.2,M375&lt;=7.3,AC375&lt;&gt;"Closed"),TRUE,FALSE)</x:f>
        <x:v>1</x:v>
      </x:c>
      <x:c r="AA375" s="30" t="b">
        <x:f>Z375</x:f>
        <x:v>1</x:v>
      </x:c>
      <x:c r="AB375" s="30" t="str">
        <x:f>IF(Z375,"verified_coordinate_and_open","not_map_ready")</x:f>
        <x:v>verified_coordinate_and_open</x:v>
      </x:c>
      <x:c r="AC375" s="30" t="str">
        <x:v>Open</x:v>
      </x:c>
      <x:c r="AD375" s="30" t="str">
        <x:v>Public — handicap 54 or lower</x:v>
      </x:c>
      <x:c r="AE375" s="31" t="b">
        <x:v>1</x:v>
      </x:c>
      <x:c r="AF375" s="31" t="b">
        <x:v>0</x:v>
      </x:c>
      <x:c r="AG375" s="30"/>
      <x:c r="AH375" s="30"/>
      <x:c r="AI375" s="30"/>
      <x:c r="AJ375" s="31" t="b">
        <x:v>0</x:v>
      </x:c>
      <x:c r="AK375" s="31" t="b">
        <x:v>0</x:v>
      </x:c>
      <x:c r="AL375" s="30" t="str">
        <x:v>Verified — national register and exact BAG address</x:v>
      </x:c>
      <x:c r="AM375" s="30" t="str">
        <x:v>https://www.golf.nl/de-baan-op/banenzoeker/overzicht</x:v>
      </x:c>
      <x:c r="AN375" s="30" t="str">
        <x:v>2026-08-15</x:v>
      </x:c>
      <x:c r="AO375" s="30" t="str">
        <x:v>+31 172-583010</x:v>
      </x:c>
      <x:c r="AP375" s="30" t="str">
        <x:v>Current NGF/GOLF.NL listing: 9 holes, par 36, 3199 metres. Listed as qualifying.</x:v>
      </x:c>
    </x:row>
    <x:row r="376">
      <x:c r="A376" s="30" t="str">
        <x:v>NL-C0246</x:v>
      </x:c>
      <x:c r="B376" s="30" t="str">
        <x:v>NL-0375</x:v>
      </x:c>
      <x:c r="C376" s="30" t="str">
        <x:v>Golfbaan Catharinenburg — Main Course</x:v>
      </x:c>
      <x:c r="D376" s="30" t="str">
        <x:v>Golfbaan Catharinenburg</x:v>
      </x:c>
      <x:c r="E376" s="30" t="str">
        <x:v>Main Course</x:v>
      </x:c>
      <x:c r="F376" s="30" t="str">
        <x:v>Netherlands</x:v>
      </x:c>
      <x:c r="G376" s="30" t="str">
        <x:v>Zuid-Holland</x:v>
      </x:c>
      <x:c r="H376" s="30" t="str">
        <x:v>Goeree-Overflakkee</x:v>
      </x:c>
      <x:c r="I376" s="30" t="str">
        <x:v>Melissant</x:v>
      </x:c>
      <x:c r="J376" s="30" t="str">
        <x:v>Bouwdijk 9</x:v>
      </x:c>
      <x:c r="K376" s="30" t="str">
        <x:v>3248 LA</x:v>
      </x:c>
      <x:c r="L376" s="32" t="n">
        <x:v>51.7731428</x:v>
      </x:c>
      <x:c r="M376" s="32" t="n">
        <x:v>4.05748231</x:v>
      </x:c>
      <x:c r="N376" s="30" t="str">
        <x:v>WGS84 / EPSG:4326</x:v>
      </x:c>
      <x:c r="O376" s="30" t="str">
        <x:v>Verified BAG address point via PDOK</x:v>
      </x:c>
      <x:c r="P376" s="30" t="str">
        <x:v>2026-08-15</x:v>
      </x:c>
      <x:c r="Q376" s="33" t="n">
        <x:f>IF(R376="","",ROUND(R376/0.9144,0))</x:f>
        <x:v>6075</x:v>
      </x:c>
      <x:c r="R376" s="33" t="n">
        <x:v>5555</x:v>
      </x:c>
      <x:c r="S376" s="33" t="n">
        <x:v>18</x:v>
      </x:c>
      <x:c r="T376" s="33" t="n">
        <x:v>72</x:v>
      </x:c>
      <x:c r="U376" s="30" t="str">
        <x:v>Full-length course</x:v>
      </x:c>
      <x:c r="V376" s="30"/>
      <x:c r="W376" s="30"/>
      <x:c r="X376" s="30"/>
      <x:c r="Y376" s="30" t="str">
        <x:v>https://www.catharinenburg.nl/</x:v>
      </x:c>
      <x:c r="Z376" s="30" t="b">
        <x:f>IF(AND(F376="Netherlands",ISNUMBER(L376),ISNUMBER(M376),L376&gt;=50.7,L376&lt;=53.7,M376&gt;=3.2,M376&lt;=7.3,AC376&lt;&gt;"Closed"),TRUE,FALSE)</x:f>
        <x:v>1</x:v>
      </x:c>
      <x:c r="AA376" s="30" t="b">
        <x:f>Z376</x:f>
        <x:v>1</x:v>
      </x:c>
      <x:c r="AB376" s="30" t="str">
        <x:f>IF(Z376,"verified_coordinate_and_open","not_map_ready")</x:f>
        <x:v>verified_coordinate_and_open</x:v>
      </x:c>
      <x:c r="AC376" s="30" t="str">
        <x:v>Open</x:v>
      </x:c>
      <x:c r="AD376" s="30" t="str">
        <x:v>Public — handicap 54 or lower</x:v>
      </x:c>
      <x:c r="AE376" s="31" t="b">
        <x:v>1</x:v>
      </x:c>
      <x:c r="AF376" s="31" t="b">
        <x:v>0</x:v>
      </x:c>
      <x:c r="AG376" s="30"/>
      <x:c r="AH376" s="30"/>
      <x:c r="AI376" s="30"/>
      <x:c r="AJ376" s="31" t="b">
        <x:v>0</x:v>
      </x:c>
      <x:c r="AK376" s="31" t="b">
        <x:v>0</x:v>
      </x:c>
      <x:c r="AL376" s="30" t="str">
        <x:v>Verified — national register and exact BAG address</x:v>
      </x:c>
      <x:c r="AM376" s="30" t="str">
        <x:v>https://www.golf.nl/de-baan-op/banenzoeker/overzicht</x:v>
      </x:c>
      <x:c r="AN376" s="30" t="str">
        <x:v>2026-08-15</x:v>
      </x:c>
      <x:c r="AO376" s="30" t="str">
        <x:v>+31 187-605060</x:v>
      </x:c>
      <x:c r="AP376" s="30" t="str">
        <x:v>Current NGF/GOLF.NL listing: 18 holes, par 72, 5555 metres. Combined from exact NGF-listed constituent nine-hole loops: 1ste negen (9 holes, par 36, 2658 m); 2de negen (9 holes, par 36, 2897 m) Listed as qualifying.</x:v>
      </x:c>
    </x:row>
    <x:row r="377">
      <x:c r="A377" s="30" t="str">
        <x:v>NL-C0246</x:v>
      </x:c>
      <x:c r="B377" s="30" t="str">
        <x:v>NL-0376</x:v>
      </x:c>
      <x:c r="C377" s="30" t="str">
        <x:v>Golfbaan Catharinenburg — Par-3 Course</x:v>
      </x:c>
      <x:c r="D377" s="30" t="str">
        <x:v>Golfbaan Catharinenburg</x:v>
      </x:c>
      <x:c r="E377" s="30" t="str">
        <x:v>Par-3 Course</x:v>
      </x:c>
      <x:c r="F377" s="30" t="str">
        <x:v>Netherlands</x:v>
      </x:c>
      <x:c r="G377" s="30" t="str">
        <x:v>Zuid-Holland</x:v>
      </x:c>
      <x:c r="H377" s="30" t="str">
        <x:v>Goeree-Overflakkee</x:v>
      </x:c>
      <x:c r="I377" s="30" t="str">
        <x:v>Melissant</x:v>
      </x:c>
      <x:c r="J377" s="30" t="str">
        <x:v>Bouwdijk 9</x:v>
      </x:c>
      <x:c r="K377" s="30" t="str">
        <x:v>3248 LA</x:v>
      </x:c>
      <x:c r="L377" s="32" t="n">
        <x:v>51.7731428</x:v>
      </x:c>
      <x:c r="M377" s="32" t="n">
        <x:v>4.05748231</x:v>
      </x:c>
      <x:c r="N377" s="30" t="str">
        <x:v>WGS84 / EPSG:4326</x:v>
      </x:c>
      <x:c r="O377" s="30" t="str">
        <x:v>Verified BAG address point via PDOK</x:v>
      </x:c>
      <x:c r="P377" s="30" t="str">
        <x:v>2026-08-15</x:v>
      </x:c>
      <x:c r="Q377" s="33" t="n">
        <x:f>IF(R377="","",ROUND(R377/0.9144,0))</x:f>
        <x:v>2558</x:v>
      </x:c>
      <x:c r="R377" s="33" t="n">
        <x:v>2339</x:v>
      </x:c>
      <x:c r="S377" s="33" t="n">
        <x:v>18</x:v>
      </x:c>
      <x:c r="T377" s="33" t="n">
        <x:v>54</x:v>
      </x:c>
      <x:c r="U377" s="30" t="str">
        <x:v>Par-3 course</x:v>
      </x:c>
      <x:c r="V377" s="30"/>
      <x:c r="W377" s="30"/>
      <x:c r="X377" s="30"/>
      <x:c r="Y377" s="30" t="str">
        <x:v>https://www.catharinenburg.nl/</x:v>
      </x:c>
      <x:c r="Z377" s="30" t="b">
        <x:f>IF(AND(F377="Netherlands",ISNUMBER(L377),ISNUMBER(M377),L377&gt;=50.7,L377&lt;=53.7,M377&gt;=3.2,M377&lt;=7.3,AC377&lt;&gt;"Closed"),TRUE,FALSE)</x:f>
        <x:v>1</x:v>
      </x:c>
      <x:c r="AA377" s="30" t="b">
        <x:f>Z377</x:f>
        <x:v>1</x:v>
      </x:c>
      <x:c r="AB377" s="30" t="str">
        <x:f>IF(Z377,"verified_coordinate_and_open","not_map_ready")</x:f>
        <x:v>verified_coordinate_and_open</x:v>
      </x:c>
      <x:c r="AC377" s="30" t="str">
        <x:v>Open</x:v>
      </x:c>
      <x:c r="AD377" s="30" t="str">
        <x:v>Public — NGF course permission</x:v>
      </x:c>
      <x:c r="AE377" s="31" t="b">
        <x:v>1</x:v>
      </x:c>
      <x:c r="AF377" s="31" t="b">
        <x:v>0</x:v>
      </x:c>
      <x:c r="AG377" s="30"/>
      <x:c r="AH377" s="30"/>
      <x:c r="AI377" s="30"/>
      <x:c r="AJ377" s="31" t="b">
        <x:v>0</x:v>
      </x:c>
      <x:c r="AK377" s="31" t="b">
        <x:v>0</x:v>
      </x:c>
      <x:c r="AL377" s="30" t="str">
        <x:v>Verified — national register and exact BAG address</x:v>
      </x:c>
      <x:c r="AM377" s="30" t="str">
        <x:v>https://www.golf.nl/de-baan-op/banenzoeker/overzicht</x:v>
      </x:c>
      <x:c r="AN377" s="30" t="str">
        <x:v>2026-08-15</x:v>
      </x:c>
      <x:c r="AO377" s="30" t="str">
        <x:v>+31 187-605060</x:v>
      </x:c>
      <x:c r="AP377" s="30" t="str">
        <x:v>Current NGF/GOLF.NL listing: 18 holes, par 54, 2339 metres. Combined from exact NGF-listed constituent nine-hole loops: 1ste negen (9 holes, par 27, 1168 m); 2de negen (9 holes, par 27, 1171 m) Listed as qualifying.</x:v>
      </x:c>
    </x:row>
    <x:row r="378">
      <x:c r="A378" s="30" t="str">
        <x:v>NL-C0247</x:v>
      </x:c>
      <x:c r="B378" s="30" t="str">
        <x:v>NL-0377</x:v>
      </x:c>
      <x:c r="C378" s="30" t="str">
        <x:v>Golfbaan Crimpenerhout</x:v>
      </x:c>
      <x:c r="D378" s="30" t="str">
        <x:v>Golfbaan Crimpenerhout</x:v>
      </x:c>
      <x:c r="E378" s="30" t="str">
        <x:v>Course</x:v>
      </x:c>
      <x:c r="F378" s="30" t="str">
        <x:v>Netherlands</x:v>
      </x:c>
      <x:c r="G378" s="30" t="str">
        <x:v>Zuid-Holland</x:v>
      </x:c>
      <x:c r="H378" s="30" t="str">
        <x:v>Krimpenerwaard</x:v>
      </x:c>
      <x:c r="I378" s="30" t="str">
        <x:v>Krimpen aan de Lek</x:v>
      </x:c>
      <x:c r="J378" s="30" t="str">
        <x:v>C.G. Roosweg 9</x:v>
      </x:c>
      <x:c r="K378" s="30" t="str">
        <x:v>2931 LK</x:v>
      </x:c>
      <x:c r="L378" s="32" t="n">
        <x:v>51.90572567</x:v>
      </x:c>
      <x:c r="M378" s="32" t="n">
        <x:v>4.62097265</x:v>
      </x:c>
      <x:c r="N378" s="30" t="str">
        <x:v>WGS84 / EPSG:4326</x:v>
      </x:c>
      <x:c r="O378" s="30" t="str">
        <x:v>Verified BAG address point via PDOK</x:v>
      </x:c>
      <x:c r="P378" s="30" t="str">
        <x:v>2026-08-15</x:v>
      </x:c>
      <x:c r="Q378" s="33" t="n">
        <x:f>IF(R378="","",ROUND(R378/0.9144,0))</x:f>
        <x:v>2479</x:v>
      </x:c>
      <x:c r="R378" s="33" t="n">
        <x:v>2267</x:v>
      </x:c>
      <x:c r="S378" s="33" t="n">
        <x:v>9</x:v>
      </x:c>
      <x:c r="T378" s="33" t="n">
        <x:v>33</x:v>
      </x:c>
      <x:c r="U378" s="30" t="str">
        <x:v>Full-length course</x:v>
      </x:c>
      <x:c r="V378" s="30"/>
      <x:c r="W378" s="30"/>
      <x:c r="X378" s="30"/>
      <x:c r="Y378" s="30" t="str">
        <x:v>https://www.golfbaancrimpenerhout.nl/</x:v>
      </x:c>
      <x:c r="Z378" s="30" t="b">
        <x:f>IF(AND(F378="Netherlands",ISNUMBER(L378),ISNUMBER(M378),L378&gt;=50.7,L378&lt;=53.7,M378&gt;=3.2,M378&lt;=7.3,AC378&lt;&gt;"Closed"),TRUE,FALSE)</x:f>
        <x:v>1</x:v>
      </x:c>
      <x:c r="AA378" s="30" t="b">
        <x:f>Z378</x:f>
        <x:v>1</x:v>
      </x:c>
      <x:c r="AB378" s="30" t="str">
        <x:f>IF(Z378,"verified_coordinate_and_open","not_map_ready")</x:f>
        <x:v>verified_coordinate_and_open</x:v>
      </x:c>
      <x:c r="AC378" s="30" t="str">
        <x:v>Open</x:v>
      </x:c>
      <x:c r="AD378" s="30" t="str">
        <x:v>Public — NGF course permission</x:v>
      </x:c>
      <x:c r="AE378" s="31" t="b">
        <x:v>1</x:v>
      </x:c>
      <x:c r="AF378" s="31" t="b">
        <x:v>0</x:v>
      </x:c>
      <x:c r="AG378" s="30"/>
      <x:c r="AH378" s="30"/>
      <x:c r="AI378" s="30"/>
      <x:c r="AJ378" s="31" t="b">
        <x:v>0</x:v>
      </x:c>
      <x:c r="AK378" s="31" t="b">
        <x:v>0</x:v>
      </x:c>
      <x:c r="AL378" s="30" t="str">
        <x:v>Verified — national register and exact BAG address</x:v>
      </x:c>
      <x:c r="AM378" s="30" t="str">
        <x:v>https://www.golf.nl/de-baan-op/banenzoeker/overzicht</x:v>
      </x:c>
      <x:c r="AN378" s="30" t="str">
        <x:v>2026-08-15</x:v>
      </x:c>
      <x:c r="AO378" s="30" t="str">
        <x:v>+31 180-552056</x:v>
      </x:c>
      <x:c r="AP378" s="30" t="str">
        <x:v>Current NGF/GOLF.NL listing: 9 holes, par 33, 2267 metres. Listed as qualifying.</x:v>
      </x:c>
    </x:row>
    <x:row r="379">
      <x:c r="A379" s="30" t="str">
        <x:v>NL-C0248</x:v>
      </x:c>
      <x:c r="B379" s="30" t="str">
        <x:v>NL-0378</x:v>
      </x:c>
      <x:c r="C379" s="30" t="str">
        <x:v>Golfbaan De Hooge Rotterdamsche — Main Course</x:v>
      </x:c>
      <x:c r="D379" s="30" t="str">
        <x:v>Golfbaan De Hooge Rotterdamsche</x:v>
      </x:c>
      <x:c r="E379" s="30" t="str">
        <x:v>Main Course</x:v>
      </x:c>
      <x:c r="F379" s="30" t="str">
        <x:v>Netherlands</x:v>
      </x:c>
      <x:c r="G379" s="30" t="str">
        <x:v>Zuid-Holland</x:v>
      </x:c>
      <x:c r="H379" s="30" t="str">
        <x:v>Lansingerland</x:v>
      </x:c>
      <x:c r="I379" s="30" t="str">
        <x:v>Bergschenhoek</x:v>
      </x:c>
      <x:c r="J379" s="30" t="str">
        <x:v>Rottebandreef 40</x:v>
      </x:c>
      <x:c r="K379" s="30" t="str">
        <x:v>2661 JK</x:v>
      </x:c>
      <x:c r="L379" s="32" t="n">
        <x:v>51.97062637</x:v>
      </x:c>
      <x:c r="M379" s="32" t="n">
        <x:v>4.52514584</x:v>
      </x:c>
      <x:c r="N379" s="30" t="str">
        <x:v>WGS84 / EPSG:4326</x:v>
      </x:c>
      <x:c r="O379" s="30" t="str">
        <x:v>Verified BAG address point via PDOK</x:v>
      </x:c>
      <x:c r="P379" s="30" t="str">
        <x:v>2026-08-15</x:v>
      </x:c>
      <x:c r="Q379" s="33" t="n">
        <x:f>IF(R379="","",ROUND(R379/0.9144,0))</x:f>
        <x:v>6185</x:v>
      </x:c>
      <x:c r="R379" s="33" t="n">
        <x:v>5656</x:v>
      </x:c>
      <x:c r="S379" s="33" t="n">
        <x:v>18</x:v>
      </x:c>
      <x:c r="T379" s="33" t="n">
        <x:v>71</x:v>
      </x:c>
      <x:c r="U379" s="30" t="str">
        <x:v>Full-length course</x:v>
      </x:c>
      <x:c r="V379" s="30"/>
      <x:c r="W379" s="30"/>
      <x:c r="X379" s="30"/>
      <x:c r="Y379" s="30" t="str">
        <x:v>https://www.dehoogerotterdamsche.nl/</x:v>
      </x:c>
      <x:c r="Z379" s="30" t="b">
        <x:f>IF(AND(F379="Netherlands",ISNUMBER(L379),ISNUMBER(M379),L379&gt;=50.7,L379&lt;=53.7,M379&gt;=3.2,M379&lt;=7.3,AC379&lt;&gt;"Closed"),TRUE,FALSE)</x:f>
        <x:v>1</x:v>
      </x:c>
      <x:c r="AA379" s="30" t="b">
        <x:f>Z379</x:f>
        <x:v>1</x:v>
      </x:c>
      <x:c r="AB379" s="30" t="str">
        <x:f>IF(Z379,"verified_coordinate_and_open","not_map_ready")</x:f>
        <x:v>verified_coordinate_and_open</x:v>
      </x:c>
      <x:c r="AC379" s="30" t="str">
        <x:v>Open</x:v>
      </x:c>
      <x:c r="AD379" s="30" t="str">
        <x:v>Public — handicap 54 or lower</x:v>
      </x:c>
      <x:c r="AE379" s="31" t="b">
        <x:v>1</x:v>
      </x:c>
      <x:c r="AF379" s="31" t="b">
        <x:v>0</x:v>
      </x:c>
      <x:c r="AG379" s="30"/>
      <x:c r="AH379" s="30"/>
      <x:c r="AI379" s="30"/>
      <x:c r="AJ379" s="31" t="b">
        <x:v>0</x:v>
      </x:c>
      <x:c r="AK379" s="31" t="b">
        <x:v>0</x:v>
      </x:c>
      <x:c r="AL379" s="30" t="str">
        <x:v>Verified — national register and exact BAG address</x:v>
      </x:c>
      <x:c r="AM379" s="30" t="str">
        <x:v>https://www.golf.nl/de-baan-op/banenzoeker/overzicht</x:v>
      </x:c>
      <x:c r="AN379" s="30" t="str">
        <x:v>2026-08-15</x:v>
      </x:c>
      <x:c r="AO379" s="30" t="str">
        <x:v>+31 10-5220052</x:v>
      </x:c>
      <x:c r="AP379" s="30" t="str">
        <x:v>Current NGF/GOLF.NL listing: 18 holes, par 71, 5656 metres. Combined from exact NGF-listed constituent nine-hole loops: 1ste negen (9 holes, par 36, 2951 m); 2de negen (9 holes, par 35, 2705 m) Listed as qualifying.</x:v>
      </x:c>
    </x:row>
    <x:row r="380">
      <x:c r="A380" s="30" t="str">
        <x:v>NL-C0249</x:v>
      </x:c>
      <x:c r="B380" s="30" t="str">
        <x:v>NL-0379</x:v>
      </x:c>
      <x:c r="C380" s="30" t="str">
        <x:v>Golfbaan Delfland — Blauw</x:v>
      </x:c>
      <x:c r="D380" s="30" t="str">
        <x:v>Golfbaan Delfland</x:v>
      </x:c>
      <x:c r="E380" s="30" t="str">
        <x:v>Blauw</x:v>
      </x:c>
      <x:c r="F380" s="30" t="str">
        <x:v>Netherlands</x:v>
      </x:c>
      <x:c r="G380" s="30" t="str">
        <x:v>Zuid-Holland</x:v>
      </x:c>
      <x:c r="H380" s="30" t="str">
        <x:v>Midden-Delfland</x:v>
      </x:c>
      <x:c r="I380" s="30" t="str">
        <x:v>Schipluiden</x:v>
      </x:c>
      <x:c r="J380" s="30" t="str">
        <x:v>Abtsrechtseweg 1</x:v>
      </x:c>
      <x:c r="K380" s="30" t="str">
        <x:v>2636 HZ</x:v>
      </x:c>
      <x:c r="L380" s="32" t="n">
        <x:v>51.97914833</x:v>
      </x:c>
      <x:c r="M380" s="32" t="n">
        <x:v>4.32816793</x:v>
      </x:c>
      <x:c r="N380" s="30" t="str">
        <x:v>WGS84 / EPSG:4326</x:v>
      </x:c>
      <x:c r="O380" s="30" t="str">
        <x:v>Verified BAG address point via PDOK</x:v>
      </x:c>
      <x:c r="P380" s="30" t="str">
        <x:v>2026-08-15</x:v>
      </x:c>
      <x:c r="Q380" s="33" t="n">
        <x:f>IF(R380="","",ROUND(R380/0.9144,0))</x:f>
        <x:v>3407</x:v>
      </x:c>
      <x:c r="R380" s="33" t="n">
        <x:v>3115</x:v>
      </x:c>
      <x:c r="S380" s="33" t="n">
        <x:v>9</x:v>
      </x:c>
      <x:c r="T380" s="33" t="n">
        <x:v>37</x:v>
      </x:c>
      <x:c r="U380" s="30" t="str">
        <x:v>Full-length course</x:v>
      </x:c>
      <x:c r="V380" s="30"/>
      <x:c r="W380" s="30"/>
      <x:c r="X380" s="30"/>
      <x:c r="Y380" s="30" t="str">
        <x:v>https://delflandgolf.nl/</x:v>
      </x:c>
      <x:c r="Z380" s="30" t="b">
        <x:f>IF(AND(F380="Netherlands",ISNUMBER(L380),ISNUMBER(M380),L380&gt;=50.7,L380&lt;=53.7,M380&gt;=3.2,M380&lt;=7.3,AC380&lt;&gt;"Closed"),TRUE,FALSE)</x:f>
        <x:v>1</x:v>
      </x:c>
      <x:c r="AA380" s="30" t="b">
        <x:f>Z380</x:f>
        <x:v>1</x:v>
      </x:c>
      <x:c r="AB380" s="30" t="str">
        <x:f>IF(Z380,"verified_coordinate_and_open","not_map_ready")</x:f>
        <x:v>verified_coordinate_and_open</x:v>
      </x:c>
      <x:c r="AC380" s="30" t="str">
        <x:v>Open</x:v>
      </x:c>
      <x:c r="AD380" s="30" t="str">
        <x:v>Public — handicap 54 or lower</x:v>
      </x:c>
      <x:c r="AE380" s="31" t="b">
        <x:v>1</x:v>
      </x:c>
      <x:c r="AF380" s="31" t="b">
        <x:v>0</x:v>
      </x:c>
      <x:c r="AG380" s="30"/>
      <x:c r="AH380" s="30"/>
      <x:c r="AI380" s="30"/>
      <x:c r="AJ380" s="31" t="b">
        <x:v>0</x:v>
      </x:c>
      <x:c r="AK380" s="31" t="b">
        <x:v>0</x:v>
      </x:c>
      <x:c r="AL380" s="30" t="str">
        <x:v>Verified — national register and exact BAG address</x:v>
      </x:c>
      <x:c r="AM380" s="30" t="str">
        <x:v>https://www.golf.nl/de-baan-op/banenzoeker/overzicht</x:v>
      </x:c>
      <x:c r="AN380" s="30" t="str">
        <x:v>2026-08-15</x:v>
      </x:c>
      <x:c r="AO380" s="30" t="str">
        <x:v>+31 15-3807911</x:v>
      </x:c>
      <x:c r="AP380" s="30" t="str">
        <x:v>Current NGF/GOLF.NL listing: 9 holes, par 37, 3115 metres. Listed as qualifying.</x:v>
      </x:c>
    </x:row>
    <x:row r="381">
      <x:c r="A381" s="30" t="str">
        <x:v>NL-C0249</x:v>
      </x:c>
      <x:c r="B381" s="30" t="str">
        <x:v>NL-0380</x:v>
      </x:c>
      <x:c r="C381" s="30" t="str">
        <x:v>Golfbaan Delfland — Geel</x:v>
      </x:c>
      <x:c r="D381" s="30" t="str">
        <x:v>Golfbaan Delfland</x:v>
      </x:c>
      <x:c r="E381" s="30" t="str">
        <x:v>Geel</x:v>
      </x:c>
      <x:c r="F381" s="30" t="str">
        <x:v>Netherlands</x:v>
      </x:c>
      <x:c r="G381" s="30" t="str">
        <x:v>Zuid-Holland</x:v>
      </x:c>
      <x:c r="H381" s="30" t="str">
        <x:v>Midden-Delfland</x:v>
      </x:c>
      <x:c r="I381" s="30" t="str">
        <x:v>Schipluiden</x:v>
      </x:c>
      <x:c r="J381" s="30" t="str">
        <x:v>Abtsrechtseweg 1</x:v>
      </x:c>
      <x:c r="K381" s="30" t="str">
        <x:v>2636 HZ</x:v>
      </x:c>
      <x:c r="L381" s="32" t="n">
        <x:v>51.97914833</x:v>
      </x:c>
      <x:c r="M381" s="32" t="n">
        <x:v>4.32816793</x:v>
      </x:c>
      <x:c r="N381" s="30" t="str">
        <x:v>WGS84 / EPSG:4326</x:v>
      </x:c>
      <x:c r="O381" s="30" t="str">
        <x:v>Verified BAG address point via PDOK</x:v>
      </x:c>
      <x:c r="P381" s="30" t="str">
        <x:v>2026-08-15</x:v>
      </x:c>
      <x:c r="Q381" s="33" t="n">
        <x:f>IF(R381="","",ROUND(R381/0.9144,0))</x:f>
        <x:v>3253</x:v>
      </x:c>
      <x:c r="R381" s="33" t="n">
        <x:v>2975</x:v>
      </x:c>
      <x:c r="S381" s="33" t="n">
        <x:v>9</x:v>
      </x:c>
      <x:c r="T381" s="33" t="n">
        <x:v>36</x:v>
      </x:c>
      <x:c r="U381" s="30" t="str">
        <x:v>Full-length course</x:v>
      </x:c>
      <x:c r="V381" s="30"/>
      <x:c r="W381" s="30"/>
      <x:c r="X381" s="30"/>
      <x:c r="Y381" s="30" t="str">
        <x:v>https://delflandgolf.nl/</x:v>
      </x:c>
      <x:c r="Z381" s="30" t="b">
        <x:f>IF(AND(F381="Netherlands",ISNUMBER(L381),ISNUMBER(M381),L381&gt;=50.7,L381&lt;=53.7,M381&gt;=3.2,M381&lt;=7.3,AC381&lt;&gt;"Closed"),TRUE,FALSE)</x:f>
        <x:v>1</x:v>
      </x:c>
      <x:c r="AA381" s="30" t="b">
        <x:f>Z381</x:f>
        <x:v>1</x:v>
      </x:c>
      <x:c r="AB381" s="30" t="str">
        <x:f>IF(Z381,"verified_coordinate_and_open","not_map_ready")</x:f>
        <x:v>verified_coordinate_and_open</x:v>
      </x:c>
      <x:c r="AC381" s="30" t="str">
        <x:v>Open</x:v>
      </x:c>
      <x:c r="AD381" s="30" t="str">
        <x:v>Public — handicap 54 or lower</x:v>
      </x:c>
      <x:c r="AE381" s="31" t="b">
        <x:v>1</x:v>
      </x:c>
      <x:c r="AF381" s="31" t="b">
        <x:v>0</x:v>
      </x:c>
      <x:c r="AG381" s="30"/>
      <x:c r="AH381" s="30"/>
      <x:c r="AI381" s="30"/>
      <x:c r="AJ381" s="31" t="b">
        <x:v>0</x:v>
      </x:c>
      <x:c r="AK381" s="31" t="b">
        <x:v>0</x:v>
      </x:c>
      <x:c r="AL381" s="30" t="str">
        <x:v>Verified — national register and exact BAG address</x:v>
      </x:c>
      <x:c r="AM381" s="30" t="str">
        <x:v>https://www.golf.nl/de-baan-op/banenzoeker/overzicht</x:v>
      </x:c>
      <x:c r="AN381" s="30" t="str">
        <x:v>2026-08-15</x:v>
      </x:c>
      <x:c r="AO381" s="30" t="str">
        <x:v>+31 15-3807911</x:v>
      </x:c>
      <x:c r="AP381" s="30" t="str">
        <x:v>Current NGF/GOLF.NL listing: 9 holes, par 36, 2975 metres. Listed as qualifying.</x:v>
      </x:c>
    </x:row>
    <x:row r="382">
      <x:c r="A382" s="30" t="str">
        <x:v>NL-C0249</x:v>
      </x:c>
      <x:c r="B382" s="30" t="str">
        <x:v>NL-0381</x:v>
      </x:c>
      <x:c r="C382" s="30" t="str">
        <x:v>Golfbaan Delfland — Par-3 Course</x:v>
      </x:c>
      <x:c r="D382" s="30" t="str">
        <x:v>Golfbaan Delfland</x:v>
      </x:c>
      <x:c r="E382" s="30" t="str">
        <x:v>Par-3 Course</x:v>
      </x:c>
      <x:c r="F382" s="30" t="str">
        <x:v>Netherlands</x:v>
      </x:c>
      <x:c r="G382" s="30" t="str">
        <x:v>Zuid-Holland</x:v>
      </x:c>
      <x:c r="H382" s="30" t="str">
        <x:v>Midden-Delfland</x:v>
      </x:c>
      <x:c r="I382" s="30" t="str">
        <x:v>Schipluiden</x:v>
      </x:c>
      <x:c r="J382" s="30" t="str">
        <x:v>Abtsrechtseweg 1</x:v>
      </x:c>
      <x:c r="K382" s="30" t="str">
        <x:v>2636 HZ</x:v>
      </x:c>
      <x:c r="L382" s="32" t="n">
        <x:v>51.97914833</x:v>
      </x:c>
      <x:c r="M382" s="32" t="n">
        <x:v>4.32816793</x:v>
      </x:c>
      <x:c r="N382" s="30" t="str">
        <x:v>WGS84 / EPSG:4326</x:v>
      </x:c>
      <x:c r="O382" s="30" t="str">
        <x:v>Verified BAG address point via PDOK</x:v>
      </x:c>
      <x:c r="P382" s="30" t="str">
        <x:v>2026-08-15</x:v>
      </x:c>
      <x:c r="Q382" s="33" t="n">
        <x:f>IF(R382="","",ROUND(R382/0.9144,0))</x:f>
        <x:v>1024</x:v>
      </x:c>
      <x:c r="R382" s="33" t="n">
        <x:v>936</x:v>
      </x:c>
      <x:c r="S382" s="33" t="n">
        <x:v>9</x:v>
      </x:c>
      <x:c r="T382" s="33" t="n">
        <x:v>27</x:v>
      </x:c>
      <x:c r="U382" s="30" t="str">
        <x:v>Par-3 course</x:v>
      </x:c>
      <x:c r="V382" s="30"/>
      <x:c r="W382" s="30"/>
      <x:c r="X382" s="30"/>
      <x:c r="Y382" s="30" t="str">
        <x:v>https://delflandgolf.nl/</x:v>
      </x:c>
      <x:c r="Z382" s="30" t="b">
        <x:f>IF(AND(F382="Netherlands",ISNUMBER(L382),ISNUMBER(M382),L382&gt;=50.7,L382&lt;=53.7,M382&gt;=3.2,M382&lt;=7.3,AC382&lt;&gt;"Closed"),TRUE,FALSE)</x:f>
        <x:v>1</x:v>
      </x:c>
      <x:c r="AA382" s="30" t="b">
        <x:f>Z382</x:f>
        <x:v>1</x:v>
      </x:c>
      <x:c r="AB382" s="30" t="str">
        <x:f>IF(Z382,"verified_coordinate_and_open","not_map_ready")</x:f>
        <x:v>verified_coordinate_and_open</x:v>
      </x:c>
      <x:c r="AC382" s="30" t="str">
        <x:v>Open</x:v>
      </x:c>
      <x:c r="AD382" s="30" t="str">
        <x:v>Public — NGF course permission</x:v>
      </x:c>
      <x:c r="AE382" s="31" t="b">
        <x:v>1</x:v>
      </x:c>
      <x:c r="AF382" s="31" t="b">
        <x:v>0</x:v>
      </x:c>
      <x:c r="AG382" s="30"/>
      <x:c r="AH382" s="30"/>
      <x:c r="AI382" s="30"/>
      <x:c r="AJ382" s="31" t="b">
        <x:v>0</x:v>
      </x:c>
      <x:c r="AK382" s="31" t="b">
        <x:v>0</x:v>
      </x:c>
      <x:c r="AL382" s="30" t="str">
        <x:v>Verified — national register and exact BAG address</x:v>
      </x:c>
      <x:c r="AM382" s="30" t="str">
        <x:v>https://www.golf.nl/de-baan-op/banenzoeker/overzicht</x:v>
      </x:c>
      <x:c r="AN382" s="30" t="str">
        <x:v>2026-08-15</x:v>
      </x:c>
      <x:c r="AO382" s="30" t="str">
        <x:v>+31 15-3807911</x:v>
      </x:c>
      <x:c r="AP382" s="30" t="str">
        <x:v>Current NGF/GOLF.NL listing: 9 holes, par 27, 936 metres. Listed as qualifying.</x:v>
      </x:c>
    </x:row>
    <x:row r="383">
      <x:c r="A383" s="30" t="str">
        <x:v>NL-C0249</x:v>
      </x:c>
      <x:c r="B383" s="30" t="str">
        <x:v>NL-0382</x:v>
      </x:c>
      <x:c r="C383" s="30" t="str">
        <x:v>Golfbaan Delfland — Rood</x:v>
      </x:c>
      <x:c r="D383" s="30" t="str">
        <x:v>Golfbaan Delfland</x:v>
      </x:c>
      <x:c r="E383" s="30" t="str">
        <x:v>Rood</x:v>
      </x:c>
      <x:c r="F383" s="30" t="str">
        <x:v>Netherlands</x:v>
      </x:c>
      <x:c r="G383" s="30" t="str">
        <x:v>Zuid-Holland</x:v>
      </x:c>
      <x:c r="H383" s="30" t="str">
        <x:v>Midden-Delfland</x:v>
      </x:c>
      <x:c r="I383" s="30" t="str">
        <x:v>Schipluiden</x:v>
      </x:c>
      <x:c r="J383" s="30" t="str">
        <x:v>Abtsrechtseweg 1</x:v>
      </x:c>
      <x:c r="K383" s="30" t="str">
        <x:v>2636 HZ</x:v>
      </x:c>
      <x:c r="L383" s="32" t="n">
        <x:v>51.97914833</x:v>
      </x:c>
      <x:c r="M383" s="32" t="n">
        <x:v>4.32816793</x:v>
      </x:c>
      <x:c r="N383" s="30" t="str">
        <x:v>WGS84 / EPSG:4326</x:v>
      </x:c>
      <x:c r="O383" s="30" t="str">
        <x:v>Verified BAG address point via PDOK</x:v>
      </x:c>
      <x:c r="P383" s="30" t="str">
        <x:v>2026-08-15</x:v>
      </x:c>
      <x:c r="Q383" s="33" t="n">
        <x:f>IF(R383="","",ROUND(R383/0.9144,0))</x:f>
        <x:v>3241</x:v>
      </x:c>
      <x:c r="R383" s="33" t="n">
        <x:v>2964</x:v>
      </x:c>
      <x:c r="S383" s="33" t="n">
        <x:v>9</x:v>
      </x:c>
      <x:c r="T383" s="33" t="n">
        <x:v>36</x:v>
      </x:c>
      <x:c r="U383" s="30" t="str">
        <x:v>Full-length course</x:v>
      </x:c>
      <x:c r="V383" s="30"/>
      <x:c r="W383" s="30"/>
      <x:c r="X383" s="30"/>
      <x:c r="Y383" s="30" t="str">
        <x:v>https://delflandgolf.nl/</x:v>
      </x:c>
      <x:c r="Z383" s="30" t="b">
        <x:f>IF(AND(F383="Netherlands",ISNUMBER(L383),ISNUMBER(M383),L383&gt;=50.7,L383&lt;=53.7,M383&gt;=3.2,M383&lt;=7.3,AC383&lt;&gt;"Closed"),TRUE,FALSE)</x:f>
        <x:v>1</x:v>
      </x:c>
      <x:c r="AA383" s="30" t="b">
        <x:f>Z383</x:f>
        <x:v>1</x:v>
      </x:c>
      <x:c r="AB383" s="30" t="str">
        <x:f>IF(Z383,"verified_coordinate_and_open","not_map_ready")</x:f>
        <x:v>verified_coordinate_and_open</x:v>
      </x:c>
      <x:c r="AC383" s="30" t="str">
        <x:v>Open</x:v>
      </x:c>
      <x:c r="AD383" s="30" t="str">
        <x:v>Public — handicap 54 or lower</x:v>
      </x:c>
      <x:c r="AE383" s="31" t="b">
        <x:v>1</x:v>
      </x:c>
      <x:c r="AF383" s="31" t="b">
        <x:v>0</x:v>
      </x:c>
      <x:c r="AG383" s="30"/>
      <x:c r="AH383" s="30"/>
      <x:c r="AI383" s="30"/>
      <x:c r="AJ383" s="31" t="b">
        <x:v>0</x:v>
      </x:c>
      <x:c r="AK383" s="31" t="b">
        <x:v>0</x:v>
      </x:c>
      <x:c r="AL383" s="30" t="str">
        <x:v>Verified — national register and exact BAG address</x:v>
      </x:c>
      <x:c r="AM383" s="30" t="str">
        <x:v>https://www.golf.nl/de-baan-op/banenzoeker/overzicht</x:v>
      </x:c>
      <x:c r="AN383" s="30" t="str">
        <x:v>2026-08-15</x:v>
      </x:c>
      <x:c r="AO383" s="30" t="str">
        <x:v>+31 15-3807911</x:v>
      </x:c>
      <x:c r="AP383" s="30" t="str">
        <x:v>Current NGF/GOLF.NL listing: 9 holes, par 36, 2964 metres. Listed as qualifying.</x:v>
      </x:c>
    </x:row>
    <x:row r="384">
      <x:c r="A384" s="30" t="str">
        <x:v>NL-C0250</x:v>
      </x:c>
      <x:c r="B384" s="30" t="str">
        <x:v>NL-0383</x:v>
      </x:c>
      <x:c r="C384" s="30" t="str">
        <x:v>Golfbaan Het Wedde</x:v>
      </x:c>
      <x:c r="D384" s="30" t="str">
        <x:v>Golfbaan Het Wedde</x:v>
      </x:c>
      <x:c r="E384" s="30" t="str">
        <x:v>Course</x:v>
      </x:c>
      <x:c r="F384" s="30" t="str">
        <x:v>Netherlands</x:v>
      </x:c>
      <x:c r="G384" s="30" t="str">
        <x:v>Zuid-Holland</x:v>
      </x:c>
      <x:c r="H384" s="30" t="str">
        <x:v>Voorschoten</x:v>
      </x:c>
      <x:c r="I384" s="30" t="str">
        <x:v>Voorschoten</x:v>
      </x:c>
      <x:c r="J384" s="30" t="str">
        <x:v>Richard Wagnerlaan 85</x:v>
      </x:c>
      <x:c r="K384" s="30" t="str">
        <x:v>2253 CD</x:v>
      </x:c>
      <x:c r="L384" s="32" t="n">
        <x:v>52.13913409</x:v>
      </x:c>
      <x:c r="M384" s="32" t="n">
        <x:v>4.45192674</x:v>
      </x:c>
      <x:c r="N384" s="30" t="str">
        <x:v>WGS84 / EPSG:4326</x:v>
      </x:c>
      <x:c r="O384" s="30" t="str">
        <x:v>Verified BAG address point via PDOK</x:v>
      </x:c>
      <x:c r="P384" s="30" t="str">
        <x:v>2026-08-15</x:v>
      </x:c>
      <x:c r="Q384" s="33" t="n">
        <x:f>IF(R384="","",ROUND(R384/0.9144,0))</x:f>
        <x:v>908</x:v>
      </x:c>
      <x:c r="R384" s="33" t="n">
        <x:v>830</x:v>
      </x:c>
      <x:c r="S384" s="33" t="n">
        <x:v>9</x:v>
      </x:c>
      <x:c r="T384" s="33" t="n">
        <x:v>27</x:v>
      </x:c>
      <x:c r="U384" s="30" t="str">
        <x:v>Par-3 course</x:v>
      </x:c>
      <x:c r="V384" s="30"/>
      <x:c r="W384" s="30"/>
      <x:c r="X384" s="30"/>
      <x:c r="Y384" s="30" t="str">
        <x:v>https://golfbaanhetwedde.sportfondsen.nl/</x:v>
      </x:c>
      <x:c r="Z384" s="30" t="b">
        <x:f>IF(AND(F384="Netherlands",ISNUMBER(L384),ISNUMBER(M384),L384&gt;=50.7,L384&lt;=53.7,M384&gt;=3.2,M384&lt;=7.3,AC384&lt;&gt;"Closed"),TRUE,FALSE)</x:f>
        <x:v>1</x:v>
      </x:c>
      <x:c r="AA384" s="30" t="b">
        <x:f>Z384</x:f>
        <x:v>1</x:v>
      </x:c>
      <x:c r="AB384" s="30" t="str">
        <x:f>IF(Z384,"verified_coordinate_and_open","not_map_ready")</x:f>
        <x:v>verified_coordinate_and_open</x:v>
      </x:c>
      <x:c r="AC384" s="30" t="str">
        <x:v>Open</x:v>
      </x:c>
      <x:c r="AD384" s="30" t="str">
        <x:v>Public — handicap 54 or lower</x:v>
      </x:c>
      <x:c r="AE384" s="31" t="b">
        <x:v>1</x:v>
      </x:c>
      <x:c r="AF384" s="31" t="b">
        <x:v>0</x:v>
      </x:c>
      <x:c r="AG384" s="30"/>
      <x:c r="AH384" s="30"/>
      <x:c r="AI384" s="30"/>
      <x:c r="AJ384" s="31" t="b">
        <x:v>0</x:v>
      </x:c>
      <x:c r="AK384" s="31" t="b">
        <x:v>0</x:v>
      </x:c>
      <x:c r="AL384" s="30" t="str">
        <x:v>Verified — national register and exact BAG address</x:v>
      </x:c>
      <x:c r="AM384" s="30" t="str">
        <x:v>https://www.golf.nl/de-baan-op/banenzoeker/overzicht</x:v>
      </x:c>
      <x:c r="AN384" s="30" t="str">
        <x:v>2026-08-15</x:v>
      </x:c>
      <x:c r="AO384" s="30" t="str">
        <x:v>+31 71-5614848</x:v>
      </x:c>
      <x:c r="AP384" s="30" t="str">
        <x:v>Current NGF/GOLF.NL listing: 9 holes, par 27, 830 metres. Listed as qualifying.</x:v>
      </x:c>
    </x:row>
    <x:row r="385">
      <x:c r="A385" s="30" t="str">
        <x:v>NL-C0251</x:v>
      </x:c>
      <x:c r="B385" s="30" t="str">
        <x:v>NL-0384</x:v>
      </x:c>
      <x:c r="C385" s="30" t="str">
        <x:v>Golfbaan Hitland — Main Course</x:v>
      </x:c>
      <x:c r="D385" s="30" t="str">
        <x:v>Golfbaan Hitland</x:v>
      </x:c>
      <x:c r="E385" s="30" t="str">
        <x:v>Main Course</x:v>
      </x:c>
      <x:c r="F385" s="30" t="str">
        <x:v>Netherlands</x:v>
      </x:c>
      <x:c r="G385" s="30" t="str">
        <x:v>Zuid-Holland</x:v>
      </x:c>
      <x:c r="H385" s="30" t="str">
        <x:v>Zuidplas</x:v>
      </x:c>
      <x:c r="I385" s="30" t="str">
        <x:v>Nieuwerkerk aan den IJssel</x:v>
      </x:c>
      <x:c r="J385" s="30" t="str">
        <x:v>Blaardorpseweg 1</x:v>
      </x:c>
      <x:c r="K385" s="30" t="str">
        <x:v>2911 BC</x:v>
      </x:c>
      <x:c r="L385" s="32" t="n">
        <x:v>51.94739998</x:v>
      </x:c>
      <x:c r="M385" s="32" t="n">
        <x:v>4.61303962</x:v>
      </x:c>
      <x:c r="N385" s="30" t="str">
        <x:v>WGS84 / EPSG:4326</x:v>
      </x:c>
      <x:c r="O385" s="30" t="str">
        <x:v>Verified BAG address point via PDOK</x:v>
      </x:c>
      <x:c r="P385" s="30" t="str">
        <x:v>2026-08-15</x:v>
      </x:c>
      <x:c r="Q385" s="33" t="n">
        <x:f>IF(R385="","",ROUND(R385/0.9144,0))</x:f>
        <x:v>6364</x:v>
      </x:c>
      <x:c r="R385" s="33" t="n">
        <x:v>5819</x:v>
      </x:c>
      <x:c r="S385" s="33" t="n">
        <x:v>18</x:v>
      </x:c>
      <x:c r="T385" s="33" t="n">
        <x:v>71</x:v>
      </x:c>
      <x:c r="U385" s="30" t="str">
        <x:v>Full-length course</x:v>
      </x:c>
      <x:c r="V385" s="30"/>
      <x:c r="W385" s="30"/>
      <x:c r="X385" s="30"/>
      <x:c r="Y385" s="30" t="str">
        <x:v>https://hitland.nl/</x:v>
      </x:c>
      <x:c r="Z385" s="30" t="b">
        <x:f>IF(AND(F385="Netherlands",ISNUMBER(L385),ISNUMBER(M385),L385&gt;=50.7,L385&lt;=53.7,M385&gt;=3.2,M385&lt;=7.3,AC385&lt;&gt;"Closed"),TRUE,FALSE)</x:f>
        <x:v>1</x:v>
      </x:c>
      <x:c r="AA385" s="30" t="b">
        <x:f>Z385</x:f>
        <x:v>1</x:v>
      </x:c>
      <x:c r="AB385" s="30" t="str">
        <x:f>IF(Z385,"verified_coordinate_and_open","not_map_ready")</x:f>
        <x:v>verified_coordinate_and_open</x:v>
      </x:c>
      <x:c r="AC385" s="30" t="str">
        <x:v>Open</x:v>
      </x:c>
      <x:c r="AD385" s="30" t="str">
        <x:v>Public — NGF course permission</x:v>
      </x:c>
      <x:c r="AE385" s="31" t="b">
        <x:v>1</x:v>
      </x:c>
      <x:c r="AF385" s="31" t="b">
        <x:v>0</x:v>
      </x:c>
      <x:c r="AG385" s="30"/>
      <x:c r="AH385" s="30"/>
      <x:c r="AI385" s="30"/>
      <x:c r="AJ385" s="31" t="b">
        <x:v>0</x:v>
      </x:c>
      <x:c r="AK385" s="31" t="b">
        <x:v>0</x:v>
      </x:c>
      <x:c r="AL385" s="30" t="str">
        <x:v>Verified — national register and exact BAG address</x:v>
      </x:c>
      <x:c r="AM385" s="30" t="str">
        <x:v>https://www.golf.nl/de-baan-op/banenzoeker/overzicht</x:v>
      </x:c>
      <x:c r="AN385" s="30" t="str">
        <x:v>2026-08-15</x:v>
      </x:c>
      <x:c r="AO385" s="30" t="str">
        <x:v>+31 180-317188</x:v>
      </x:c>
      <x:c r="AP385" s="30" t="str">
        <x:v>Current NGF/GOLF.NL listing: 18 holes, par 71, 5819 metres. Combined from exact NGF-listed constituent nine-hole loops: 1ste negen (9 holes, par 35, 2801 m); 2de negen (9 holes, par 36, 3018 m) Listed as qualifying.</x:v>
      </x:c>
    </x:row>
    <x:row r="386">
      <x:c r="A386" s="30" t="str">
        <x:v>NL-C0251</x:v>
      </x:c>
      <x:c r="B386" s="30" t="str">
        <x:v>NL-0385</x:v>
      </x:c>
      <x:c r="C386" s="30" t="str">
        <x:v>Golfbaan Hitland — Par-3 Course</x:v>
      </x:c>
      <x:c r="D386" s="30" t="str">
        <x:v>Golfbaan Hitland</x:v>
      </x:c>
      <x:c r="E386" s="30" t="str">
        <x:v>Par-3 Course</x:v>
      </x:c>
      <x:c r="F386" s="30" t="str">
        <x:v>Netherlands</x:v>
      </x:c>
      <x:c r="G386" s="30" t="str">
        <x:v>Zuid-Holland</x:v>
      </x:c>
      <x:c r="H386" s="30" t="str">
        <x:v>Zuidplas</x:v>
      </x:c>
      <x:c r="I386" s="30" t="str">
        <x:v>Nieuwerkerk aan den IJssel</x:v>
      </x:c>
      <x:c r="J386" s="30" t="str">
        <x:v>Blaardorpseweg 1</x:v>
      </x:c>
      <x:c r="K386" s="30" t="str">
        <x:v>2911 BC</x:v>
      </x:c>
      <x:c r="L386" s="32" t="n">
        <x:v>51.94739998</x:v>
      </x:c>
      <x:c r="M386" s="32" t="n">
        <x:v>4.61303962</x:v>
      </x:c>
      <x:c r="N386" s="30" t="str">
        <x:v>WGS84 / EPSG:4326</x:v>
      </x:c>
      <x:c r="O386" s="30" t="str">
        <x:v>Verified BAG address point via PDOK</x:v>
      </x:c>
      <x:c r="P386" s="30" t="str">
        <x:v>2026-08-15</x:v>
      </x:c>
      <x:c r="Q386" s="33" t="n">
        <x:f>IF(R386="","",ROUND(R386/0.9144,0))</x:f>
        <x:v>932</x:v>
      </x:c>
      <x:c r="R386" s="33" t="n">
        <x:v>852</x:v>
      </x:c>
      <x:c r="S386" s="33" t="n">
        <x:v>9</x:v>
      </x:c>
      <x:c r="T386" s="33" t="n">
        <x:v>27</x:v>
      </x:c>
      <x:c r="U386" s="30" t="str">
        <x:v>Par-3 course</x:v>
      </x:c>
      <x:c r="V386" s="30"/>
      <x:c r="W386" s="30"/>
      <x:c r="X386" s="30"/>
      <x:c r="Y386" s="30" t="str">
        <x:v>https://hitland.nl/</x:v>
      </x:c>
      <x:c r="Z386" s="30" t="b">
        <x:f>IF(AND(F386="Netherlands",ISNUMBER(L386),ISNUMBER(M386),L386&gt;=50.7,L386&lt;=53.7,M386&gt;=3.2,M386&lt;=7.3,AC386&lt;&gt;"Closed"),TRUE,FALSE)</x:f>
        <x:v>1</x:v>
      </x:c>
      <x:c r="AA386" s="30" t="b">
        <x:f>Z386</x:f>
        <x:v>1</x:v>
      </x:c>
      <x:c r="AB386" s="30" t="str">
        <x:f>IF(Z386,"verified_coordinate_and_open","not_map_ready")</x:f>
        <x:v>verified_coordinate_and_open</x:v>
      </x:c>
      <x:c r="AC386" s="30" t="str">
        <x:v>Open</x:v>
      </x:c>
      <x:c r="AD386" s="30" t="str">
        <x:v>Public — NGF course permission</x:v>
      </x:c>
      <x:c r="AE386" s="31" t="b">
        <x:v>1</x:v>
      </x:c>
      <x:c r="AF386" s="31" t="b">
        <x:v>0</x:v>
      </x:c>
      <x:c r="AG386" s="30"/>
      <x:c r="AH386" s="30"/>
      <x:c r="AI386" s="30"/>
      <x:c r="AJ386" s="31" t="b">
        <x:v>0</x:v>
      </x:c>
      <x:c r="AK386" s="31" t="b">
        <x:v>0</x:v>
      </x:c>
      <x:c r="AL386" s="30" t="str">
        <x:v>Verified — national register and exact BAG address</x:v>
      </x:c>
      <x:c r="AM386" s="30" t="str">
        <x:v>https://www.golf.nl/de-baan-op/banenzoeker/overzicht</x:v>
      </x:c>
      <x:c r="AN386" s="30" t="str">
        <x:v>2026-08-15</x:v>
      </x:c>
      <x:c r="AO386" s="30" t="str">
        <x:v>+31 180-317188</x:v>
      </x:c>
      <x:c r="AP386" s="30" t="str">
        <x:v>Current NGF/GOLF.NL listing: 9 holes, par 27, 852 metres. Listed as qualifying.</x:v>
      </x:c>
    </x:row>
    <x:row r="387">
      <x:c r="A387" s="30" t="str">
        <x:v>NL-C0252</x:v>
      </x:c>
      <x:c r="B387" s="30" t="str">
        <x:v>NL-0386</x:v>
      </x:c>
      <x:c r="C387" s="30" t="str">
        <x:v>Golfbaan Kralingen</x:v>
      </x:c>
      <x:c r="D387" s="30" t="str">
        <x:v>Golfbaan Kralingen</x:v>
      </x:c>
      <x:c r="E387" s="30" t="str">
        <x:v>Course</x:v>
      </x:c>
      <x:c r="F387" s="30" t="str">
        <x:v>Netherlands</x:v>
      </x:c>
      <x:c r="G387" s="30" t="str">
        <x:v>Zuid-Holland</x:v>
      </x:c>
      <x:c r="H387" s="30" t="str">
        <x:v>Rotterdam</x:v>
      </x:c>
      <x:c r="I387" s="30" t="str">
        <x:v>Rotterdam</x:v>
      </x:c>
      <x:c r="J387" s="30" t="str">
        <x:v>Kralingseweg 200</x:v>
      </x:c>
      <x:c r="K387" s="30" t="str">
        <x:v>3062 CG</x:v>
      </x:c>
      <x:c r="L387" s="32" t="n">
        <x:v>51.92811464</x:v>
      </x:c>
      <x:c r="M387" s="32" t="n">
        <x:v>4.53366005</x:v>
      </x:c>
      <x:c r="N387" s="30" t="str">
        <x:v>WGS84 / EPSG:4326</x:v>
      </x:c>
      <x:c r="O387" s="30" t="str">
        <x:v>Verified BAG address point via PDOK</x:v>
      </x:c>
      <x:c r="P387" s="30" t="str">
        <x:v>2026-08-15</x:v>
      </x:c>
      <x:c r="Q387" s="33" t="n">
        <x:f>IF(R387="","",ROUND(R387/0.9144,0))</x:f>
        <x:v>2652</x:v>
      </x:c>
      <x:c r="R387" s="33" t="n">
        <x:v>2425</x:v>
      </x:c>
      <x:c r="S387" s="33" t="n">
        <x:v>9</x:v>
      </x:c>
      <x:c r="T387" s="33" t="n">
        <x:v>32</x:v>
      </x:c>
      <x:c r="U387" s="30" t="str">
        <x:v>Par-3/4 course</x:v>
      </x:c>
      <x:c r="V387" s="30"/>
      <x:c r="W387" s="30"/>
      <x:c r="X387" s="30"/>
      <x:c r="Y387" s="30" t="str">
        <x:v>https://www.golfbaankralingen.nl/</x:v>
      </x:c>
      <x:c r="Z387" s="30" t="b">
        <x:f>IF(AND(F387="Netherlands",ISNUMBER(L387),ISNUMBER(M387),L387&gt;=50.7,L387&lt;=53.7,M387&gt;=3.2,M387&lt;=7.3,AC387&lt;&gt;"Closed"),TRUE,FALSE)</x:f>
        <x:v>1</x:v>
      </x:c>
      <x:c r="AA387" s="30" t="b">
        <x:f>Z387</x:f>
        <x:v>1</x:v>
      </x:c>
      <x:c r="AB387" s="30" t="str">
        <x:f>IF(Z387,"verified_coordinate_and_open","not_map_ready")</x:f>
        <x:v>verified_coordinate_and_open</x:v>
      </x:c>
      <x:c r="AC387" s="30" t="str">
        <x:v>Open</x:v>
      </x:c>
      <x:c r="AD387" s="30" t="str">
        <x:v>Public — handicap 54 or lower</x:v>
      </x:c>
      <x:c r="AE387" s="31" t="b">
        <x:v>1</x:v>
      </x:c>
      <x:c r="AF387" s="31" t="b">
        <x:v>0</x:v>
      </x:c>
      <x:c r="AG387" s="30"/>
      <x:c r="AH387" s="30"/>
      <x:c r="AI387" s="30"/>
      <x:c r="AJ387" s="31" t="b">
        <x:v>0</x:v>
      </x:c>
      <x:c r="AK387" s="31" t="b">
        <x:v>0</x:v>
      </x:c>
      <x:c r="AL387" s="30" t="str">
        <x:v>Verified — national register and exact BAG address</x:v>
      </x:c>
      <x:c r="AM387" s="30" t="str">
        <x:v>https://www.golf.nl/de-baan-op/banenzoeker/overzicht</x:v>
      </x:c>
      <x:c r="AN387" s="30" t="str">
        <x:v>2026-08-15</x:v>
      </x:c>
      <x:c r="AO387" s="30" t="str">
        <x:v>+31 10-2105378</x:v>
      </x:c>
      <x:c r="AP387" s="30" t="str">
        <x:v>Current NGF/GOLF.NL listing: 9 holes, par 32, 2425 metres. Listed as qualifying.</x:v>
      </x:c>
    </x:row>
    <x:row r="388">
      <x:c r="A388" s="30" t="str">
        <x:v>NL-C0253</x:v>
      </x:c>
      <x:c r="B388" s="30" t="str">
        <x:v>NL-0387</x:v>
      </x:c>
      <x:c r="C388" s="30" t="str">
        <x:v>Golfbaan Noordeloos</x:v>
      </x:c>
      <x:c r="D388" s="30" t="str">
        <x:v>Golfbaan Noordeloos</x:v>
      </x:c>
      <x:c r="E388" s="30" t="str">
        <x:v>Course</x:v>
      </x:c>
      <x:c r="F388" s="30" t="str">
        <x:v>Netherlands</x:v>
      </x:c>
      <x:c r="G388" s="30" t="str">
        <x:v>Zuid-Holland</x:v>
      </x:c>
      <x:c r="H388" s="30" t="str">
        <x:v>Molenlanden</x:v>
      </x:c>
      <x:c r="I388" s="30" t="str">
        <x:v>Noordeloos</x:v>
      </x:c>
      <x:c r="J388" s="30" t="str">
        <x:v>Nieuwendijk 20</x:v>
      </x:c>
      <x:c r="K388" s="30" t="str">
        <x:v>4225 PE</x:v>
      </x:c>
      <x:c r="L388" s="32" t="n">
        <x:v>51.89789047</x:v>
      </x:c>
      <x:c r="M388" s="32" t="n">
        <x:v>4.92711867</x:v>
      </x:c>
      <x:c r="N388" s="30" t="str">
        <x:v>WGS84 / EPSG:4326</x:v>
      </x:c>
      <x:c r="O388" s="30" t="str">
        <x:v>Verified BAG address point via PDOK</x:v>
      </x:c>
      <x:c r="P388" s="30" t="str">
        <x:v>2026-08-15</x:v>
      </x:c>
      <x:c r="Q388" s="33" t="n">
        <x:f>IF(R388="","",ROUND(R388/0.9144,0))</x:f>
        <x:v>774</x:v>
      </x:c>
      <x:c r="R388" s="33" t="n">
        <x:v>708</x:v>
      </x:c>
      <x:c r="S388" s="33" t="n">
        <x:v>9</x:v>
      </x:c>
      <x:c r="T388" s="33" t="n">
        <x:v>27</x:v>
      </x:c>
      <x:c r="U388" s="30" t="str">
        <x:v>Par-3 course</x:v>
      </x:c>
      <x:c r="V388" s="30"/>
      <x:c r="W388" s="30"/>
      <x:c r="X388" s="30"/>
      <x:c r="Y388" s="30" t="str">
        <x:v>https://www.golfbaannoordeloos.nl/</x:v>
      </x:c>
      <x:c r="Z388" s="30" t="b">
        <x:f>IF(AND(F388="Netherlands",ISNUMBER(L388),ISNUMBER(M388),L388&gt;=50.7,L388&lt;=53.7,M388&gt;=3.2,M388&lt;=7.3,AC388&lt;&gt;"Closed"),TRUE,FALSE)</x:f>
        <x:v>1</x:v>
      </x:c>
      <x:c r="AA388" s="30" t="b">
        <x:f>Z388</x:f>
        <x:v>1</x:v>
      </x:c>
      <x:c r="AB388" s="30" t="str">
        <x:f>IF(Z388,"verified_coordinate_and_open","not_map_ready")</x:f>
        <x:v>verified_coordinate_and_open</x:v>
      </x:c>
      <x:c r="AC388" s="30" t="str">
        <x:v>Open</x:v>
      </x:c>
      <x:c r="AD388" s="30" t="str">
        <x:v>Public — NGF course permission</x:v>
      </x:c>
      <x:c r="AE388" s="31" t="b">
        <x:v>1</x:v>
      </x:c>
      <x:c r="AF388" s="31" t="b">
        <x:v>0</x:v>
      </x:c>
      <x:c r="AG388" s="30"/>
      <x:c r="AH388" s="30"/>
      <x:c r="AI388" s="30"/>
      <x:c r="AJ388" s="31" t="b">
        <x:v>0</x:v>
      </x:c>
      <x:c r="AK388" s="31" t="b">
        <x:v>0</x:v>
      </x:c>
      <x:c r="AL388" s="30" t="str">
        <x:v>Verified — national register and exact BAG address</x:v>
      </x:c>
      <x:c r="AM388" s="30" t="str">
        <x:v>https://www.golf.nl/de-baan-op/banenzoeker/overzicht</x:v>
      </x:c>
      <x:c r="AN388" s="30" t="str">
        <x:v>2026-08-15</x:v>
      </x:c>
      <x:c r="AO388" s="30" t="str">
        <x:v>+31 183-589524</x:v>
      </x:c>
      <x:c r="AP388" s="30" t="str">
        <x:v>Current NGF/GOLF.NL listing: 9 holes, par 27, 708 metres. Listed as qualifying.</x:v>
      </x:c>
    </x:row>
    <x:row r="389">
      <x:c r="A389" s="30" t="str">
        <x:v>NL-C0254</x:v>
      </x:c>
      <x:c r="B389" s="30" t="str">
        <x:v>NL-0388</x:v>
      </x:c>
      <x:c r="C389" s="30" t="str">
        <x:v>Golfbaan Schinkelshoek — Serie A Westland</x:v>
      </x:c>
      <x:c r="D389" s="30" t="str">
        <x:v>Golfbaan Schinkelshoek</x:v>
      </x:c>
      <x:c r="E389" s="30" t="str">
        <x:v>Serie A Westland</x:v>
      </x:c>
      <x:c r="F389" s="30" t="str">
        <x:v>Netherlands</x:v>
      </x:c>
      <x:c r="G389" s="30" t="str">
        <x:v>Zuid-Holland</x:v>
      </x:c>
      <x:c r="H389" s="30" t="str">
        <x:v>Vlaardingen</x:v>
      </x:c>
      <x:c r="I389" s="30" t="str">
        <x:v>Vlaardingen</x:v>
      </x:c>
      <x:c r="J389" s="30" t="str">
        <x:v>Zuidbuurt 79</x:v>
      </x:c>
      <x:c r="K389" s="30" t="str">
        <x:v>3132 KA</x:v>
      </x:c>
      <x:c r="L389" s="32" t="n">
        <x:v>51.91014083</x:v>
      </x:c>
      <x:c r="M389" s="32" t="n">
        <x:v>4.3014505</x:v>
      </x:c>
      <x:c r="N389" s="30" t="str">
        <x:v>WGS84 / EPSG:4326</x:v>
      </x:c>
      <x:c r="O389" s="30" t="str">
        <x:v>Verified BAG address point via PDOK</x:v>
      </x:c>
      <x:c r="P389" s="30" t="str">
        <x:v>2026-08-15</x:v>
      </x:c>
      <x:c r="Q389" s="33" t="n">
        <x:f>IF(R389="","",ROUND(R389/0.9144,0))</x:f>
        <x:v>892</x:v>
      </x:c>
      <x:c r="R389" s="33" t="n">
        <x:v>816</x:v>
      </x:c>
      <x:c r="S389" s="33" t="n">
        <x:v>9</x:v>
      </x:c>
      <x:c r="T389" s="33" t="n">
        <x:v>28</x:v>
      </x:c>
      <x:c r="U389" s="30" t="str">
        <x:v>Par-3/4 course</x:v>
      </x:c>
      <x:c r="V389" s="30"/>
      <x:c r="W389" s="30"/>
      <x:c r="X389" s="30"/>
      <x:c r="Y389" s="30" t="str">
        <x:v>https://www.golfbaanschinkelshoek.nl/</x:v>
      </x:c>
      <x:c r="Z389" s="30" t="b">
        <x:f>IF(AND(F389="Netherlands",ISNUMBER(L389),ISNUMBER(M389),L389&gt;=50.7,L389&lt;=53.7,M389&gt;=3.2,M389&lt;=7.3,AC389&lt;&gt;"Closed"),TRUE,FALSE)</x:f>
        <x:v>1</x:v>
      </x:c>
      <x:c r="AA389" s="30" t="b">
        <x:f>Z389</x:f>
        <x:v>1</x:v>
      </x:c>
      <x:c r="AB389" s="30" t="str">
        <x:f>IF(Z389,"verified_coordinate_and_open","not_map_ready")</x:f>
        <x:v>verified_coordinate_and_open</x:v>
      </x:c>
      <x:c r="AC389" s="30" t="str">
        <x:v>Open</x:v>
      </x:c>
      <x:c r="AD389" s="30" t="str">
        <x:v>Public — NGF course permission</x:v>
      </x:c>
      <x:c r="AE389" s="31" t="b">
        <x:v>1</x:v>
      </x:c>
      <x:c r="AF389" s="31" t="b">
        <x:v>0</x:v>
      </x:c>
      <x:c r="AG389" s="30"/>
      <x:c r="AH389" s="30"/>
      <x:c r="AI389" s="30"/>
      <x:c r="AJ389" s="31" t="b">
        <x:v>0</x:v>
      </x:c>
      <x:c r="AK389" s="31" t="b">
        <x:v>0</x:v>
      </x:c>
      <x:c r="AL389" s="30" t="str">
        <x:v>Verified — national register and exact BAG address</x:v>
      </x:c>
      <x:c r="AM389" s="30" t="str">
        <x:v>https://www.golfbaanschinkelshoek.nl/golfbaan/baaninformatie/</x:v>
      </x:c>
      <x:c r="AN389" s="30" t="str">
        <x:v>2026-08-15</x:v>
      </x:c>
      <x:c r="AO389" s="30" t="str">
        <x:v>+31 10-4602139</x:v>
      </x:c>
      <x:c r="AP389" s="30" t="str">
        <x:v>Current NGF/GOLF.NL listing: 9 holes, par 28, 816 metres. One physical nine-hole Westland loop is retained. Its conventional-ball qualifying configuration is par 28 and 816 metres; the club's light-ball format plays the same holes as par 36. Listed as qualifying.</x:v>
      </x:c>
    </x:row>
    <x:row r="390">
      <x:c r="A390" s="30" t="str">
        <x:v>NL-C0254</x:v>
      </x:c>
      <x:c r="B390" s="30" t="str">
        <x:v>NL-0389</x:v>
      </x:c>
      <x:c r="C390" s="30" t="str">
        <x:v>Golfbaan Schinkelshoek — Serie B Waterland</x:v>
      </x:c>
      <x:c r="D390" s="30" t="str">
        <x:v>Golfbaan Schinkelshoek</x:v>
      </x:c>
      <x:c r="E390" s="30" t="str">
        <x:v>Serie B Waterland</x:v>
      </x:c>
      <x:c r="F390" s="30" t="str">
        <x:v>Netherlands</x:v>
      </x:c>
      <x:c r="G390" s="30" t="str">
        <x:v>Zuid-Holland</x:v>
      </x:c>
      <x:c r="H390" s="30" t="str">
        <x:v>Vlaardingen</x:v>
      </x:c>
      <x:c r="I390" s="30" t="str">
        <x:v>Vlaardingen</x:v>
      </x:c>
      <x:c r="J390" s="30" t="str">
        <x:v>Zuidbuurt 79</x:v>
      </x:c>
      <x:c r="K390" s="30" t="str">
        <x:v>3132 KA</x:v>
      </x:c>
      <x:c r="L390" s="32" t="n">
        <x:v>51.91014083</x:v>
      </x:c>
      <x:c r="M390" s="32" t="n">
        <x:v>4.3014505</x:v>
      </x:c>
      <x:c r="N390" s="30" t="str">
        <x:v>WGS84 / EPSG:4326</x:v>
      </x:c>
      <x:c r="O390" s="30" t="str">
        <x:v>Verified BAG address point via PDOK</x:v>
      </x:c>
      <x:c r="P390" s="30" t="str">
        <x:v>2026-08-15</x:v>
      </x:c>
      <x:c r="Q390" s="33" t="str">
        <x:f>IF(R390="","",ROUND(R390/0.9144,0))</x:f>
      </x:c>
      <x:c r="R390" s="33"/>
      <x:c r="S390" s="33" t="n">
        <x:v>9</x:v>
      </x:c>
      <x:c r="T390" s="33" t="n">
        <x:v>36</x:v>
      </x:c>
      <x:c r="U390" s="30" t="str">
        <x:v>Par-3 course</x:v>
      </x:c>
      <x:c r="V390" s="30"/>
      <x:c r="W390" s="30"/>
      <x:c r="X390" s="30"/>
      <x:c r="Y390" s="30" t="str">
        <x:v>https://www.golfbaanschinkelshoek.nl/</x:v>
      </x:c>
      <x:c r="Z390" s="30" t="b">
        <x:f>IF(AND(F390="Netherlands",ISNUMBER(L390),ISNUMBER(M390),L390&gt;=50.7,L390&lt;=53.7,M390&gt;=3.2,M390&lt;=7.3,AC390&lt;&gt;"Closed"),TRUE,FALSE)</x:f>
        <x:v>1</x:v>
      </x:c>
      <x:c r="AA390" s="30" t="b">
        <x:f>Z390</x:f>
        <x:v>1</x:v>
      </x:c>
      <x:c r="AB390" s="30" t="str">
        <x:f>IF(Z390,"verified_coordinate_and_open","not_map_ready")</x:f>
        <x:v>verified_coordinate_and_open</x:v>
      </x:c>
      <x:c r="AC390" s="30" t="str">
        <x:v>Open</x:v>
      </x:c>
      <x:c r="AD390" s="30" t="str">
        <x:v>Public — NGF course permission</x:v>
      </x:c>
      <x:c r="AE390" s="31" t="b">
        <x:v>0</x:v>
      </x:c>
      <x:c r="AF390" s="31" t="b">
        <x:v>0</x:v>
      </x:c>
      <x:c r="AG390" s="30"/>
      <x:c r="AH390" s="30"/>
      <x:c r="AI390" s="30"/>
      <x:c r="AJ390" s="31" t="b">
        <x:v>0</x:v>
      </x:c>
      <x:c r="AK390" s="31" t="b">
        <x:v>0</x:v>
      </x:c>
      <x:c r="AL390" s="30" t="str">
        <x:v>Verified — national register and exact BAG address</x:v>
      </x:c>
      <x:c r="AM390" s="30" t="str">
        <x:v>https://www.golfbaanschinkelshoek.nl/golfbaan/baaninformatie/</x:v>
      </x:c>
      <x:c r="AN390" s="30" t="str">
        <x:v>2026-08-15</x:v>
      </x:c>
      <x:c r="AO390" s="30" t="str">
        <x:v>+31 10-4602139</x:v>
      </x:c>
      <x:c r="AP390" s="30" t="str">
        <x:v>Current NGF/GOLF.NL listing: 9 holes, par 36; no certain total length published. Official club page confirms each named nine-hole series is par 36 when played in the club's standard format. Listed as non-qualifying.</x:v>
      </x:c>
    </x:row>
    <x:row r="391">
      <x:c r="A391" s="30" t="str">
        <x:v>NL-C0254</x:v>
      </x:c>
      <x:c r="B391" s="30" t="str">
        <x:v>NL-0390</x:v>
      </x:c>
      <x:c r="C391" s="30" t="str">
        <x:v>Golfbaan Schinkelshoek — Serie C Delfland</x:v>
      </x:c>
      <x:c r="D391" s="30" t="str">
        <x:v>Golfbaan Schinkelshoek</x:v>
      </x:c>
      <x:c r="E391" s="30" t="str">
        <x:v>Serie C Delfland</x:v>
      </x:c>
      <x:c r="F391" s="30" t="str">
        <x:v>Netherlands</x:v>
      </x:c>
      <x:c r="G391" s="30" t="str">
        <x:v>Zuid-Holland</x:v>
      </x:c>
      <x:c r="H391" s="30" t="str">
        <x:v>Vlaardingen</x:v>
      </x:c>
      <x:c r="I391" s="30" t="str">
        <x:v>Vlaardingen</x:v>
      </x:c>
      <x:c r="J391" s="30" t="str">
        <x:v>Zuidbuurt 79</x:v>
      </x:c>
      <x:c r="K391" s="30" t="str">
        <x:v>3132 KA</x:v>
      </x:c>
      <x:c r="L391" s="32" t="n">
        <x:v>51.91014083</x:v>
      </x:c>
      <x:c r="M391" s="32" t="n">
        <x:v>4.3014505</x:v>
      </x:c>
      <x:c r="N391" s="30" t="str">
        <x:v>WGS84 / EPSG:4326</x:v>
      </x:c>
      <x:c r="O391" s="30" t="str">
        <x:v>Verified BAG address point via PDOK</x:v>
      </x:c>
      <x:c r="P391" s="30" t="str">
        <x:v>2026-08-15</x:v>
      </x:c>
      <x:c r="Q391" s="33" t="str">
        <x:f>IF(R391="","",ROUND(R391/0.9144,0))</x:f>
      </x:c>
      <x:c r="R391" s="33"/>
      <x:c r="S391" s="33" t="n">
        <x:v>9</x:v>
      </x:c>
      <x:c r="T391" s="33" t="n">
        <x:v>36</x:v>
      </x:c>
      <x:c r="U391" s="30" t="str">
        <x:v>Par-3 course</x:v>
      </x:c>
      <x:c r="V391" s="30"/>
      <x:c r="W391" s="30"/>
      <x:c r="X391" s="30"/>
      <x:c r="Y391" s="30" t="str">
        <x:v>https://www.golfbaanschinkelshoek.nl/</x:v>
      </x:c>
      <x:c r="Z391" s="30" t="b">
        <x:f>IF(AND(F391="Netherlands",ISNUMBER(L391),ISNUMBER(M391),L391&gt;=50.7,L391&lt;=53.7,M391&gt;=3.2,M391&lt;=7.3,AC391&lt;&gt;"Closed"),TRUE,FALSE)</x:f>
        <x:v>1</x:v>
      </x:c>
      <x:c r="AA391" s="30" t="b">
        <x:f>Z391</x:f>
        <x:v>1</x:v>
      </x:c>
      <x:c r="AB391" s="30" t="str">
        <x:f>IF(Z391,"verified_coordinate_and_open","not_map_ready")</x:f>
        <x:v>verified_coordinate_and_open</x:v>
      </x:c>
      <x:c r="AC391" s="30" t="str">
        <x:v>Open</x:v>
      </x:c>
      <x:c r="AD391" s="30" t="str">
        <x:v>Public — NGF course permission</x:v>
      </x:c>
      <x:c r="AE391" s="31" t="b">
        <x:v>0</x:v>
      </x:c>
      <x:c r="AF391" s="31" t="b">
        <x:v>0</x:v>
      </x:c>
      <x:c r="AG391" s="30"/>
      <x:c r="AH391" s="30"/>
      <x:c r="AI391" s="30"/>
      <x:c r="AJ391" s="31" t="b">
        <x:v>0</x:v>
      </x:c>
      <x:c r="AK391" s="31" t="b">
        <x:v>0</x:v>
      </x:c>
      <x:c r="AL391" s="30" t="str">
        <x:v>Verified — national register and exact BAG address</x:v>
      </x:c>
      <x:c r="AM391" s="30" t="str">
        <x:v>https://www.golfbaanschinkelshoek.nl/golfbaan/baaninformatie/</x:v>
      </x:c>
      <x:c r="AN391" s="30" t="str">
        <x:v>2026-08-15</x:v>
      </x:c>
      <x:c r="AO391" s="30" t="str">
        <x:v>+31 10-4602139</x:v>
      </x:c>
      <x:c r="AP391" s="30" t="str">
        <x:v>Current NGF/GOLF.NL listing: 9 holes, par 36; no certain total length published. Official club page confirms each named nine-hole series is par 36 when played in the club's standard format. Listed as non-qualifying.</x:v>
      </x:c>
    </x:row>
    <x:row r="392">
      <x:c r="A392" s="30" t="str">
        <x:v>NL-C0255</x:v>
      </x:c>
      <x:c r="B392" s="30" t="str">
        <x:v>NL-0391</x:v>
      </x:c>
      <x:c r="C392" s="30" t="str">
        <x:v>Golfbaan Tespelduyn</x:v>
      </x:c>
      <x:c r="D392" s="30" t="str">
        <x:v>Golfbaan Tespelduyn</x:v>
      </x:c>
      <x:c r="E392" s="30" t="str">
        <x:v>Course</x:v>
      </x:c>
      <x:c r="F392" s="30" t="str">
        <x:v>Netherlands</x:v>
      </x:c>
      <x:c r="G392" s="30" t="str">
        <x:v>Zuid-Holland</x:v>
      </x:c>
      <x:c r="H392" s="30" t="str">
        <x:v>Noordwijk</x:v>
      </x:c>
      <x:c r="I392" s="30" t="str">
        <x:v>Noordwijkerhout</x:v>
      </x:c>
      <x:c r="J392" s="30" t="str">
        <x:v>Tespellaan 53</x:v>
      </x:c>
      <x:c r="K392" s="30" t="str">
        <x:v>2211 VT</x:v>
      </x:c>
      <x:c r="L392" s="32" t="n">
        <x:v>52.28348984</x:v>
      </x:c>
      <x:c r="M392" s="32" t="n">
        <x:v>4.52569652</x:v>
      </x:c>
      <x:c r="N392" s="30" t="str">
        <x:v>WGS84 / EPSG:4326</x:v>
      </x:c>
      <x:c r="O392" s="30" t="str">
        <x:v>Verified BAG address point via PDOK</x:v>
      </x:c>
      <x:c r="P392" s="30" t="str">
        <x:v>2026-08-15</x:v>
      </x:c>
      <x:c r="Q392" s="33" t="n">
        <x:f>IF(R392="","",ROUND(R392/0.9144,0))</x:f>
        <x:v>2007</x:v>
      </x:c>
      <x:c r="R392" s="33" t="n">
        <x:v>1835</x:v>
      </x:c>
      <x:c r="S392" s="33" t="n">
        <x:v>9</x:v>
      </x:c>
      <x:c r="T392" s="33" t="n">
        <x:v>32</x:v>
      </x:c>
      <x:c r="U392" s="30" t="str">
        <x:v>Full-length course</x:v>
      </x:c>
      <x:c r="V392" s="30"/>
      <x:c r="W392" s="30"/>
      <x:c r="X392" s="30"/>
      <x:c r="Y392" s="30" t="str">
        <x:v>https://golfbaantespelduyn.nl/</x:v>
      </x:c>
      <x:c r="Z392" s="30" t="b">
        <x:f>IF(AND(F392="Netherlands",ISNUMBER(L392),ISNUMBER(M392),L392&gt;=50.7,L392&lt;=53.7,M392&gt;=3.2,M392&lt;=7.3,AC392&lt;&gt;"Closed"),TRUE,FALSE)</x:f>
        <x:v>1</x:v>
      </x:c>
      <x:c r="AA392" s="30" t="b">
        <x:f>Z392</x:f>
        <x:v>1</x:v>
      </x:c>
      <x:c r="AB392" s="30" t="str">
        <x:f>IF(Z392,"verified_coordinate_and_open","not_map_ready")</x:f>
        <x:v>verified_coordinate_and_open</x:v>
      </x:c>
      <x:c r="AC392" s="30" t="str">
        <x:v>Open</x:v>
      </x:c>
      <x:c r="AD392" s="30" t="str">
        <x:v>Public — handicap 54 or lower</x:v>
      </x:c>
      <x:c r="AE392" s="31" t="b">
        <x:v>1</x:v>
      </x:c>
      <x:c r="AF392" s="31" t="b">
        <x:v>0</x:v>
      </x:c>
      <x:c r="AG392" s="30"/>
      <x:c r="AH392" s="30"/>
      <x:c r="AI392" s="30"/>
      <x:c r="AJ392" s="31" t="b">
        <x:v>0</x:v>
      </x:c>
      <x:c r="AK392" s="31" t="b">
        <x:v>0</x:v>
      </x:c>
      <x:c r="AL392" s="30" t="str">
        <x:v>Verified — national register and exact BAG address</x:v>
      </x:c>
      <x:c r="AM392" s="30" t="str">
        <x:v>https://www.golf.nl/de-baan-op/banenzoeker/overzicht</x:v>
      </x:c>
      <x:c r="AN392" s="30" t="str">
        <x:v>2026-08-15</x:v>
      </x:c>
      <x:c r="AO392" s="30" t="str">
        <x:v>+31 252-241333</x:v>
      </x:c>
      <x:c r="AP392" s="30" t="str">
        <x:v>Current NGF/GOLF.NL listing: 9 holes, par 32, 1835 metres. Listed as qualifying.</x:v>
      </x:c>
    </x:row>
    <x:row r="393">
      <x:c r="A393" s="30" t="str">
        <x:v>NL-C0256</x:v>
      </x:c>
      <x:c r="B393" s="30" t="str">
        <x:v>NL-0392</x:v>
      </x:c>
      <x:c r="C393" s="30" t="str">
        <x:v>Golfcenter Seve Rotterdam</x:v>
      </x:c>
      <x:c r="D393" s="30" t="str">
        <x:v>Golfcenter Seve Rotterdam</x:v>
      </x:c>
      <x:c r="E393" s="30" t="str">
        <x:v>Course</x:v>
      </x:c>
      <x:c r="F393" s="30" t="str">
        <x:v>Netherlands</x:v>
      </x:c>
      <x:c r="G393" s="30" t="str">
        <x:v>Zuid-Holland</x:v>
      </x:c>
      <x:c r="H393" s="30" t="str">
        <x:v>Rotterdam</x:v>
      </x:c>
      <x:c r="I393" s="30" t="str">
        <x:v>Rotterdam</x:v>
      </x:c>
      <x:c r="J393" s="30" t="str">
        <x:v>Kleiweg 480</x:v>
      </x:c>
      <x:c r="K393" s="30" t="str">
        <x:v>3045 PM</x:v>
      </x:c>
      <x:c r="L393" s="32" t="n">
        <x:v>51.94379278</x:v>
      </x:c>
      <x:c r="M393" s="32" t="n">
        <x:v>4.46167167</x:v>
      </x:c>
      <x:c r="N393" s="30" t="str">
        <x:v>WGS84 / EPSG:4326</x:v>
      </x:c>
      <x:c r="O393" s="30" t="str">
        <x:v>Verified BAG address point via PDOK</x:v>
      </x:c>
      <x:c r="P393" s="30" t="str">
        <x:v>2026-08-15</x:v>
      </x:c>
      <x:c r="Q393" s="33" t="n">
        <x:f>IF(R393="","",ROUND(R393/0.9144,0))</x:f>
        <x:v>903</x:v>
      </x:c>
      <x:c r="R393" s="33" t="n">
        <x:v>826</x:v>
      </x:c>
      <x:c r="S393" s="33" t="n">
        <x:v>9</x:v>
      </x:c>
      <x:c r="T393" s="33" t="n">
        <x:v>27</x:v>
      </x:c>
      <x:c r="U393" s="30" t="str">
        <x:v>Par-3 course</x:v>
      </x:c>
      <x:c r="V393" s="30"/>
      <x:c r="W393" s="30"/>
      <x:c r="X393" s="30"/>
      <x:c r="Y393" s="30" t="str">
        <x:v>https://seve.nl/</x:v>
      </x:c>
      <x:c r="Z393" s="30" t="b">
        <x:f>IF(AND(F393="Netherlands",ISNUMBER(L393),ISNUMBER(M393),L393&gt;=50.7,L393&lt;=53.7,M393&gt;=3.2,M393&lt;=7.3,AC393&lt;&gt;"Closed"),TRUE,FALSE)</x:f>
        <x:v>1</x:v>
      </x:c>
      <x:c r="AA393" s="30" t="b">
        <x:f>Z393</x:f>
        <x:v>1</x:v>
      </x:c>
      <x:c r="AB393" s="30" t="str">
        <x:f>IF(Z393,"verified_coordinate_and_open","not_map_ready")</x:f>
        <x:v>verified_coordinate_and_open</x:v>
      </x:c>
      <x:c r="AC393" s="30" t="str">
        <x:v>Open</x:v>
      </x:c>
      <x:c r="AD393" s="30" t="str">
        <x:v>Public — handicap 54 or lower</x:v>
      </x:c>
      <x:c r="AE393" s="31" t="b">
        <x:v>1</x:v>
      </x:c>
      <x:c r="AF393" s="31" t="b">
        <x:v>0</x:v>
      </x:c>
      <x:c r="AG393" s="30"/>
      <x:c r="AH393" s="30"/>
      <x:c r="AI393" s="30"/>
      <x:c r="AJ393" s="31" t="b">
        <x:v>0</x:v>
      </x:c>
      <x:c r="AK393" s="31" t="b">
        <x:v>0</x:v>
      </x:c>
      <x:c r="AL393" s="30" t="str">
        <x:v>Verified — national register and exact BAG address</x:v>
      </x:c>
      <x:c r="AM393" s="30" t="str">
        <x:v>https://www.golf.nl/de-baan-op/banenzoeker/overzicht</x:v>
      </x:c>
      <x:c r="AN393" s="30" t="str">
        <x:v>2026-08-15</x:v>
      </x:c>
      <x:c r="AO393" s="30" t="str">
        <x:v>+31 10-4188848</x:v>
      </x:c>
      <x:c r="AP393" s="30" t="str">
        <x:v>Current NGF/GOLF.NL listing: 9 holes, par 27, 826 metres. Listed as qualifying.</x:v>
      </x:c>
    </x:row>
    <x:row r="394">
      <x:c r="A394" s="30" t="str">
        <x:v>NL-C0257</x:v>
      </x:c>
      <x:c r="B394" s="30" t="str">
        <x:v>NL-0393</x:v>
      </x:c>
      <x:c r="C394" s="30" t="str">
        <x:v>Golfclub Broekpolder — Main Course</x:v>
      </x:c>
      <x:c r="D394" s="30" t="str">
        <x:v>Golfclub Broekpolder</x:v>
      </x:c>
      <x:c r="E394" s="30" t="str">
        <x:v>Main Course</x:v>
      </x:c>
      <x:c r="F394" s="30" t="str">
        <x:v>Netherlands</x:v>
      </x:c>
      <x:c r="G394" s="30" t="str">
        <x:v>Zuid-Holland</x:v>
      </x:c>
      <x:c r="H394" s="30" t="str">
        <x:v>Vlaardingen</x:v>
      </x:c>
      <x:c r="I394" s="30" t="str">
        <x:v>Vlaardingen</x:v>
      </x:c>
      <x:c r="J394" s="30" t="str">
        <x:v>Watersportweg 100</x:v>
      </x:c>
      <x:c r="K394" s="30" t="str">
        <x:v>3138 HD</x:v>
      </x:c>
      <x:c r="L394" s="32" t="n">
        <x:v>51.93648279</x:v>
      </x:c>
      <x:c r="M394" s="32" t="n">
        <x:v>4.31540589</x:v>
      </x:c>
      <x:c r="N394" s="30" t="str">
        <x:v>WGS84 / EPSG:4326</x:v>
      </x:c>
      <x:c r="O394" s="30" t="str">
        <x:v>Verified BAG address point via PDOK</x:v>
      </x:c>
      <x:c r="P394" s="30" t="str">
        <x:v>2026-08-15</x:v>
      </x:c>
      <x:c r="Q394" s="33" t="n">
        <x:f>IF(R394="","",ROUND(R394/0.9144,0))</x:f>
        <x:v>6891</x:v>
      </x:c>
      <x:c r="R394" s="33" t="n">
        <x:v>6301</x:v>
      </x:c>
      <x:c r="S394" s="33" t="n">
        <x:v>18</x:v>
      </x:c>
      <x:c r="T394" s="33" t="n">
        <x:v>72</x:v>
      </x:c>
      <x:c r="U394" s="30" t="str">
        <x:v>Full-length course</x:v>
      </x:c>
      <x:c r="V394" s="30"/>
      <x:c r="W394" s="30"/>
      <x:c r="X394" s="30"/>
      <x:c r="Y394" s="30" t="str">
        <x:v>https://golfclubbroekpolder.nl/</x:v>
      </x:c>
      <x:c r="Z394" s="30" t="b">
        <x:f>IF(AND(F394="Netherlands",ISNUMBER(L394),ISNUMBER(M394),L394&gt;=50.7,L394&lt;=53.7,M394&gt;=3.2,M394&lt;=7.3,AC394&lt;&gt;"Closed"),TRUE,FALSE)</x:f>
        <x:v>1</x:v>
      </x:c>
      <x:c r="AA394" s="30" t="b">
        <x:f>Z394</x:f>
        <x:v>1</x:v>
      </x:c>
      <x:c r="AB394" s="30" t="str">
        <x:f>IF(Z394,"verified_coordinate_and_open","not_map_ready")</x:f>
        <x:v>verified_coordinate_and_open</x:v>
      </x:c>
      <x:c r="AC394" s="30" t="str">
        <x:v>Open</x:v>
      </x:c>
      <x:c r="AD394" s="30" t="str">
        <x:v>Public — handicap 28 or lower</x:v>
      </x:c>
      <x:c r="AE394" s="31" t="b">
        <x:v>1</x:v>
      </x:c>
      <x:c r="AF394" s="31" t="b">
        <x:v>0</x:v>
      </x:c>
      <x:c r="AG394" s="30"/>
      <x:c r="AH394" s="30"/>
      <x:c r="AI394" s="30"/>
      <x:c r="AJ394" s="31" t="b">
        <x:v>0</x:v>
      </x:c>
      <x:c r="AK394" s="31" t="b">
        <x:v>0</x:v>
      </x:c>
      <x:c r="AL394" s="30" t="str">
        <x:v>Verified — national register and exact BAG address</x:v>
      </x:c>
      <x:c r="AM394" s="30" t="str">
        <x:v>https://www.golf.nl/de-baan-op/banenzoeker/overzicht</x:v>
      </x:c>
      <x:c r="AN394" s="30" t="str">
        <x:v>2026-08-15</x:v>
      </x:c>
      <x:c r="AO394" s="30" t="str">
        <x:v>+31 10-2495554</x:v>
      </x:c>
      <x:c r="AP394" s="30" t="str">
        <x:v>Current NGF/GOLF.NL listing: 18 holes, par 72, 6301 metres. Combined from exact NGF-listed constituent nine-hole loops: 1ste negen (9 holes, par 36, 3174 m); 2de negen (9 holes, par 36, 3127 m) Listed as qualifying.</x:v>
      </x:c>
    </x:row>
    <x:row r="395">
      <x:c r="A395" s="30" t="str">
        <x:v>NL-C0258</x:v>
      </x:c>
      <x:c r="B395" s="30" t="str">
        <x:v>NL-0394</x:v>
      </x:c>
      <x:c r="C395" s="30" t="str">
        <x:v>Golfclub Capelle — Main Course</x:v>
      </x:c>
      <x:c r="D395" s="30" t="str">
        <x:v>Golfclub Capelle</x:v>
      </x:c>
      <x:c r="E395" s="30" t="str">
        <x:v>Main Course</x:v>
      </x:c>
      <x:c r="F395" s="30" t="str">
        <x:v>Netherlands</x:v>
      </x:c>
      <x:c r="G395" s="30" t="str">
        <x:v>Zuid-Holland</x:v>
      </x:c>
      <x:c r="H395" s="30" t="str">
        <x:v>Capelle aan den IJssel</x:v>
      </x:c>
      <x:c r="I395" s="30" t="str">
        <x:v>Capelle aan den IJssel</x:v>
      </x:c>
      <x:c r="J395" s="30" t="str">
        <x:v>s Gravenweg 311</x:v>
      </x:c>
      <x:c r="K395" s="30" t="str">
        <x:v>2905 LB</x:v>
      </x:c>
      <x:c r="L395" s="32" t="n">
        <x:v>51.94054887</x:v>
      </x:c>
      <x:c r="M395" s="32" t="n">
        <x:v>4.59219857</x:v>
      </x:c>
      <x:c r="N395" s="30" t="str">
        <x:v>WGS84 / EPSG:4326</x:v>
      </x:c>
      <x:c r="O395" s="30" t="str">
        <x:v>Verified BAG address point via PDOK</x:v>
      </x:c>
      <x:c r="P395" s="30" t="str">
        <x:v>2026-08-15</x:v>
      </x:c>
      <x:c r="Q395" s="33" t="n">
        <x:f>IF(R395="","",ROUND(R395/0.9144,0))</x:f>
        <x:v>5638</x:v>
      </x:c>
      <x:c r="R395" s="33" t="n">
        <x:v>5155</x:v>
      </x:c>
      <x:c r="S395" s="33" t="n">
        <x:v>18</x:v>
      </x:c>
      <x:c r="T395" s="33" t="n">
        <x:v>69</x:v>
      </x:c>
      <x:c r="U395" s="30" t="str">
        <x:v>Full-length course</x:v>
      </x:c>
      <x:c r="V395" s="30"/>
      <x:c r="W395" s="30"/>
      <x:c r="X395" s="30"/>
      <x:c r="Y395" s="30" t="str">
        <x:v>https://golfclubcapelle.nl/</x:v>
      </x:c>
      <x:c r="Z395" s="30" t="b">
        <x:f>IF(AND(F395="Netherlands",ISNUMBER(L395),ISNUMBER(M395),L395&gt;=50.7,L395&lt;=53.7,M395&gt;=3.2,M395&lt;=7.3,AC395&lt;&gt;"Closed"),TRUE,FALSE)</x:f>
        <x:v>1</x:v>
      </x:c>
      <x:c r="AA395" s="30" t="b">
        <x:f>Z395</x:f>
        <x:v>1</x:v>
      </x:c>
      <x:c r="AB395" s="30" t="str">
        <x:f>IF(Z395,"verified_coordinate_and_open","not_map_ready")</x:f>
        <x:v>verified_coordinate_and_open</x:v>
      </x:c>
      <x:c r="AC395" s="30" t="str">
        <x:v>Open</x:v>
      </x:c>
      <x:c r="AD395" s="30" t="str">
        <x:v>Public — handicap 54 or lower</x:v>
      </x:c>
      <x:c r="AE395" s="31" t="b">
        <x:v>1</x:v>
      </x:c>
      <x:c r="AF395" s="31" t="b">
        <x:v>0</x:v>
      </x:c>
      <x:c r="AG395" s="30"/>
      <x:c r="AH395" s="30"/>
      <x:c r="AI395" s="30"/>
      <x:c r="AJ395" s="31" t="b">
        <x:v>0</x:v>
      </x:c>
      <x:c r="AK395" s="31" t="b">
        <x:v>0</x:v>
      </x:c>
      <x:c r="AL395" s="30" t="str">
        <x:v>Verified — national register and exact BAG address</x:v>
      </x:c>
      <x:c r="AM395" s="30" t="str">
        <x:v>https://www.golf.nl/de-baan-op/banenzoeker/overzicht</x:v>
      </x:c>
      <x:c r="AN395" s="30" t="str">
        <x:v>2026-08-15</x:v>
      </x:c>
      <x:c r="AO395" s="30" t="str">
        <x:v>+31 10-4422337</x:v>
      </x:c>
      <x:c r="AP395" s="30" t="str">
        <x:v>Current NGF/GOLF.NL listing: 18 holes, par 69, 5155 metres. Combined from exact NGF-listed constituent nine-hole loops: 1ste negen (9 holes, par 35, 2743 m); 2de negen (9 holes, par 34, 2412 m) Listed as qualifying.</x:v>
      </x:c>
    </x:row>
    <x:row r="396">
      <x:c r="A396" s="30" t="str">
        <x:v>NL-C0259</x:v>
      </x:c>
      <x:c r="B396" s="30" t="str">
        <x:v>NL-0395</x:v>
      </x:c>
      <x:c r="C396" s="30" t="str">
        <x:v>Golfclub Cromstrijen — Main Course</x:v>
      </x:c>
      <x:c r="D396" s="30" t="str">
        <x:v>Golfclub Cromstrijen</x:v>
      </x:c>
      <x:c r="E396" s="30" t="str">
        <x:v>Main Course</x:v>
      </x:c>
      <x:c r="F396" s="30" t="str">
        <x:v>Netherlands</x:v>
      </x:c>
      <x:c r="G396" s="30" t="str">
        <x:v>Zuid-Holland</x:v>
      </x:c>
      <x:c r="H396" s="30" t="str">
        <x:v>Hoeksche Waard</x:v>
      </x:c>
      <x:c r="I396" s="30" t="str">
        <x:v>Numansdorp</x:v>
      </x:c>
      <x:c r="J396" s="30" t="str">
        <x:v>Veerweg 26</x:v>
      </x:c>
      <x:c r="K396" s="30" t="str">
        <x:v>3281 LX</x:v>
      </x:c>
      <x:c r="L396" s="32" t="n">
        <x:v>51.72256048</x:v>
      </x:c>
      <x:c r="M396" s="32" t="n">
        <x:v>4.41455778</x:v>
      </x:c>
      <x:c r="N396" s="30" t="str">
        <x:v>WGS84 / EPSG:4326</x:v>
      </x:c>
      <x:c r="O396" s="30" t="str">
        <x:v>Verified BAG address point via PDOK</x:v>
      </x:c>
      <x:c r="P396" s="30" t="str">
        <x:v>2026-08-15</x:v>
      </x:c>
      <x:c r="Q396" s="33" t="n">
        <x:f>IF(R396="","",ROUND(R396/0.9144,0))</x:f>
        <x:v>6712</x:v>
      </x:c>
      <x:c r="R396" s="33" t="n">
        <x:v>6137</x:v>
      </x:c>
      <x:c r="S396" s="33" t="n">
        <x:v>18</x:v>
      </x:c>
      <x:c r="T396" s="33" t="n">
        <x:v>72</x:v>
      </x:c>
      <x:c r="U396" s="30" t="str">
        <x:v>Full-length course</x:v>
      </x:c>
      <x:c r="V396" s="30"/>
      <x:c r="W396" s="30"/>
      <x:c r="X396" s="30"/>
      <x:c r="Y396" s="30" t="str">
        <x:v>https://golfclubcromstrijen.nl/nl</x:v>
      </x:c>
      <x:c r="Z396" s="30" t="b">
        <x:f>IF(AND(F396="Netherlands",ISNUMBER(L396),ISNUMBER(M396),L396&gt;=50.7,L396&lt;=53.7,M396&gt;=3.2,M396&lt;=7.3,AC396&lt;&gt;"Closed"),TRUE,FALSE)</x:f>
        <x:v>1</x:v>
      </x:c>
      <x:c r="AA396" s="30" t="b">
        <x:f>Z396</x:f>
        <x:v>1</x:v>
      </x:c>
      <x:c r="AB396" s="30" t="str">
        <x:f>IF(Z396,"verified_coordinate_and_open","not_map_ready")</x:f>
        <x:v>verified_coordinate_and_open</x:v>
      </x:c>
      <x:c r="AC396" s="30" t="str">
        <x:v>Open</x:v>
      </x:c>
      <x:c r="AD396" s="30" t="str">
        <x:v>Public — handicap 54 or lower</x:v>
      </x:c>
      <x:c r="AE396" s="31" t="b">
        <x:v>1</x:v>
      </x:c>
      <x:c r="AF396" s="31" t="b">
        <x:v>0</x:v>
      </x:c>
      <x:c r="AG396" s="30"/>
      <x:c r="AH396" s="30"/>
      <x:c r="AI396" s="30"/>
      <x:c r="AJ396" s="31" t="b">
        <x:v>0</x:v>
      </x:c>
      <x:c r="AK396" s="31" t="b">
        <x:v>0</x:v>
      </x:c>
      <x:c r="AL396" s="30" t="str">
        <x:v>Verified — national register and exact BAG address</x:v>
      </x:c>
      <x:c r="AM396" s="30" t="str">
        <x:v>https://www.golf.nl/de-baan-op/banenzoeker/overzicht</x:v>
      </x:c>
      <x:c r="AN396" s="30" t="str">
        <x:v>2026-08-15</x:v>
      </x:c>
      <x:c r="AO396" s="30" t="str">
        <x:v>+31 186-654455</x:v>
      </x:c>
      <x:c r="AP396" s="30" t="str">
        <x:v>Current NGF/GOLF.NL listing: 18 holes, par 72, 6137 metres. Combined from exact NGF-listed constituent nine-hole loops: 1ste negen (9 holes, par 37, 3327 m); 2de negen (9 holes, par 35, 2810 m) Listed as qualifying.</x:v>
      </x:c>
    </x:row>
    <x:row r="397">
      <x:c r="A397" s="30" t="str">
        <x:v>NL-C0259</x:v>
      </x:c>
      <x:c r="B397" s="30" t="str">
        <x:v>NL-0396</x:v>
      </x:c>
      <x:c r="C397" s="30" t="str">
        <x:v>Golfclub Cromstrijen — Par-3/4 Course</x:v>
      </x:c>
      <x:c r="D397" s="30" t="str">
        <x:v>Golfclub Cromstrijen</x:v>
      </x:c>
      <x:c r="E397" s="30" t="str">
        <x:v>Par-3/4 Course</x:v>
      </x:c>
      <x:c r="F397" s="30" t="str">
        <x:v>Netherlands</x:v>
      </x:c>
      <x:c r="G397" s="30" t="str">
        <x:v>Zuid-Holland</x:v>
      </x:c>
      <x:c r="H397" s="30" t="str">
        <x:v>Hoeksche Waard</x:v>
      </x:c>
      <x:c r="I397" s="30" t="str">
        <x:v>Numansdorp</x:v>
      </x:c>
      <x:c r="J397" s="30" t="str">
        <x:v>Veerweg 26</x:v>
      </x:c>
      <x:c r="K397" s="30" t="str">
        <x:v>3281 LX</x:v>
      </x:c>
      <x:c r="L397" s="32" t="n">
        <x:v>51.72256048</x:v>
      </x:c>
      <x:c r="M397" s="32" t="n">
        <x:v>4.41455778</x:v>
      </x:c>
      <x:c r="N397" s="30" t="str">
        <x:v>WGS84 / EPSG:4326</x:v>
      </x:c>
      <x:c r="O397" s="30" t="str">
        <x:v>Verified BAG address point via PDOK</x:v>
      </x:c>
      <x:c r="P397" s="30" t="str">
        <x:v>2026-08-15</x:v>
      </x:c>
      <x:c r="Q397" s="33" t="n">
        <x:f>IF(R397="","",ROUND(R397/0.9144,0))</x:f>
        <x:v>2034</x:v>
      </x:c>
      <x:c r="R397" s="33" t="n">
        <x:v>1860</x:v>
      </x:c>
      <x:c r="S397" s="33" t="n">
        <x:v>9</x:v>
      </x:c>
      <x:c r="T397" s="33" t="n">
        <x:v>30</x:v>
      </x:c>
      <x:c r="U397" s="30" t="str">
        <x:v>Par-3/4 course</x:v>
      </x:c>
      <x:c r="V397" s="30"/>
      <x:c r="W397" s="30"/>
      <x:c r="X397" s="30"/>
      <x:c r="Y397" s="30" t="str">
        <x:v>https://golfclubcromstrijen.nl/nl</x:v>
      </x:c>
      <x:c r="Z397" s="30" t="b">
        <x:f>IF(AND(F397="Netherlands",ISNUMBER(L397),ISNUMBER(M397),L397&gt;=50.7,L397&lt;=53.7,M397&gt;=3.2,M397&lt;=7.3,AC397&lt;&gt;"Closed"),TRUE,FALSE)</x:f>
        <x:v>1</x:v>
      </x:c>
      <x:c r="AA397" s="30" t="b">
        <x:f>Z397</x:f>
        <x:v>1</x:v>
      </x:c>
      <x:c r="AB397" s="30" t="str">
        <x:f>IF(Z397,"verified_coordinate_and_open","not_map_ready")</x:f>
        <x:v>verified_coordinate_and_open</x:v>
      </x:c>
      <x:c r="AC397" s="30" t="str">
        <x:v>Open</x:v>
      </x:c>
      <x:c r="AD397" s="30" t="str">
        <x:v>Public — NGF course permission</x:v>
      </x:c>
      <x:c r="AE397" s="31" t="b">
        <x:v>1</x:v>
      </x:c>
      <x:c r="AF397" s="31" t="b">
        <x:v>0</x:v>
      </x:c>
      <x:c r="AG397" s="30"/>
      <x:c r="AH397" s="30"/>
      <x:c r="AI397" s="30"/>
      <x:c r="AJ397" s="31" t="b">
        <x:v>0</x:v>
      </x:c>
      <x:c r="AK397" s="31" t="b">
        <x:v>0</x:v>
      </x:c>
      <x:c r="AL397" s="30" t="str">
        <x:v>Verified — national register and exact BAG address</x:v>
      </x:c>
      <x:c r="AM397" s="30" t="str">
        <x:v>https://www.golf.nl/de-baan-op/banenzoeker/overzicht</x:v>
      </x:c>
      <x:c r="AN397" s="30" t="str">
        <x:v>2026-08-15</x:v>
      </x:c>
      <x:c r="AO397" s="30" t="str">
        <x:v>+31 186-654455</x:v>
      </x:c>
      <x:c r="AP397" s="30" t="str">
        <x:v>Current NGF/GOLF.NL listing: 9 holes, par 30, 1860 metres. Listed as qualifying.</x:v>
      </x:c>
    </x:row>
    <x:row r="398">
      <x:c r="A398" s="30" t="str">
        <x:v>NL-C0260</x:v>
      </x:c>
      <x:c r="B398" s="30" t="str">
        <x:v>NL-0397</x:v>
      </x:c>
      <x:c r="C398" s="30" t="str">
        <x:v>Golfclub De Kieviten</x:v>
      </x:c>
      <x:c r="D398" s="30" t="str">
        <x:v>Golfclub De Kieviten</x:v>
      </x:c>
      <x:c r="E398" s="30" t="str">
        <x:v>Course</x:v>
      </x:c>
      <x:c r="F398" s="30" t="str">
        <x:v>Netherlands</x:v>
      </x:c>
      <x:c r="G398" s="30" t="str">
        <x:v>Zuid-Holland</x:v>
      </x:c>
      <x:c r="H398" s="30" t="str">
        <x:v>Wassenaar</x:v>
      </x:c>
      <x:c r="I398" s="30" t="str">
        <x:v>Wassenaar</x:v>
      </x:c>
      <x:c r="J398" s="30" t="str">
        <x:v>Dr. Mansveltkade 11</x:v>
      </x:c>
      <x:c r="K398" s="30" t="str">
        <x:v>2242 TZ</x:v>
      </x:c>
      <x:c r="L398" s="32" t="n">
        <x:v>52.15375178</x:v>
      </x:c>
      <x:c r="M398" s="32" t="n">
        <x:v>4.38850775</x:v>
      </x:c>
      <x:c r="N398" s="30" t="str">
        <x:v>WGS84 / EPSG:4326</x:v>
      </x:c>
      <x:c r="O398" s="30" t="str">
        <x:v>Verified BAG address point via PDOK</x:v>
      </x:c>
      <x:c r="P398" s="30" t="str">
        <x:v>2026-08-15</x:v>
      </x:c>
      <x:c r="Q398" s="33" t="n">
        <x:f>IF(R398="","",ROUND(R398/0.9144,0))</x:f>
        <x:v>1553</x:v>
      </x:c>
      <x:c r="R398" s="33" t="n">
        <x:v>1420</x:v>
      </x:c>
      <x:c r="S398" s="33" t="n">
        <x:v>9</x:v>
      </x:c>
      <x:c r="T398" s="33" t="n">
        <x:v>29</x:v>
      </x:c>
      <x:c r="U398" s="30" t="str">
        <x:v>Par-3/4 course</x:v>
      </x:c>
      <x:c r="V398" s="30"/>
      <x:c r="W398" s="30"/>
      <x:c r="X398" s="30"/>
      <x:c r="Y398" s="30" t="str">
        <x:v>https://www.kieviten.nl/</x:v>
      </x:c>
      <x:c r="Z398" s="30" t="b">
        <x:f>IF(AND(F398="Netherlands",ISNUMBER(L398),ISNUMBER(M398),L398&gt;=50.7,L398&lt;=53.7,M398&gt;=3.2,M398&lt;=7.3,AC398&lt;&gt;"Closed"),TRUE,FALSE)</x:f>
        <x:v>1</x:v>
      </x:c>
      <x:c r="AA398" s="30" t="b">
        <x:f>Z398</x:f>
        <x:v>1</x:v>
      </x:c>
      <x:c r="AB398" s="30" t="str">
        <x:f>IF(Z398,"verified_coordinate_and_open","not_map_ready")</x:f>
        <x:v>verified_coordinate_and_open</x:v>
      </x:c>
      <x:c r="AC398" s="30" t="str">
        <x:v>Open</x:v>
      </x:c>
      <x:c r="AD398" s="30" t="str">
        <x:v>Public — handicap 54 or lower</x:v>
      </x:c>
      <x:c r="AE398" s="31" t="b">
        <x:v>1</x:v>
      </x:c>
      <x:c r="AF398" s="31" t="b">
        <x:v>0</x:v>
      </x:c>
      <x:c r="AG398" s="30"/>
      <x:c r="AH398" s="30"/>
      <x:c r="AI398" s="30"/>
      <x:c r="AJ398" s="31" t="b">
        <x:v>0</x:v>
      </x:c>
      <x:c r="AK398" s="31" t="b">
        <x:v>0</x:v>
      </x:c>
      <x:c r="AL398" s="30" t="str">
        <x:v>Verified — national register and exact BAG address</x:v>
      </x:c>
      <x:c r="AM398" s="30" t="str">
        <x:v>https://www.golf.nl/de-baan-op/banenzoeker/overzicht</x:v>
      </x:c>
      <x:c r="AN398" s="30" t="str">
        <x:v>2026-08-15</x:v>
      </x:c>
      <x:c r="AO398" s="30"/>
      <x:c r="AP398" s="30" t="str">
        <x:v>Current NGF/GOLF.NL listing: 9 holes, par 29, 1420 metres. Listed as qualifying.</x:v>
      </x:c>
    </x:row>
    <x:row r="399">
      <x:c r="A399" s="30" t="str">
        <x:v>NL-C0261</x:v>
      </x:c>
      <x:c r="B399" s="30" t="str">
        <x:v>NL-0398</x:v>
      </x:c>
      <x:c r="C399" s="30" t="str">
        <x:v>Golfclub Kagerzoom</x:v>
      </x:c>
      <x:c r="D399" s="30" t="str">
        <x:v>Golfclub Kagerzoom</x:v>
      </x:c>
      <x:c r="E399" s="30" t="str">
        <x:v>Course</x:v>
      </x:c>
      <x:c r="F399" s="30" t="str">
        <x:v>Netherlands</x:v>
      </x:c>
      <x:c r="G399" s="30" t="str">
        <x:v>Zuid-Holland</x:v>
      </x:c>
      <x:c r="H399" s="30" t="str">
        <x:v>Teylingen</x:v>
      </x:c>
      <x:c r="I399" s="30" t="str">
        <x:v>Warmond</x:v>
      </x:c>
      <x:c r="J399" s="30" t="str">
        <x:v>Veerpolder 20</x:v>
      </x:c>
      <x:c r="K399" s="30" t="str">
        <x:v>2361 KV</x:v>
      </x:c>
      <x:c r="L399" s="32" t="n">
        <x:v>52.18718627</x:v>
      </x:c>
      <x:c r="M399" s="32" t="n">
        <x:v>4.50222089</x:v>
      </x:c>
      <x:c r="N399" s="30" t="str">
        <x:v>WGS84 / EPSG:4326</x:v>
      </x:c>
      <x:c r="O399" s="30" t="str">
        <x:v>Verified BAG address point via PDOK</x:v>
      </x:c>
      <x:c r="P399" s="30" t="str">
        <x:v>2026-08-15</x:v>
      </x:c>
      <x:c r="Q399" s="33" t="n">
        <x:f>IF(R399="","",ROUND(R399/0.9144,0))</x:f>
        <x:v>3139</x:v>
      </x:c>
      <x:c r="R399" s="33" t="n">
        <x:v>2870</x:v>
      </x:c>
      <x:c r="S399" s="33" t="n">
        <x:v>9</x:v>
      </x:c>
      <x:c r="T399" s="33" t="n">
        <x:v>35</x:v>
      </x:c>
      <x:c r="U399" s="30" t="str">
        <x:v>Full-length course</x:v>
      </x:c>
      <x:c r="V399" s="30"/>
      <x:c r="W399" s="30"/>
      <x:c r="X399" s="30"/>
      <x:c r="Y399" s="30" t="str">
        <x:v>https://www.kagerzoom.nl/</x:v>
      </x:c>
      <x:c r="Z399" s="30" t="b">
        <x:f>IF(AND(F399="Netherlands",ISNUMBER(L399),ISNUMBER(M399),L399&gt;=50.7,L399&lt;=53.7,M399&gt;=3.2,M399&lt;=7.3,AC399&lt;&gt;"Closed"),TRUE,FALSE)</x:f>
        <x:v>1</x:v>
      </x:c>
      <x:c r="AA399" s="30" t="b">
        <x:f>Z399</x:f>
        <x:v>1</x:v>
      </x:c>
      <x:c r="AB399" s="30" t="str">
        <x:f>IF(Z399,"verified_coordinate_and_open","not_map_ready")</x:f>
        <x:v>verified_coordinate_and_open</x:v>
      </x:c>
      <x:c r="AC399" s="30" t="str">
        <x:v>Open</x:v>
      </x:c>
      <x:c r="AD399" s="30" t="str">
        <x:v>Public — handicap 54 or lower</x:v>
      </x:c>
      <x:c r="AE399" s="31" t="b">
        <x:v>1</x:v>
      </x:c>
      <x:c r="AF399" s="31" t="b">
        <x:v>0</x:v>
      </x:c>
      <x:c r="AG399" s="30"/>
      <x:c r="AH399" s="30"/>
      <x:c r="AI399" s="30"/>
      <x:c r="AJ399" s="31" t="b">
        <x:v>0</x:v>
      </x:c>
      <x:c r="AK399" s="31" t="b">
        <x:v>0</x:v>
      </x:c>
      <x:c r="AL399" s="30" t="str">
        <x:v>Verified — national register and exact BAG address</x:v>
      </x:c>
      <x:c r="AM399" s="30" t="str">
        <x:v>https://www.golf.nl/de-baan-op/banenzoeker/overzicht</x:v>
      </x:c>
      <x:c r="AN399" s="30" t="str">
        <x:v>2026-08-15</x:v>
      </x:c>
      <x:c r="AO399" s="30" t="str">
        <x:v>+31 71-5768214</x:v>
      </x:c>
      <x:c r="AP399" s="30" t="str">
        <x:v>Current NGF/GOLF.NL listing: 9 holes, par 35, 2870 metres. Listed as qualifying.</x:v>
      </x:c>
    </x:row>
    <x:row r="400">
      <x:c r="A400" s="30" t="str">
        <x:v>NL-C0262</x:v>
      </x:c>
      <x:c r="B400" s="30" t="str">
        <x:v>NL-0399</x:v>
      </x:c>
      <x:c r="C400" s="30" t="str">
        <x:v>Golfclub Kleiburg — Main Course</x:v>
      </x:c>
      <x:c r="D400" s="30" t="str">
        <x:v>Golfclub Kleiburg</x:v>
      </x:c>
      <x:c r="E400" s="30" t="str">
        <x:v>Main Course</x:v>
      </x:c>
      <x:c r="F400" s="30" t="str">
        <x:v>Netherlands</x:v>
      </x:c>
      <x:c r="G400" s="30" t="str">
        <x:v>Zuid-Holland</x:v>
      </x:c>
      <x:c r="H400" s="30" t="str">
        <x:v>Voorne aan Zee</x:v>
      </x:c>
      <x:c r="I400" s="30" t="str">
        <x:v>Brielle</x:v>
      </x:c>
      <x:c r="J400" s="30" t="str">
        <x:v>Krabbeweg 9</x:v>
      </x:c>
      <x:c r="K400" s="30" t="str">
        <x:v>3231 NB</x:v>
      </x:c>
      <x:c r="L400" s="32" t="n">
        <x:v>51.92503023</x:v>
      </x:c>
      <x:c r="M400" s="32" t="n">
        <x:v>4.16205111</x:v>
      </x:c>
      <x:c r="N400" s="30" t="str">
        <x:v>WGS84 / EPSG:4326</x:v>
      </x:c>
      <x:c r="O400" s="30" t="str">
        <x:v>Verified BAG address point via PDOK</x:v>
      </x:c>
      <x:c r="P400" s="30" t="str">
        <x:v>2026-08-15</x:v>
      </x:c>
      <x:c r="Q400" s="33" t="n">
        <x:f>IF(R400="","",ROUND(R400/0.9144,0))</x:f>
        <x:v>6452</x:v>
      </x:c>
      <x:c r="R400" s="33" t="n">
        <x:v>5900</x:v>
      </x:c>
      <x:c r="S400" s="33" t="n">
        <x:v>18</x:v>
      </x:c>
      <x:c r="T400" s="33" t="n">
        <x:v>72</x:v>
      </x:c>
      <x:c r="U400" s="30" t="str">
        <x:v>Full-length course</x:v>
      </x:c>
      <x:c r="V400" s="30"/>
      <x:c r="W400" s="30"/>
      <x:c r="X400" s="30"/>
      <x:c r="Y400" s="30" t="str">
        <x:v>https://golfclub-kleiburg.nl/</x:v>
      </x:c>
      <x:c r="Z400" s="30" t="b">
        <x:f>IF(AND(F400="Netherlands",ISNUMBER(L400),ISNUMBER(M400),L400&gt;=50.7,L400&lt;=53.7,M400&gt;=3.2,M400&lt;=7.3,AC400&lt;&gt;"Closed"),TRUE,FALSE)</x:f>
        <x:v>1</x:v>
      </x:c>
      <x:c r="AA400" s="30" t="b">
        <x:f>Z400</x:f>
        <x:v>1</x:v>
      </x:c>
      <x:c r="AB400" s="30" t="str">
        <x:f>IF(Z400,"verified_coordinate_and_open","not_map_ready")</x:f>
        <x:v>verified_coordinate_and_open</x:v>
      </x:c>
      <x:c r="AC400" s="30" t="str">
        <x:v>Open</x:v>
      </x:c>
      <x:c r="AD400" s="30" t="str">
        <x:v>Public — handicap 54 or lower</x:v>
      </x:c>
      <x:c r="AE400" s="31" t="b">
        <x:v>1</x:v>
      </x:c>
      <x:c r="AF400" s="31" t="b">
        <x:v>0</x:v>
      </x:c>
      <x:c r="AG400" s="30"/>
      <x:c r="AH400" s="30"/>
      <x:c r="AI400" s="30"/>
      <x:c r="AJ400" s="31" t="b">
        <x:v>0</x:v>
      </x:c>
      <x:c r="AK400" s="31" t="b">
        <x:v>0</x:v>
      </x:c>
      <x:c r="AL400" s="30" t="str">
        <x:v>Verified — national register and exact BAG address</x:v>
      </x:c>
      <x:c r="AM400" s="30" t="str">
        <x:v>https://www.golf.nl/de-baan-op/banenzoeker/overzicht</x:v>
      </x:c>
      <x:c r="AN400" s="30" t="str">
        <x:v>2026-08-15</x:v>
      </x:c>
      <x:c r="AO400" s="30" t="str">
        <x:v>+31 181-417809</x:v>
      </x:c>
      <x:c r="AP400" s="30" t="str">
        <x:v>Current NGF/GOLF.NL listing: 18 holes, par 72, 5900 metres. Combined from exact NGF-listed constituent nine-hole loops: 1ste negen (9 holes, par 36, 2943 m); 2de negen (9 holes, par 36, 2957 m) Listed as qualifying.</x:v>
      </x:c>
    </x:row>
    <x:row r="401">
      <x:c r="A401" s="30" t="str">
        <x:v>NL-C0263</x:v>
      </x:c>
      <x:c r="B401" s="30" t="str">
        <x:v>NL-0400</x:v>
      </x:c>
      <x:c r="C401" s="30" t="str">
        <x:v>Golfclub Ter Specke</x:v>
      </x:c>
      <x:c r="D401" s="30" t="str">
        <x:v>Golfclub Ter Specke</x:v>
      </x:c>
      <x:c r="E401" s="30" t="str">
        <x:v>Course</x:v>
      </x:c>
      <x:c r="F401" s="30" t="str">
        <x:v>Netherlands</x:v>
      </x:c>
      <x:c r="G401" s="30" t="str">
        <x:v>Zuid-Holland</x:v>
      </x:c>
      <x:c r="H401" s="30" t="str">
        <x:v>Lisse</x:v>
      </x:c>
      <x:c r="I401" s="30" t="str">
        <x:v>Lisse</x:v>
      </x:c>
      <x:c r="J401" s="30" t="str">
        <x:v>Spekkelaan 1</x:v>
      </x:c>
      <x:c r="K401" s="30" t="str">
        <x:v>2161 GH</x:v>
      </x:c>
      <x:c r="L401" s="32" t="n">
        <x:v>52.25739469</x:v>
      </x:c>
      <x:c r="M401" s="32" t="n">
        <x:v>4.54053307</x:v>
      </x:c>
      <x:c r="N401" s="30" t="str">
        <x:v>WGS84 / EPSG:4326</x:v>
      </x:c>
      <x:c r="O401" s="30" t="str">
        <x:v>Verified BAG address point via PDOK</x:v>
      </x:c>
      <x:c r="P401" s="30" t="str">
        <x:v>2026-08-15</x:v>
      </x:c>
      <x:c r="Q401" s="33" t="n">
        <x:f>IF(R401="","",ROUND(R401/0.9144,0))</x:f>
        <x:v>1261</x:v>
      </x:c>
      <x:c r="R401" s="33" t="n">
        <x:v>1153</x:v>
      </x:c>
      <x:c r="S401" s="33" t="n">
        <x:v>9</x:v>
      </x:c>
      <x:c r="T401" s="33" t="n">
        <x:v>27</x:v>
      </x:c>
      <x:c r="U401" s="30" t="str">
        <x:v>Par-3 course</x:v>
      </x:c>
      <x:c r="V401" s="30"/>
      <x:c r="W401" s="30"/>
      <x:c r="X401" s="30"/>
      <x:c r="Y401" s="30" t="str">
        <x:v>https://golfbaanterspecke.nl/</x:v>
      </x:c>
      <x:c r="Z401" s="30" t="b">
        <x:f>IF(AND(F401="Netherlands",ISNUMBER(L401),ISNUMBER(M401),L401&gt;=50.7,L401&lt;=53.7,M401&gt;=3.2,M401&lt;=7.3,AC401&lt;&gt;"Closed"),TRUE,FALSE)</x:f>
        <x:v>1</x:v>
      </x:c>
      <x:c r="AA401" s="30" t="b">
        <x:f>Z401</x:f>
        <x:v>1</x:v>
      </x:c>
      <x:c r="AB401" s="30" t="str">
        <x:f>IF(Z401,"verified_coordinate_and_open","not_map_ready")</x:f>
        <x:v>verified_coordinate_and_open</x:v>
      </x:c>
      <x:c r="AC401" s="30" t="str">
        <x:v>Open</x:v>
      </x:c>
      <x:c r="AD401" s="30" t="str">
        <x:v>Public — NGF course permission</x:v>
      </x:c>
      <x:c r="AE401" s="31" t="b">
        <x:v>1</x:v>
      </x:c>
      <x:c r="AF401" s="31" t="b">
        <x:v>0</x:v>
      </x:c>
      <x:c r="AG401" s="30"/>
      <x:c r="AH401" s="30"/>
      <x:c r="AI401" s="30"/>
      <x:c r="AJ401" s="31" t="b">
        <x:v>0</x:v>
      </x:c>
      <x:c r="AK401" s="31" t="b">
        <x:v>0</x:v>
      </x:c>
      <x:c r="AL401" s="30" t="str">
        <x:v>Verified — national register and exact BAG address</x:v>
      </x:c>
      <x:c r="AM401" s="30" t="str">
        <x:v>https://www.golf.nl/de-baan-op/banenzoeker/overzicht</x:v>
      </x:c>
      <x:c r="AN401" s="30" t="str">
        <x:v>2026-08-15</x:v>
      </x:c>
      <x:c r="AO401" s="30" t="str">
        <x:v>+31 6-53913912</x:v>
      </x:c>
      <x:c r="AP401" s="30" t="str">
        <x:v>Current NGF/GOLF.NL listing: 9 holes, par 27, 1153 metres. Listed as qualifying.</x:v>
      </x:c>
    </x:row>
    <x:row r="402">
      <x:c r="A402" s="30" t="str">
        <x:v>NL-C0264</x:v>
      </x:c>
      <x:c r="B402" s="30" t="str">
        <x:v>NL-0401</x:v>
      </x:c>
      <x:c r="C402" s="30" t="str">
        <x:v>Golfclub Westland</x:v>
      </x:c>
      <x:c r="D402" s="30" t="str">
        <x:v>Golfclub Westland</x:v>
      </x:c>
      <x:c r="E402" s="30" t="str">
        <x:v>Course</x:v>
      </x:c>
      <x:c r="F402" s="30" t="str">
        <x:v>Netherlands</x:v>
      </x:c>
      <x:c r="G402" s="30" t="str">
        <x:v>Zuid-Holland</x:v>
      </x:c>
      <x:c r="H402" s="30" t="str">
        <x:v>Westland</x:v>
      </x:c>
      <x:c r="I402" s="30" t="str">
        <x:v>'s-Gravenzande</x:v>
      </x:c>
      <x:c r="J402" s="30" t="str">
        <x:v>Koningin Julianaweg 154</x:v>
      </x:c>
      <x:c r="K402" s="30" t="str">
        <x:v>2691 GH</x:v>
      </x:c>
      <x:c r="L402" s="32" t="n">
        <x:v>51.99460105</x:v>
      </x:c>
      <x:c r="M402" s="32" t="n">
        <x:v>4.17378434</x:v>
      </x:c>
      <x:c r="N402" s="30" t="str">
        <x:v>WGS84 / EPSG:4326</x:v>
      </x:c>
      <x:c r="O402" s="30" t="str">
        <x:v>Verified BAG address point via PDOK</x:v>
      </x:c>
      <x:c r="P402" s="30" t="str">
        <x:v>2026-08-15</x:v>
      </x:c>
      <x:c r="Q402" s="33" t="n">
        <x:f>IF(R402="","",ROUND(R402/0.9144,0))</x:f>
        <x:v>862</x:v>
      </x:c>
      <x:c r="R402" s="33" t="n">
        <x:v>788</x:v>
      </x:c>
      <x:c r="S402" s="33" t="n">
        <x:v>9</x:v>
      </x:c>
      <x:c r="T402" s="33" t="n">
        <x:v>27</x:v>
      </x:c>
      <x:c r="U402" s="30" t="str">
        <x:v>Par-3 course</x:v>
      </x:c>
      <x:c r="V402" s="30"/>
      <x:c r="W402" s="30"/>
      <x:c r="X402" s="30"/>
      <x:c r="Y402" s="30" t="str">
        <x:v>https://golfclubwestland.nl/</x:v>
      </x:c>
      <x:c r="Z402" s="30" t="b">
        <x:f>IF(AND(F402="Netherlands",ISNUMBER(L402),ISNUMBER(M402),L402&gt;=50.7,L402&lt;=53.7,M402&gt;=3.2,M402&lt;=7.3,AC402&lt;&gt;"Closed"),TRUE,FALSE)</x:f>
        <x:v>1</x:v>
      </x:c>
      <x:c r="AA402" s="30" t="b">
        <x:f>Z402</x:f>
        <x:v>1</x:v>
      </x:c>
      <x:c r="AB402" s="30" t="str">
        <x:f>IF(Z402,"verified_coordinate_and_open","not_map_ready")</x:f>
        <x:v>verified_coordinate_and_open</x:v>
      </x:c>
      <x:c r="AC402" s="30" t="str">
        <x:v>Open</x:v>
      </x:c>
      <x:c r="AD402" s="30" t="str">
        <x:v>Public — NGF course permission</x:v>
      </x:c>
      <x:c r="AE402" s="31" t="b">
        <x:v>1</x:v>
      </x:c>
      <x:c r="AF402" s="31" t="b">
        <x:v>0</x:v>
      </x:c>
      <x:c r="AG402" s="30"/>
      <x:c r="AH402" s="30"/>
      <x:c r="AI402" s="30"/>
      <x:c r="AJ402" s="31" t="b">
        <x:v>0</x:v>
      </x:c>
      <x:c r="AK402" s="31" t="b">
        <x:v>0</x:v>
      </x:c>
      <x:c r="AL402" s="30" t="str">
        <x:v>Verified — national register and exact BAG address</x:v>
      </x:c>
      <x:c r="AM402" s="30" t="str">
        <x:v>https://www.golf.nl/de-baan-op/banenzoeker/overzicht</x:v>
      </x:c>
      <x:c r="AN402" s="30" t="str">
        <x:v>2026-08-15</x:v>
      </x:c>
      <x:c r="AO402" s="30" t="str">
        <x:v>+31 6-19152595</x:v>
      </x:c>
      <x:c r="AP402" s="30" t="str">
        <x:v>Current NGF/GOLF.NL listing: 9 holes, par 27, 788 metres. Listed as qualifying.</x:v>
      </x:c>
    </x:row>
    <x:row r="403">
      <x:c r="A403" s="30" t="str">
        <x:v>NL-C0265</x:v>
      </x:c>
      <x:c r="B403" s="30" t="str">
        <x:v>NL-0402</x:v>
      </x:c>
      <x:c r="C403" s="30" t="str">
        <x:v>Golfclub Zeegersloot — Griend</x:v>
      </x:c>
      <x:c r="D403" s="30" t="str">
        <x:v>Golfclub Zeegersloot</x:v>
      </x:c>
      <x:c r="E403" s="30" t="str">
        <x:v>Griend</x:v>
      </x:c>
      <x:c r="F403" s="30" t="str">
        <x:v>Netherlands</x:v>
      </x:c>
      <x:c r="G403" s="30" t="str">
        <x:v>Zuid-Holland</x:v>
      </x:c>
      <x:c r="H403" s="30" t="str">
        <x:v>Alphen aan den Rijn</x:v>
      </x:c>
      <x:c r="I403" s="30" t="str">
        <x:v>Alphen aan den Rijn</x:v>
      </x:c>
      <x:c r="J403" s="30" t="str">
        <x:v>Kromme Aarweg 5</x:v>
      </x:c>
      <x:c r="K403" s="30" t="str">
        <x:v>2403 NB</x:v>
      </x:c>
      <x:c r="L403" s="32" t="n">
        <x:v>52.14419548</x:v>
      </x:c>
      <x:c r="M403" s="32" t="n">
        <x:v>4.69711251</x:v>
      </x:c>
      <x:c r="N403" s="30" t="str">
        <x:v>WGS84 / EPSG:4326</x:v>
      </x:c>
      <x:c r="O403" s="30" t="str">
        <x:v>Verified BAG address point via PDOK</x:v>
      </x:c>
      <x:c r="P403" s="30" t="str">
        <x:v>2026-08-15</x:v>
      </x:c>
      <x:c r="Q403" s="33" t="n">
        <x:f>IF(R403="","",ROUND(R403/0.9144,0))</x:f>
        <x:v>3299</x:v>
      </x:c>
      <x:c r="R403" s="33" t="n">
        <x:v>3017</x:v>
      </x:c>
      <x:c r="S403" s="33" t="n">
        <x:v>9</x:v>
      </x:c>
      <x:c r="T403" s="33" t="n">
        <x:v>36</x:v>
      </x:c>
      <x:c r="U403" s="30" t="str">
        <x:v>Full-length course</x:v>
      </x:c>
      <x:c r="V403" s="30"/>
      <x:c r="W403" s="30"/>
      <x:c r="X403" s="30"/>
      <x:c r="Y403" s="30" t="str">
        <x:v>https://zeegersloot.nl/</x:v>
      </x:c>
      <x:c r="Z403" s="30" t="b">
        <x:f>IF(AND(F403="Netherlands",ISNUMBER(L403),ISNUMBER(M403),L403&gt;=50.7,L403&lt;=53.7,M403&gt;=3.2,M403&lt;=7.3,AC403&lt;&gt;"Closed"),TRUE,FALSE)</x:f>
        <x:v>1</x:v>
      </x:c>
      <x:c r="AA403" s="30" t="b">
        <x:f>Z403</x:f>
        <x:v>1</x:v>
      </x:c>
      <x:c r="AB403" s="30" t="str">
        <x:f>IF(Z403,"verified_coordinate_and_open","not_map_ready")</x:f>
        <x:v>verified_coordinate_and_open</x:v>
      </x:c>
      <x:c r="AC403" s="30" t="str">
        <x:v>Open</x:v>
      </x:c>
      <x:c r="AD403" s="30" t="str">
        <x:v>Public — handicap 54 or lower</x:v>
      </x:c>
      <x:c r="AE403" s="31" t="b">
        <x:v>1</x:v>
      </x:c>
      <x:c r="AF403" s="31" t="b">
        <x:v>0</x:v>
      </x:c>
      <x:c r="AG403" s="30"/>
      <x:c r="AH403" s="30"/>
      <x:c r="AI403" s="30"/>
      <x:c r="AJ403" s="31" t="b">
        <x:v>0</x:v>
      </x:c>
      <x:c r="AK403" s="31" t="b">
        <x:v>0</x:v>
      </x:c>
      <x:c r="AL403" s="30" t="str">
        <x:v>Verified — national register and exact BAG address</x:v>
      </x:c>
      <x:c r="AM403" s="30" t="str">
        <x:v>https://www.golf.nl/de-baan-op/banenzoeker/overzicht</x:v>
      </x:c>
      <x:c r="AN403" s="30" t="str">
        <x:v>2026-08-15</x:v>
      </x:c>
      <x:c r="AO403" s="30" t="str">
        <x:v>+31 172-474567</x:v>
      </x:c>
      <x:c r="AP403" s="30" t="str">
        <x:v>Current NGF/GOLF.NL listing: 9 holes, par 36, 3017 metres. Listed as qualifying.</x:v>
      </x:c>
    </x:row>
    <x:row r="404">
      <x:c r="A404" s="30" t="str">
        <x:v>NL-C0265</x:v>
      </x:c>
      <x:c r="B404" s="30" t="str">
        <x:v>NL-0403</x:v>
      </x:c>
      <x:c r="C404" s="30" t="str">
        <x:v>Golfclub Zeegersloot — Heuvel</x:v>
      </x:c>
      <x:c r="D404" s="30" t="str">
        <x:v>Golfclub Zeegersloot</x:v>
      </x:c>
      <x:c r="E404" s="30" t="str">
        <x:v>Heuvel</x:v>
      </x:c>
      <x:c r="F404" s="30" t="str">
        <x:v>Netherlands</x:v>
      </x:c>
      <x:c r="G404" s="30" t="str">
        <x:v>Zuid-Holland</x:v>
      </x:c>
      <x:c r="H404" s="30" t="str">
        <x:v>Alphen aan den Rijn</x:v>
      </x:c>
      <x:c r="I404" s="30" t="str">
        <x:v>Alphen aan den Rijn</x:v>
      </x:c>
      <x:c r="J404" s="30" t="str">
        <x:v>Kromme Aarweg 5</x:v>
      </x:c>
      <x:c r="K404" s="30" t="str">
        <x:v>2403 NB</x:v>
      </x:c>
      <x:c r="L404" s="32" t="n">
        <x:v>52.14419548</x:v>
      </x:c>
      <x:c r="M404" s="32" t="n">
        <x:v>4.69711251</x:v>
      </x:c>
      <x:c r="N404" s="30" t="str">
        <x:v>WGS84 / EPSG:4326</x:v>
      </x:c>
      <x:c r="O404" s="30" t="str">
        <x:v>Verified BAG address point via PDOK</x:v>
      </x:c>
      <x:c r="P404" s="30" t="str">
        <x:v>2026-08-15</x:v>
      </x:c>
      <x:c r="Q404" s="33" t="n">
        <x:f>IF(R404="","",ROUND(R404/0.9144,0))</x:f>
        <x:v>3022</x:v>
      </x:c>
      <x:c r="R404" s="33" t="n">
        <x:v>2763</x:v>
      </x:c>
      <x:c r="S404" s="33" t="n">
        <x:v>9</x:v>
      </x:c>
      <x:c r="T404" s="33" t="n">
        <x:v>35</x:v>
      </x:c>
      <x:c r="U404" s="30" t="str">
        <x:v>Full-length course</x:v>
      </x:c>
      <x:c r="V404" s="30"/>
      <x:c r="W404" s="30"/>
      <x:c r="X404" s="30"/>
      <x:c r="Y404" s="30" t="str">
        <x:v>https://zeegersloot.nl/</x:v>
      </x:c>
      <x:c r="Z404" s="30" t="b">
        <x:f>IF(AND(F404="Netherlands",ISNUMBER(L404),ISNUMBER(M404),L404&gt;=50.7,L404&lt;=53.7,M404&gt;=3.2,M404&lt;=7.3,AC404&lt;&gt;"Closed"),TRUE,FALSE)</x:f>
        <x:v>1</x:v>
      </x:c>
      <x:c r="AA404" s="30" t="b">
        <x:f>Z404</x:f>
        <x:v>1</x:v>
      </x:c>
      <x:c r="AB404" s="30" t="str">
        <x:f>IF(Z404,"verified_coordinate_and_open","not_map_ready")</x:f>
        <x:v>verified_coordinate_and_open</x:v>
      </x:c>
      <x:c r="AC404" s="30" t="str">
        <x:v>Open</x:v>
      </x:c>
      <x:c r="AD404" s="30" t="str">
        <x:v>Public — handicap 54 or lower</x:v>
      </x:c>
      <x:c r="AE404" s="31" t="b">
        <x:v>1</x:v>
      </x:c>
      <x:c r="AF404" s="31" t="b">
        <x:v>0</x:v>
      </x:c>
      <x:c r="AG404" s="30"/>
      <x:c r="AH404" s="30"/>
      <x:c r="AI404" s="30"/>
      <x:c r="AJ404" s="31" t="b">
        <x:v>0</x:v>
      </x:c>
      <x:c r="AK404" s="31" t="b">
        <x:v>0</x:v>
      </x:c>
      <x:c r="AL404" s="30" t="str">
        <x:v>Verified — national register and exact BAG address</x:v>
      </x:c>
      <x:c r="AM404" s="30" t="str">
        <x:v>https://www.golf.nl/de-baan-op/banenzoeker/overzicht</x:v>
      </x:c>
      <x:c r="AN404" s="30" t="str">
        <x:v>2026-08-15</x:v>
      </x:c>
      <x:c r="AO404" s="30" t="str">
        <x:v>+31 172-474567</x:v>
      </x:c>
      <x:c r="AP404" s="30" t="str">
        <x:v>Current NGF/GOLF.NL listing: 9 holes, par 35, 2763 metres. Listed as qualifying.</x:v>
      </x:c>
    </x:row>
    <x:row r="405">
      <x:c r="A405" s="30" t="str">
        <x:v>NL-C0265</x:v>
      </x:c>
      <x:c r="B405" s="30" t="str">
        <x:v>NL-0404</x:v>
      </x:c>
      <x:c r="C405" s="30" t="str">
        <x:v>Golfclub Zeegersloot — Parkbaan</x:v>
      </x:c>
      <x:c r="D405" s="30" t="str">
        <x:v>Golfclub Zeegersloot</x:v>
      </x:c>
      <x:c r="E405" s="30" t="str">
        <x:v>Parkbaan</x:v>
      </x:c>
      <x:c r="F405" s="30" t="str">
        <x:v>Netherlands</x:v>
      </x:c>
      <x:c r="G405" s="30" t="str">
        <x:v>Zuid-Holland</x:v>
      </x:c>
      <x:c r="H405" s="30" t="str">
        <x:v>Alphen aan den Rijn</x:v>
      </x:c>
      <x:c r="I405" s="30" t="str">
        <x:v>Alphen aan den Rijn</x:v>
      </x:c>
      <x:c r="J405" s="30" t="str">
        <x:v>Kromme Aarweg 5</x:v>
      </x:c>
      <x:c r="K405" s="30" t="str">
        <x:v>2403 NB</x:v>
      </x:c>
      <x:c r="L405" s="32" t="n">
        <x:v>52.14419548</x:v>
      </x:c>
      <x:c r="M405" s="32" t="n">
        <x:v>4.69711251</x:v>
      </x:c>
      <x:c r="N405" s="30" t="str">
        <x:v>WGS84 / EPSG:4326</x:v>
      </x:c>
      <x:c r="O405" s="30" t="str">
        <x:v>Verified BAG address point via PDOK</x:v>
      </x:c>
      <x:c r="P405" s="30" t="str">
        <x:v>2026-08-15</x:v>
      </x:c>
      <x:c r="Q405" s="33" t="n">
        <x:f>IF(R405="","",ROUND(R405/0.9144,0))</x:f>
        <x:v>1369</x:v>
      </x:c>
      <x:c r="R405" s="33" t="n">
        <x:v>1252</x:v>
      </x:c>
      <x:c r="S405" s="33" t="n">
        <x:v>9</x:v>
      </x:c>
      <x:c r="T405" s="33" t="n">
        <x:v>27</x:v>
      </x:c>
      <x:c r="U405" s="30" t="str">
        <x:v>Par-3 course</x:v>
      </x:c>
      <x:c r="V405" s="30"/>
      <x:c r="W405" s="30"/>
      <x:c r="X405" s="30"/>
      <x:c r="Y405" s="30" t="str">
        <x:v>https://zeegersloot.nl/</x:v>
      </x:c>
      <x:c r="Z405" s="30" t="b">
        <x:f>IF(AND(F405="Netherlands",ISNUMBER(L405),ISNUMBER(M405),L405&gt;=50.7,L405&lt;=53.7,M405&gt;=3.2,M405&lt;=7.3,AC405&lt;&gt;"Closed"),TRUE,FALSE)</x:f>
        <x:v>1</x:v>
      </x:c>
      <x:c r="AA405" s="30" t="b">
        <x:f>Z405</x:f>
        <x:v>1</x:v>
      </x:c>
      <x:c r="AB405" s="30" t="str">
        <x:f>IF(Z405,"verified_coordinate_and_open","not_map_ready")</x:f>
        <x:v>verified_coordinate_and_open</x:v>
      </x:c>
      <x:c r="AC405" s="30" t="str">
        <x:v>Open</x:v>
      </x:c>
      <x:c r="AD405" s="30" t="str">
        <x:v>Public — NGF course permission</x:v>
      </x:c>
      <x:c r="AE405" s="31" t="b">
        <x:v>1</x:v>
      </x:c>
      <x:c r="AF405" s="31" t="b">
        <x:v>0</x:v>
      </x:c>
      <x:c r="AG405" s="30"/>
      <x:c r="AH405" s="30"/>
      <x:c r="AI405" s="30"/>
      <x:c r="AJ405" s="31" t="b">
        <x:v>0</x:v>
      </x:c>
      <x:c r="AK405" s="31" t="b">
        <x:v>0</x:v>
      </x:c>
      <x:c r="AL405" s="30" t="str">
        <x:v>Verified — national register and exact BAG address</x:v>
      </x:c>
      <x:c r="AM405" s="30" t="str">
        <x:v>https://www.golf.nl/de-baan-op/banenzoeker/overzicht</x:v>
      </x:c>
      <x:c r="AN405" s="30" t="str">
        <x:v>2026-08-15</x:v>
      </x:c>
      <x:c r="AO405" s="30" t="str">
        <x:v>+31 172-474567</x:v>
      </x:c>
      <x:c r="AP405" s="30" t="str">
        <x:v>Current NGF/GOLF.NL listing: 9 holes, par 27, 1252 metres. Listed as qualifying.</x:v>
      </x:c>
    </x:row>
    <x:row r="406">
      <x:c r="A406" s="30" t="str">
        <x:v>NL-C0266</x:v>
      </x:c>
      <x:c r="B406" s="30" t="str">
        <x:v>NL-0405</x:v>
      </x:c>
      <x:c r="C406" s="30" t="str">
        <x:v>Golfpark De Star — Par 3/4 baan</x:v>
      </x:c>
      <x:c r="D406" s="30" t="str">
        <x:v>Golfpark De Star</x:v>
      </x:c>
      <x:c r="E406" s="30" t="str">
        <x:v>Par 3/4 baan</x:v>
      </x:c>
      <x:c r="F406" s="30" t="str">
        <x:v>Netherlands</x:v>
      </x:c>
      <x:c r="G406" s="30" t="str">
        <x:v>Zuid-Holland</x:v>
      </x:c>
      <x:c r="H406" s="30" t="str">
        <x:v>Leidschendam-Voorburg</x:v>
      </x:c>
      <x:c r="I406" s="30" t="str">
        <x:v>Leidschendam</x:v>
      </x:c>
      <x:c r="J406" s="30" t="str">
        <x:v>De Star 51</x:v>
      </x:c>
      <x:c r="K406" s="30" t="str">
        <x:v>2266 NA</x:v>
      </x:c>
      <x:c r="L406" s="32" t="n">
        <x:v>52.08413297</x:v>
      </x:c>
      <x:c r="M406" s="32" t="n">
        <x:v>4.40966358</x:v>
      </x:c>
      <x:c r="N406" s="30" t="str">
        <x:v>WGS84 / EPSG:4326</x:v>
      </x:c>
      <x:c r="O406" s="30" t="str">
        <x:v>Verified BAG address point via PDOK</x:v>
      </x:c>
      <x:c r="P406" s="30" t="str">
        <x:v>2026-08-15</x:v>
      </x:c>
      <x:c r="Q406" s="33" t="n">
        <x:f>IF(R406="","",ROUND(R406/0.9144,0))</x:f>
        <x:v>1412</x:v>
      </x:c>
      <x:c r="R406" s="33" t="n">
        <x:v>1291</x:v>
      </x:c>
      <x:c r="S406" s="33" t="n">
        <x:v>9</x:v>
      </x:c>
      <x:c r="T406" s="33" t="n">
        <x:v>29</x:v>
      </x:c>
      <x:c r="U406" s="30" t="str">
        <x:v>Par-3/4 course</x:v>
      </x:c>
      <x:c r="V406" s="30"/>
      <x:c r="W406" s="30"/>
      <x:c r="X406" s="30"/>
      <x:c r="Y406" s="30" t="str">
        <x:v>https://golfparkdestar.nl/</x:v>
      </x:c>
      <x:c r="Z406" s="30" t="b">
        <x:f>IF(AND(F406="Netherlands",ISNUMBER(L406),ISNUMBER(M406),L406&gt;=50.7,L406&lt;=53.7,M406&gt;=3.2,M406&lt;=7.3,AC406&lt;&gt;"Closed"),TRUE,FALSE)</x:f>
        <x:v>1</x:v>
      </x:c>
      <x:c r="AA406" s="30" t="b">
        <x:f>Z406</x:f>
        <x:v>1</x:v>
      </x:c>
      <x:c r="AB406" s="30" t="str">
        <x:f>IF(Z406,"verified_coordinate_and_open","not_map_ready")</x:f>
        <x:v>verified_coordinate_and_open</x:v>
      </x:c>
      <x:c r="AC406" s="30" t="str">
        <x:v>Open</x:v>
      </x:c>
      <x:c r="AD406" s="30" t="str">
        <x:v>Public — NGF course permission</x:v>
      </x:c>
      <x:c r="AE406" s="31" t="b">
        <x:v>1</x:v>
      </x:c>
      <x:c r="AF406" s="31" t="b">
        <x:v>0</x:v>
      </x:c>
      <x:c r="AG406" s="30"/>
      <x:c r="AH406" s="30"/>
      <x:c r="AI406" s="30"/>
      <x:c r="AJ406" s="31" t="b">
        <x:v>0</x:v>
      </x:c>
      <x:c r="AK406" s="31" t="b">
        <x:v>0</x:v>
      </x:c>
      <x:c r="AL406" s="30" t="str">
        <x:v>Verified — national register and exact BAG address</x:v>
      </x:c>
      <x:c r="AM406" s="30" t="str">
        <x:v>https://www.golf.nl/de-baan-op/banenzoeker/overzicht</x:v>
      </x:c>
      <x:c r="AN406" s="30" t="str">
        <x:v>2026-08-15</x:v>
      </x:c>
      <x:c r="AO406" s="30" t="str">
        <x:v>+31 70-3175653</x:v>
      </x:c>
      <x:c r="AP406" s="30" t="str">
        <x:v>Current NGF/GOLF.NL listing: 9 holes, par 29, 1291 metres. Listed as qualifying.</x:v>
      </x:c>
    </x:row>
    <x:row r="407">
      <x:c r="A407" s="30" t="str">
        <x:v>NL-C0266</x:v>
      </x:c>
      <x:c r="B407" s="30" t="str">
        <x:v>NL-0406</x:v>
      </x:c>
      <x:c r="C407" s="30" t="str">
        <x:v>Golfpark De Star — Shortgolf baan</x:v>
      </x:c>
      <x:c r="D407" s="30" t="str">
        <x:v>Golfpark De Star</x:v>
      </x:c>
      <x:c r="E407" s="30" t="str">
        <x:v>Shortgolf baan</x:v>
      </x:c>
      <x:c r="F407" s="30" t="str">
        <x:v>Netherlands</x:v>
      </x:c>
      <x:c r="G407" s="30" t="str">
        <x:v>Zuid-Holland</x:v>
      </x:c>
      <x:c r="H407" s="30" t="str">
        <x:v>Leidschendam-Voorburg</x:v>
      </x:c>
      <x:c r="I407" s="30" t="str">
        <x:v>Leidschendam</x:v>
      </x:c>
      <x:c r="J407" s="30" t="str">
        <x:v>De Star 51</x:v>
      </x:c>
      <x:c r="K407" s="30" t="str">
        <x:v>2266 NA</x:v>
      </x:c>
      <x:c r="L407" s="32" t="n">
        <x:v>52.08413297</x:v>
      </x:c>
      <x:c r="M407" s="32" t="n">
        <x:v>4.40966358</x:v>
      </x:c>
      <x:c r="N407" s="30" t="str">
        <x:v>WGS84 / EPSG:4326</x:v>
      </x:c>
      <x:c r="O407" s="30" t="str">
        <x:v>Verified BAG address point via PDOK</x:v>
      </x:c>
      <x:c r="P407" s="30" t="str">
        <x:v>2026-08-15</x:v>
      </x:c>
      <x:c r="Q407" s="33" t="n">
        <x:f>IF(R407="","",ROUND(R407/0.9144,0))</x:f>
        <x:v>492</x:v>
      </x:c>
      <x:c r="R407" s="33" t="n">
        <x:v>450</x:v>
      </x:c>
      <x:c r="S407" s="33" t="n">
        <x:v>9</x:v>
      </x:c>
      <x:c r="T407" s="33" t="n">
        <x:v>27</x:v>
      </x:c>
      <x:c r="U407" s="30" t="str">
        <x:v>Shortgolf / Pitch &amp; Putt</x:v>
      </x:c>
      <x:c r="V407" s="30"/>
      <x:c r="W407" s="30"/>
      <x:c r="X407" s="30"/>
      <x:c r="Y407" s="30" t="str">
        <x:v>https://golfparkdestar.nl/</x:v>
      </x:c>
      <x:c r="Z407" s="30" t="b">
        <x:f>IF(AND(F407="Netherlands",ISNUMBER(L407),ISNUMBER(M407),L407&gt;=50.7,L407&lt;=53.7,M407&gt;=3.2,M407&lt;=7.3,AC407&lt;&gt;"Closed"),TRUE,FALSE)</x:f>
        <x:v>1</x:v>
      </x:c>
      <x:c r="AA407" s="30" t="b">
        <x:f>Z407</x:f>
        <x:v>1</x:v>
      </x:c>
      <x:c r="AB407" s="30" t="str">
        <x:f>IF(Z407,"verified_coordinate_and_open","not_map_ready")</x:f>
        <x:v>verified_coordinate_and_open</x:v>
      </x:c>
      <x:c r="AC407" s="30" t="str">
        <x:v>Open</x:v>
      </x:c>
      <x:c r="AD407" s="30" t="str">
        <x:v>Public — no playing requirement</x:v>
      </x:c>
      <x:c r="AE407" s="31" t="b">
        <x:v>0</x:v>
      </x:c>
      <x:c r="AF407" s="31" t="b">
        <x:v>0</x:v>
      </x:c>
      <x:c r="AG407" s="30"/>
      <x:c r="AH407" s="30"/>
      <x:c r="AI407" s="30"/>
      <x:c r="AJ407" s="31" t="b">
        <x:v>0</x:v>
      </x:c>
      <x:c r="AK407" s="31" t="b">
        <x:v>0</x:v>
      </x:c>
      <x:c r="AL407" s="30" t="str">
        <x:v>Verified — national register and exact BAG address</x:v>
      </x:c>
      <x:c r="AM407" s="30" t="str">
        <x:v>https://www.golf.nl/de-baan-op/banenzoeker/overzicht</x:v>
      </x:c>
      <x:c r="AN407" s="30" t="str">
        <x:v>2026-08-15</x:v>
      </x:c>
      <x:c r="AO407" s="30" t="str">
        <x:v>+31 70-3175653</x:v>
      </x:c>
      <x:c r="AP407" s="30" t="str">
        <x:v>Current NGF/GOLF.NL listing: 9 holes, par 27, 450 metres. Listed as non-qualifying.</x:v>
      </x:c>
    </x:row>
    <x:row r="408">
      <x:c r="A408" s="30" t="str">
        <x:v>NL-C0267</x:v>
      </x:c>
      <x:c r="B408" s="30" t="str">
        <x:v>NL-0407</x:v>
      </x:c>
      <x:c r="C408" s="30" t="str">
        <x:v>Golfpark Rotterdam — Korte baan</x:v>
      </x:c>
      <x:c r="D408" s="30" t="str">
        <x:v>Golfpark Rotterdam</x:v>
      </x:c>
      <x:c r="E408" s="30" t="str">
        <x:v>Korte baan</x:v>
      </x:c>
      <x:c r="F408" s="30" t="str">
        <x:v>Netherlands</x:v>
      </x:c>
      <x:c r="G408" s="30" t="str">
        <x:v>Zuid-Holland</x:v>
      </x:c>
      <x:c r="H408" s="30" t="str">
        <x:v>Rotterdam</x:v>
      </x:c>
      <x:c r="I408" s="30" t="str">
        <x:v>Rotterdam</x:v>
      </x:c>
      <x:c r="J408" s="30" t="str">
        <x:v>Vareseweg 93</x:v>
      </x:c>
      <x:c r="K408" s="30" t="str">
        <x:v>3047 AT</x:v>
      </x:c>
      <x:c r="L408" s="32" t="n">
        <x:v>51.94694803</x:v>
      </x:c>
      <x:c r="M408" s="32" t="n">
        <x:v>4.40349433</x:v>
      </x:c>
      <x:c r="N408" s="30" t="str">
        <x:v>WGS84 / EPSG:4326</x:v>
      </x:c>
      <x:c r="O408" s="30" t="str">
        <x:v>Verified BAG address point via PDOK</x:v>
      </x:c>
      <x:c r="P408" s="30" t="str">
        <x:v>2026-08-15</x:v>
      </x:c>
      <x:c r="Q408" s="33" t="n">
        <x:f>IF(R408="","",ROUND(R408/0.9144,0))</x:f>
        <x:v>1220</x:v>
      </x:c>
      <x:c r="R408" s="33" t="n">
        <x:v>1116</x:v>
      </x:c>
      <x:c r="S408" s="33" t="n">
        <x:v>9</x:v>
      </x:c>
      <x:c r="T408" s="33" t="n">
        <x:v>28</x:v>
      </x:c>
      <x:c r="U408" s="30" t="str">
        <x:v>Par-3/4 course</x:v>
      </x:c>
      <x:c r="V408" s="30"/>
      <x:c r="W408" s="30"/>
      <x:c r="X408" s="30"/>
      <x:c r="Y408" s="30" t="str">
        <x:v>https://www.hollandschegolfclub.nl/golfpark/rotterdam/</x:v>
      </x:c>
      <x:c r="Z408" s="30" t="b">
        <x:f>IF(AND(F408="Netherlands",ISNUMBER(L408),ISNUMBER(M408),L408&gt;=50.7,L408&lt;=53.7,M408&gt;=3.2,M408&lt;=7.3,AC408&lt;&gt;"Closed"),TRUE,FALSE)</x:f>
        <x:v>1</x:v>
      </x:c>
      <x:c r="AA408" s="30" t="b">
        <x:f>Z408</x:f>
        <x:v>1</x:v>
      </x:c>
      <x:c r="AB408" s="30" t="str">
        <x:f>IF(Z408,"verified_coordinate_and_open","not_map_ready")</x:f>
        <x:v>verified_coordinate_and_open</x:v>
      </x:c>
      <x:c r="AC408" s="30" t="str">
        <x:v>Open</x:v>
      </x:c>
      <x:c r="AD408" s="30" t="str">
        <x:v>Public — NGF course permission</x:v>
      </x:c>
      <x:c r="AE408" s="31" t="b">
        <x:v>1</x:v>
      </x:c>
      <x:c r="AF408" s="31" t="b">
        <x:v>0</x:v>
      </x:c>
      <x:c r="AG408" s="30"/>
      <x:c r="AH408" s="30"/>
      <x:c r="AI408" s="30"/>
      <x:c r="AJ408" s="31" t="b">
        <x:v>0</x:v>
      </x:c>
      <x:c r="AK408" s="31" t="b">
        <x:v>0</x:v>
      </x:c>
      <x:c r="AL408" s="30" t="str">
        <x:v>Verified — national register and exact BAG address</x:v>
      </x:c>
      <x:c r="AM408" s="30" t="str">
        <x:v>https://www.golf.nl/de-baan-op/banenzoeker/overzicht</x:v>
      </x:c>
      <x:c r="AN408" s="30" t="str">
        <x:v>2026-08-15</x:v>
      </x:c>
      <x:c r="AO408" s="30" t="str">
        <x:v>+31 10 -600 3596</x:v>
      </x:c>
      <x:c r="AP408" s="30" t="str">
        <x:v>Current NGF/GOLF.NL listing: 9 holes, par 28, 1116 metres. Listed as qualifying.</x:v>
      </x:c>
    </x:row>
    <x:row r="409">
      <x:c r="A409" s="30" t="str">
        <x:v>NL-C0267</x:v>
      </x:c>
      <x:c r="B409" s="30" t="str">
        <x:v>NL-0408</x:v>
      </x:c>
      <x:c r="C409" s="30" t="str">
        <x:v>Golfpark Rotterdam — Tijdelijke lus</x:v>
      </x:c>
      <x:c r="D409" s="30" t="str">
        <x:v>Golfpark Rotterdam</x:v>
      </x:c>
      <x:c r="E409" s="30" t="str">
        <x:v>Tijdelijke lus</x:v>
      </x:c>
      <x:c r="F409" s="30" t="str">
        <x:v>Netherlands</x:v>
      </x:c>
      <x:c r="G409" s="30" t="str">
        <x:v>Zuid-Holland</x:v>
      </x:c>
      <x:c r="H409" s="30" t="str">
        <x:v>Rotterdam</x:v>
      </x:c>
      <x:c r="I409" s="30" t="str">
        <x:v>Rotterdam</x:v>
      </x:c>
      <x:c r="J409" s="30" t="str">
        <x:v>Vareseweg 93</x:v>
      </x:c>
      <x:c r="K409" s="30" t="str">
        <x:v>3047 AT</x:v>
      </x:c>
      <x:c r="L409" s="32" t="n">
        <x:v>51.94694803</x:v>
      </x:c>
      <x:c r="M409" s="32" t="n">
        <x:v>4.40349433</x:v>
      </x:c>
      <x:c r="N409" s="30" t="str">
        <x:v>WGS84 / EPSG:4326</x:v>
      </x:c>
      <x:c r="O409" s="30" t="str">
        <x:v>Verified BAG address point via PDOK</x:v>
      </x:c>
      <x:c r="P409" s="30" t="str">
        <x:v>2026-08-15</x:v>
      </x:c>
      <x:c r="Q409" s="33" t="n">
        <x:f>IF(R409="","",ROUND(R409/0.9144,0))</x:f>
        <x:v>3140</x:v>
      </x:c>
      <x:c r="R409" s="33" t="n">
        <x:v>2871</x:v>
      </x:c>
      <x:c r="S409" s="33" t="n">
        <x:v>9</x:v>
      </x:c>
      <x:c r="T409" s="33" t="n">
        <x:v>36</x:v>
      </x:c>
      <x:c r="U409" s="30" t="str">
        <x:v>Full-length course</x:v>
      </x:c>
      <x:c r="V409" s="30"/>
      <x:c r="W409" s="30"/>
      <x:c r="X409" s="30"/>
      <x:c r="Y409" s="30" t="str">
        <x:v>https://www.hollandschegolfclub.nl/golfpark/rotterdam/</x:v>
      </x:c>
      <x:c r="Z409" s="30" t="b">
        <x:f>IF(AND(F409="Netherlands",ISNUMBER(L409),ISNUMBER(M409),L409&gt;=50.7,L409&lt;=53.7,M409&gt;=3.2,M409&lt;=7.3,AC409&lt;&gt;"Closed"),TRUE,FALSE)</x:f>
        <x:v>1</x:v>
      </x:c>
      <x:c r="AA409" s="30" t="b">
        <x:f>Z409</x:f>
        <x:v>1</x:v>
      </x:c>
      <x:c r="AB409" s="30" t="str">
        <x:f>IF(Z409,"verified_coordinate_and_open","not_map_ready")</x:f>
        <x:v>verified_coordinate_and_open</x:v>
      </x:c>
      <x:c r="AC409" s="30" t="str">
        <x:v>Open</x:v>
      </x:c>
      <x:c r="AD409" s="30" t="str">
        <x:v>Public — NGF course permission</x:v>
      </x:c>
      <x:c r="AE409" s="31" t="b">
        <x:v>0</x:v>
      </x:c>
      <x:c r="AF409" s="31" t="b">
        <x:v>0</x:v>
      </x:c>
      <x:c r="AG409" s="30"/>
      <x:c r="AH409" s="30"/>
      <x:c r="AI409" s="30"/>
      <x:c r="AJ409" s="31" t="b">
        <x:v>0</x:v>
      </x:c>
      <x:c r="AK409" s="31" t="b">
        <x:v>0</x:v>
      </x:c>
      <x:c r="AL409" s="30" t="str">
        <x:v>Verified — national register and exact BAG address</x:v>
      </x:c>
      <x:c r="AM409" s="30" t="str">
        <x:v>https://www.golf.nl/de-baan-op/banenzoeker/overzicht</x:v>
      </x:c>
      <x:c r="AN409" s="30" t="str">
        <x:v>2026-08-15</x:v>
      </x:c>
      <x:c r="AO409" s="30" t="str">
        <x:v>+31 10 -600 3596</x:v>
      </x:c>
      <x:c r="AP409" s="30" t="str">
        <x:v>Current NGF/GOLF.NL listing: 9 holes, par 36, 2871 metres. Listed as non-qualifying.</x:v>
      </x:c>
    </x:row>
    <x:row r="410">
      <x:c r="A410" s="30" t="str">
        <x:v>NL-C0268</x:v>
      </x:c>
      <x:c r="B410" s="30" t="str">
        <x:v>NL-0409</x:v>
      </x:c>
      <x:c r="C410" s="30" t="str">
        <x:v>Golfpark Westerpark — Blauw</x:v>
      </x:c>
      <x:c r="D410" s="30" t="str">
        <x:v>Golfpark Westerpark</x:v>
      </x:c>
      <x:c r="E410" s="30" t="str">
        <x:v>Blauw</x:v>
      </x:c>
      <x:c r="F410" s="30" t="str">
        <x:v>Netherlands</x:v>
      </x:c>
      <x:c r="G410" s="30" t="str">
        <x:v>Zuid-Holland</x:v>
      </x:c>
      <x:c r="H410" s="30" t="str">
        <x:v>Zoetermeer</x:v>
      </x:c>
      <x:c r="I410" s="30" t="str">
        <x:v>Zoetermeer</x:v>
      </x:c>
      <x:c r="J410" s="30" t="str">
        <x:v>Heuvelweg 3</x:v>
      </x:c>
      <x:c r="K410" s="30" t="str">
        <x:v>2716 DZ</x:v>
      </x:c>
      <x:c r="L410" s="32" t="n">
        <x:v>52.05348558</x:v>
      </x:c>
      <x:c r="M410" s="32" t="n">
        <x:v>4.43914761</x:v>
      </x:c>
      <x:c r="N410" s="30" t="str">
        <x:v>WGS84 / EPSG:4326</x:v>
      </x:c>
      <x:c r="O410" s="30" t="str">
        <x:v>Verified BAG address point via PDOK</x:v>
      </x:c>
      <x:c r="P410" s="30" t="str">
        <x:v>2026-08-15</x:v>
      </x:c>
      <x:c r="Q410" s="33" t="n">
        <x:f>IF(R410="","",ROUND(R410/0.9144,0))</x:f>
        <x:v>3419</x:v>
      </x:c>
      <x:c r="R410" s="33" t="n">
        <x:v>3126</x:v>
      </x:c>
      <x:c r="S410" s="33" t="n">
        <x:v>9</x:v>
      </x:c>
      <x:c r="T410" s="33" t="n">
        <x:v>36</x:v>
      </x:c>
      <x:c r="U410" s="30" t="str">
        <x:v>Full-length course</x:v>
      </x:c>
      <x:c r="V410" s="30"/>
      <x:c r="W410" s="30"/>
      <x:c r="X410" s="30"/>
      <x:c r="Y410" s="30" t="str">
        <x:v>https://www.hollandschegolfclub.nl/golfpark/westerpark/</x:v>
      </x:c>
      <x:c r="Z410" s="30" t="b">
        <x:f>IF(AND(F410="Netherlands",ISNUMBER(L410),ISNUMBER(M410),L410&gt;=50.7,L410&lt;=53.7,M410&gt;=3.2,M410&lt;=7.3,AC410&lt;&gt;"Closed"),TRUE,FALSE)</x:f>
        <x:v>1</x:v>
      </x:c>
      <x:c r="AA410" s="30" t="b">
        <x:f>Z410</x:f>
        <x:v>1</x:v>
      </x:c>
      <x:c r="AB410" s="30" t="str">
        <x:f>IF(Z410,"verified_coordinate_and_open","not_map_ready")</x:f>
        <x:v>verified_coordinate_and_open</x:v>
      </x:c>
      <x:c r="AC410" s="30" t="str">
        <x:v>Open</x:v>
      </x:c>
      <x:c r="AD410" s="30" t="str">
        <x:v>Public — handicap 54 or lower</x:v>
      </x:c>
      <x:c r="AE410" s="31" t="b">
        <x:v>1</x:v>
      </x:c>
      <x:c r="AF410" s="31" t="b">
        <x:v>0</x:v>
      </x:c>
      <x:c r="AG410" s="30"/>
      <x:c r="AH410" s="30"/>
      <x:c r="AI410" s="30"/>
      <x:c r="AJ410" s="31" t="b">
        <x:v>0</x:v>
      </x:c>
      <x:c r="AK410" s="31" t="b">
        <x:v>0</x:v>
      </x:c>
      <x:c r="AL410" s="30" t="str">
        <x:v>Verified — national register and exact BAG address</x:v>
      </x:c>
      <x:c r="AM410" s="30" t="str">
        <x:v>https://www.golf.nl/de-baan-op/banenzoeker/overzicht</x:v>
      </x:c>
      <x:c r="AN410" s="30" t="str">
        <x:v>2026-08-15</x:v>
      </x:c>
      <x:c r="AO410" s="30" t="str">
        <x:v>+31 79-3203131</x:v>
      </x:c>
      <x:c r="AP410" s="30" t="str">
        <x:v>Current NGF/GOLF.NL listing: 9 holes, par 36, 3126 metres. Listed as qualifying.</x:v>
      </x:c>
    </x:row>
    <x:row r="411">
      <x:c r="A411" s="30" t="str">
        <x:v>NL-C0268</x:v>
      </x:c>
      <x:c r="B411" s="30" t="str">
        <x:v>NL-0410</x:v>
      </x:c>
      <x:c r="C411" s="30" t="str">
        <x:v>Golfpark Westerpark — Geel</x:v>
      </x:c>
      <x:c r="D411" s="30" t="str">
        <x:v>Golfpark Westerpark</x:v>
      </x:c>
      <x:c r="E411" s="30" t="str">
        <x:v>Geel</x:v>
      </x:c>
      <x:c r="F411" s="30" t="str">
        <x:v>Netherlands</x:v>
      </x:c>
      <x:c r="G411" s="30" t="str">
        <x:v>Zuid-Holland</x:v>
      </x:c>
      <x:c r="H411" s="30" t="str">
        <x:v>Zoetermeer</x:v>
      </x:c>
      <x:c r="I411" s="30" t="str">
        <x:v>Zoetermeer</x:v>
      </x:c>
      <x:c r="J411" s="30" t="str">
        <x:v>Heuvelweg 3</x:v>
      </x:c>
      <x:c r="K411" s="30" t="str">
        <x:v>2716 DZ</x:v>
      </x:c>
      <x:c r="L411" s="32" t="n">
        <x:v>52.05348558</x:v>
      </x:c>
      <x:c r="M411" s="32" t="n">
        <x:v>4.43914761</x:v>
      </x:c>
      <x:c r="N411" s="30" t="str">
        <x:v>WGS84 / EPSG:4326</x:v>
      </x:c>
      <x:c r="O411" s="30" t="str">
        <x:v>Verified BAG address point via PDOK</x:v>
      </x:c>
      <x:c r="P411" s="30" t="str">
        <x:v>2026-08-15</x:v>
      </x:c>
      <x:c r="Q411" s="33" t="n">
        <x:f>IF(R411="","",ROUND(R411/0.9144,0))</x:f>
        <x:v>3128</x:v>
      </x:c>
      <x:c r="R411" s="33" t="n">
        <x:v>2860</x:v>
      </x:c>
      <x:c r="S411" s="33" t="n">
        <x:v>9</x:v>
      </x:c>
      <x:c r="T411" s="33" t="n">
        <x:v>35</x:v>
      </x:c>
      <x:c r="U411" s="30" t="str">
        <x:v>Full-length course</x:v>
      </x:c>
      <x:c r="V411" s="30"/>
      <x:c r="W411" s="30"/>
      <x:c r="X411" s="30"/>
      <x:c r="Y411" s="30" t="str">
        <x:v>https://www.hollandschegolfclub.nl/golfpark/westerpark/</x:v>
      </x:c>
      <x:c r="Z411" s="30" t="b">
        <x:f>IF(AND(F411="Netherlands",ISNUMBER(L411),ISNUMBER(M411),L411&gt;=50.7,L411&lt;=53.7,M411&gt;=3.2,M411&lt;=7.3,AC411&lt;&gt;"Closed"),TRUE,FALSE)</x:f>
        <x:v>1</x:v>
      </x:c>
      <x:c r="AA411" s="30" t="b">
        <x:f>Z411</x:f>
        <x:v>1</x:v>
      </x:c>
      <x:c r="AB411" s="30" t="str">
        <x:f>IF(Z411,"verified_coordinate_and_open","not_map_ready")</x:f>
        <x:v>verified_coordinate_and_open</x:v>
      </x:c>
      <x:c r="AC411" s="30" t="str">
        <x:v>Open</x:v>
      </x:c>
      <x:c r="AD411" s="30" t="str">
        <x:v>Public — handicap 54 or lower</x:v>
      </x:c>
      <x:c r="AE411" s="31" t="b">
        <x:v>1</x:v>
      </x:c>
      <x:c r="AF411" s="31" t="b">
        <x:v>0</x:v>
      </x:c>
      <x:c r="AG411" s="30"/>
      <x:c r="AH411" s="30"/>
      <x:c r="AI411" s="30"/>
      <x:c r="AJ411" s="31" t="b">
        <x:v>0</x:v>
      </x:c>
      <x:c r="AK411" s="31" t="b">
        <x:v>0</x:v>
      </x:c>
      <x:c r="AL411" s="30" t="str">
        <x:v>Verified — national register and exact BAG address</x:v>
      </x:c>
      <x:c r="AM411" s="30" t="str">
        <x:v>https://www.golf.nl/de-baan-op/banenzoeker/overzicht</x:v>
      </x:c>
      <x:c r="AN411" s="30" t="str">
        <x:v>2026-08-15</x:v>
      </x:c>
      <x:c r="AO411" s="30" t="str">
        <x:v>+31 79-3203131</x:v>
      </x:c>
      <x:c r="AP411" s="30" t="str">
        <x:v>Current NGF/GOLF.NL listing: 9 holes, par 35, 2860 metres. Listed as qualifying.</x:v>
      </x:c>
    </x:row>
    <x:row r="412">
      <x:c r="A412" s="30" t="str">
        <x:v>NL-C0269</x:v>
      </x:c>
      <x:c r="B412" s="30" t="str">
        <x:v>NL-0411</x:v>
      </x:c>
      <x:c r="C412" s="30" t="str">
        <x:v>Haagsche Countryclub Groen-Geel — Groen</x:v>
      </x:c>
      <x:c r="D412" s="30" t="str">
        <x:v>Haagsche Countryclub Groen-Geel</x:v>
      </x:c>
      <x:c r="E412" s="30" t="str">
        <x:v>Groen</x:v>
      </x:c>
      <x:c r="F412" s="30" t="str">
        <x:v>Netherlands</x:v>
      </x:c>
      <x:c r="G412" s="30" t="str">
        <x:v>Zuid-Holland</x:v>
      </x:c>
      <x:c r="H412" s="30" t="str">
        <x:v>Wassenaar</x:v>
      </x:c>
      <x:c r="I412" s="30" t="str">
        <x:v>Wassenaar</x:v>
      </x:c>
      <x:c r="J412" s="30" t="str">
        <x:v>Buurtweg 122</x:v>
      </x:c>
      <x:c r="K412" s="30" t="str">
        <x:v>2244 AJ</x:v>
      </x:c>
      <x:c r="L412" s="32" t="n">
        <x:v>52.11452274</x:v>
      </x:c>
      <x:c r="M412" s="32" t="n">
        <x:v>4.34346175</x:v>
      </x:c>
      <x:c r="N412" s="30" t="str">
        <x:v>WGS84 / EPSG:4326</x:v>
      </x:c>
      <x:c r="O412" s="30" t="str">
        <x:v>Verified BAG address point via PDOK</x:v>
      </x:c>
      <x:c r="P412" s="30" t="str">
        <x:v>2026-08-15</x:v>
      </x:c>
      <x:c r="Q412" s="33" t="n">
        <x:f>IF(R412="","",ROUND(R412/0.9144,0))</x:f>
        <x:v>1911</x:v>
      </x:c>
      <x:c r="R412" s="33" t="n">
        <x:v>1747</x:v>
      </x:c>
      <x:c r="S412" s="33" t="n">
        <x:v>9</x:v>
      </x:c>
      <x:c r="T412" s="33" t="n">
        <x:v>31</x:v>
      </x:c>
      <x:c r="U412" s="30" t="str">
        <x:v>Par-3/4 course</x:v>
      </x:c>
      <x:c r="V412" s="30"/>
      <x:c r="W412" s="30"/>
      <x:c r="X412" s="30"/>
      <x:c r="Y412" s="30" t="str">
        <x:v>https://www.groengeel.nl/</x:v>
      </x:c>
      <x:c r="Z412" s="30" t="b">
        <x:f>IF(AND(F412="Netherlands",ISNUMBER(L412),ISNUMBER(M412),L412&gt;=50.7,L412&lt;=53.7,M412&gt;=3.2,M412&lt;=7.3,AC412&lt;&gt;"Closed"),TRUE,FALSE)</x:f>
        <x:v>1</x:v>
      </x:c>
      <x:c r="AA412" s="30" t="b">
        <x:f>Z412</x:f>
        <x:v>1</x:v>
      </x:c>
      <x:c r="AB412" s="30" t="str">
        <x:f>IF(Z412,"verified_coordinate_and_open","not_map_ready")</x:f>
        <x:v>verified_coordinate_and_open</x:v>
      </x:c>
      <x:c r="AC412" s="30" t="str">
        <x:v>Open</x:v>
      </x:c>
      <x:c r="AD412" s="30" t="str">
        <x:v>Public — handicap 54 or lower</x:v>
      </x:c>
      <x:c r="AE412" s="31" t="b">
        <x:v>1</x:v>
      </x:c>
      <x:c r="AF412" s="31" t="b">
        <x:v>0</x:v>
      </x:c>
      <x:c r="AG412" s="30"/>
      <x:c r="AH412" s="30"/>
      <x:c r="AI412" s="30"/>
      <x:c r="AJ412" s="31" t="b">
        <x:v>0</x:v>
      </x:c>
      <x:c r="AK412" s="31" t="b">
        <x:v>0</x:v>
      </x:c>
      <x:c r="AL412" s="30" t="str">
        <x:v>Verified — national register and exact BAG address</x:v>
      </x:c>
      <x:c r="AM412" s="30" t="str">
        <x:v>https://www.golf.nl/de-baan-op/banenzoeker/overzicht</x:v>
      </x:c>
      <x:c r="AN412" s="30" t="str">
        <x:v>2026-08-15</x:v>
      </x:c>
      <x:c r="AO412" s="30" t="str">
        <x:v>+31 70-5110888</x:v>
      </x:c>
      <x:c r="AP412" s="30" t="str">
        <x:v>Current NGF/GOLF.NL listing: 9 holes, par 31, 1747 metres. Listed as qualifying.</x:v>
      </x:c>
    </x:row>
    <x:row r="413">
      <x:c r="A413" s="30" t="str">
        <x:v>NL-C0270</x:v>
      </x:c>
      <x:c r="B413" s="30" t="str">
        <x:v>NL-0412</x:v>
      </x:c>
      <x:c r="C413" s="30" t="str">
        <x:v>Haagse Golfvereniging Leeuwenbergh — Main Course</x:v>
      </x:c>
      <x:c r="D413" s="30" t="str">
        <x:v>Haagse Golfvereniging Leeuwenbergh</x:v>
      </x:c>
      <x:c r="E413" s="30" t="str">
        <x:v>Main Course</x:v>
      </x:c>
      <x:c r="F413" s="30" t="str">
        <x:v>Netherlands</x:v>
      </x:c>
      <x:c r="G413" s="30" t="str">
        <x:v>Zuid-Holland</x:v>
      </x:c>
      <x:c r="H413" s="30" t="str">
        <x:v>'s-Gravenhage</x:v>
      </x:c>
      <x:c r="I413" s="30" t="str">
        <x:v>'s-Gravenhage</x:v>
      </x:c>
      <x:c r="J413" s="30" t="str">
        <x:v>Elzenlaan 31</x:v>
      </x:c>
      <x:c r="K413" s="30" t="str">
        <x:v>2495 AZ</x:v>
      </x:c>
      <x:c r="L413" s="32" t="n">
        <x:v>52.05741521</x:v>
      </x:c>
      <x:c r="M413" s="32" t="n">
        <x:v>4.36315288</x:v>
      </x:c>
      <x:c r="N413" s="30" t="str">
        <x:v>WGS84 / EPSG:4326</x:v>
      </x:c>
      <x:c r="O413" s="30" t="str">
        <x:v>Verified BAG address point via PDOK</x:v>
      </x:c>
      <x:c r="P413" s="30" t="str">
        <x:v>2026-08-15</x:v>
      </x:c>
      <x:c r="Q413" s="33" t="n">
        <x:f>IF(R413="","",ROUND(R413/0.9144,0))</x:f>
        <x:v>6343</x:v>
      </x:c>
      <x:c r="R413" s="33" t="n">
        <x:v>5800</x:v>
      </x:c>
      <x:c r="S413" s="33" t="n">
        <x:v>18</x:v>
      </x:c>
      <x:c r="T413" s="33" t="n">
        <x:v>71</x:v>
      </x:c>
      <x:c r="U413" s="30" t="str">
        <x:v>Full-length course</x:v>
      </x:c>
      <x:c r="V413" s="30"/>
      <x:c r="W413" s="30"/>
      <x:c r="X413" s="30"/>
      <x:c r="Y413" s="30" t="str">
        <x:v>https://www.leeuwenbergh.nl/</x:v>
      </x:c>
      <x:c r="Z413" s="30" t="b">
        <x:f>IF(AND(F413="Netherlands",ISNUMBER(L413),ISNUMBER(M413),L413&gt;=50.7,L413&lt;=53.7,M413&gt;=3.2,M413&lt;=7.3,AC413&lt;&gt;"Closed"),TRUE,FALSE)</x:f>
        <x:v>1</x:v>
      </x:c>
      <x:c r="AA413" s="30" t="b">
        <x:f>Z413</x:f>
        <x:v>1</x:v>
      </x:c>
      <x:c r="AB413" s="30" t="str">
        <x:f>IF(Z413,"verified_coordinate_and_open","not_map_ready")</x:f>
        <x:v>verified_coordinate_and_open</x:v>
      </x:c>
      <x:c r="AC413" s="30" t="str">
        <x:v>Open</x:v>
      </x:c>
      <x:c r="AD413" s="30" t="str">
        <x:v>Public — handicap 54 or lower</x:v>
      </x:c>
      <x:c r="AE413" s="31" t="b">
        <x:v>1</x:v>
      </x:c>
      <x:c r="AF413" s="31" t="b">
        <x:v>0</x:v>
      </x:c>
      <x:c r="AG413" s="30"/>
      <x:c r="AH413" s="30"/>
      <x:c r="AI413" s="30"/>
      <x:c r="AJ413" s="31" t="b">
        <x:v>0</x:v>
      </x:c>
      <x:c r="AK413" s="31" t="b">
        <x:v>0</x:v>
      </x:c>
      <x:c r="AL413" s="30" t="str">
        <x:v>Verified — national register and exact BAG address</x:v>
      </x:c>
      <x:c r="AM413" s="30" t="str">
        <x:v>https://www.golf.nl/de-baan-op/banenzoeker/overzicht</x:v>
      </x:c>
      <x:c r="AN413" s="30" t="str">
        <x:v>2026-08-15</x:v>
      </x:c>
      <x:c r="AO413" s="30" t="str">
        <x:v>+31 70-3991096</x:v>
      </x:c>
      <x:c r="AP413" s="30" t="str">
        <x:v>Current NGF/GOLF.NL listing: 18 holes, par 71, 5800 metres. Combined from exact NGF-listed constituent nine-hole loops: 1ste negen (9 holes, par 36, 3125 m); 2de negen (9 holes, par 35, 2675 m) Listed as qualifying.</x:v>
      </x:c>
    </x:row>
    <x:row r="414">
      <x:c r="A414" s="30" t="str">
        <x:v>NL-C0271</x:v>
      </x:c>
      <x:c r="B414" s="30" t="str">
        <x:v>NL-0413</x:v>
      </x:c>
      <x:c r="C414" s="30" t="str">
        <x:v>Koninklijke Haagsche Golf &amp; Country Club — Main Course</x:v>
      </x:c>
      <x:c r="D414" s="30" t="str">
        <x:v>Koninklijke Haagsche Golf &amp; Country Club</x:v>
      </x:c>
      <x:c r="E414" s="30" t="str">
        <x:v>Main Course</x:v>
      </x:c>
      <x:c r="F414" s="30" t="str">
        <x:v>Netherlands</x:v>
      </x:c>
      <x:c r="G414" s="30" t="str">
        <x:v>Zuid-Holland</x:v>
      </x:c>
      <x:c r="H414" s="30" t="str">
        <x:v>Wassenaar</x:v>
      </x:c>
      <x:c r="I414" s="30" t="str">
        <x:v>Wassenaar</x:v>
      </x:c>
      <x:c r="J414" s="30" t="str">
        <x:v>Groot Haesebroekseweg 22</x:v>
      </x:c>
      <x:c r="K414" s="30" t="str">
        <x:v>2243 EC</x:v>
      </x:c>
      <x:c r="L414" s="32" t="n">
        <x:v>52.13290987</x:v>
      </x:c>
      <x:c r="M414" s="32" t="n">
        <x:v>4.36891164</x:v>
      </x:c>
      <x:c r="N414" s="30" t="str">
        <x:v>WGS84 / EPSG:4326</x:v>
      </x:c>
      <x:c r="O414" s="30" t="str">
        <x:v>Verified BAG address point via PDOK</x:v>
      </x:c>
      <x:c r="P414" s="30" t="str">
        <x:v>2026-08-15</x:v>
      </x:c>
      <x:c r="Q414" s="33" t="n">
        <x:f>IF(R414="","",ROUND(R414/0.9144,0))</x:f>
        <x:v>6755</x:v>
      </x:c>
      <x:c r="R414" s="33" t="n">
        <x:v>6177</x:v>
      </x:c>
      <x:c r="S414" s="33" t="n">
        <x:v>18</x:v>
      </x:c>
      <x:c r="T414" s="33" t="n">
        <x:v>72</x:v>
      </x:c>
      <x:c r="U414" s="30" t="str">
        <x:v>Full-length course</x:v>
      </x:c>
      <x:c r="V414" s="30"/>
      <x:c r="W414" s="30"/>
      <x:c r="X414" s="30"/>
      <x:c r="Y414" s="30" t="str">
        <x:v>https://khgcc.nl/</x:v>
      </x:c>
      <x:c r="Z414" s="30" t="b">
        <x:f>IF(AND(F414="Netherlands",ISNUMBER(L414),ISNUMBER(M414),L414&gt;=50.7,L414&lt;=53.7,M414&gt;=3.2,M414&lt;=7.3,AC414&lt;&gt;"Closed"),TRUE,FALSE)</x:f>
        <x:v>1</x:v>
      </x:c>
      <x:c r="AA414" s="30" t="b">
        <x:f>Z414</x:f>
        <x:v>1</x:v>
      </x:c>
      <x:c r="AB414" s="30" t="str">
        <x:f>IF(Z414,"verified_coordinate_and_open","not_map_ready")</x:f>
        <x:v>verified_coordinate_and_open</x:v>
      </x:c>
      <x:c r="AC414" s="30" t="str">
        <x:v>Open</x:v>
      </x:c>
      <x:c r="AD414" s="30" t="str">
        <x:v>Public — handicap 24 or lower</x:v>
      </x:c>
      <x:c r="AE414" s="31" t="b">
        <x:v>1</x:v>
      </x:c>
      <x:c r="AF414" s="31" t="b">
        <x:v>0</x:v>
      </x:c>
      <x:c r="AG414" s="30"/>
      <x:c r="AH414" s="30"/>
      <x:c r="AI414" s="30"/>
      <x:c r="AJ414" s="31" t="b">
        <x:v>0</x:v>
      </x:c>
      <x:c r="AK414" s="31" t="b">
        <x:v>0</x:v>
      </x:c>
      <x:c r="AL414" s="30" t="str">
        <x:v>Verified — national register and exact BAG address</x:v>
      </x:c>
      <x:c r="AM414" s="30" t="str">
        <x:v>https://www.golf.nl/de-baan-op/banenzoeker/overzicht</x:v>
      </x:c>
      <x:c r="AN414" s="30" t="str">
        <x:v>2026-08-15</x:v>
      </x:c>
      <x:c r="AO414" s="30" t="str">
        <x:v>+31 70-5179607</x:v>
      </x:c>
      <x:c r="AP414" s="30" t="str">
        <x:v>Current NGF/GOLF.NL listing: 18 holes, par 72, 6177 metres. Combined from exact NGF-listed constituent nine-hole loops: 1ste negen (9 holes, par 36, 3139 m); 2de negen (9 holes, par 36, 3038 m) Listed as qualifying.</x:v>
      </x:c>
    </x:row>
    <x:row r="415">
      <x:c r="A415" s="30" t="str">
        <x:v>NL-C0272</x:v>
      </x:c>
      <x:c r="B415" s="30" t="str">
        <x:v>NL-0414</x:v>
      </x:c>
      <x:c r="C415" s="30" t="str">
        <x:v>Noordwijkse Golfclub — Main Course</x:v>
      </x:c>
      <x:c r="D415" s="30" t="str">
        <x:v>Noordwijkse Golfclub</x:v>
      </x:c>
      <x:c r="E415" s="30" t="str">
        <x:v>Main Course</x:v>
      </x:c>
      <x:c r="F415" s="30" t="str">
        <x:v>Netherlands</x:v>
      </x:c>
      <x:c r="G415" s="30" t="str">
        <x:v>Zuid-Holland</x:v>
      </x:c>
      <x:c r="H415" s="30" t="str">
        <x:v>Noordwijk</x:v>
      </x:c>
      <x:c r="I415" s="30" t="str">
        <x:v>Noordwijk</x:v>
      </x:c>
      <x:c r="J415" s="30" t="str">
        <x:v>Randweg 25</x:v>
      </x:c>
      <x:c r="K415" s="30" t="str">
        <x:v>2204 AL</x:v>
      </x:c>
      <x:c r="L415" s="32" t="n">
        <x:v>52.28392447</x:v>
      </x:c>
      <x:c r="M415" s="32" t="n">
        <x:v>4.46338983</x:v>
      </x:c>
      <x:c r="N415" s="30" t="str">
        <x:v>WGS84 / EPSG:4326</x:v>
      </x:c>
      <x:c r="O415" s="30" t="str">
        <x:v>Verified BAG address point via PDOK</x:v>
      </x:c>
      <x:c r="P415" s="30" t="str">
        <x:v>2026-08-15</x:v>
      </x:c>
      <x:c r="Q415" s="33" t="n">
        <x:f>IF(R415="","",ROUND(R415/0.9144,0))</x:f>
        <x:v>6954</x:v>
      </x:c>
      <x:c r="R415" s="33" t="n">
        <x:v>6359</x:v>
      </x:c>
      <x:c r="S415" s="33" t="n">
        <x:v>18</x:v>
      </x:c>
      <x:c r="T415" s="33" t="n">
        <x:v>72</x:v>
      </x:c>
      <x:c r="U415" s="30" t="str">
        <x:v>Full-length course</x:v>
      </x:c>
      <x:c r="V415" s="30"/>
      <x:c r="W415" s="30"/>
      <x:c r="X415" s="30"/>
      <x:c r="Y415" s="30" t="str">
        <x:v>https://www.noordwijksegolfclub.nl/</x:v>
      </x:c>
      <x:c r="Z415" s="30" t="b">
        <x:f>IF(AND(F415="Netherlands",ISNUMBER(L415),ISNUMBER(M415),L415&gt;=50.7,L415&lt;=53.7,M415&gt;=3.2,M415&lt;=7.3,AC415&lt;&gt;"Closed"),TRUE,FALSE)</x:f>
        <x:v>1</x:v>
      </x:c>
      <x:c r="AA415" s="30" t="b">
        <x:f>Z415</x:f>
        <x:v>1</x:v>
      </x:c>
      <x:c r="AB415" s="30" t="str">
        <x:f>IF(Z415,"verified_coordinate_and_open","not_map_ready")</x:f>
        <x:v>verified_coordinate_and_open</x:v>
      </x:c>
      <x:c r="AC415" s="30" t="str">
        <x:v>Open</x:v>
      </x:c>
      <x:c r="AD415" s="30" t="str">
        <x:v>Public — handicap 24 or lower</x:v>
      </x:c>
      <x:c r="AE415" s="31" t="b">
        <x:v>1</x:v>
      </x:c>
      <x:c r="AF415" s="31" t="b">
        <x:v>0</x:v>
      </x:c>
      <x:c r="AG415" s="30"/>
      <x:c r="AH415" s="30"/>
      <x:c r="AI415" s="30"/>
      <x:c r="AJ415" s="31" t="b">
        <x:v>0</x:v>
      </x:c>
      <x:c r="AK415" s="31" t="b">
        <x:v>0</x:v>
      </x:c>
      <x:c r="AL415" s="30" t="str">
        <x:v>Verified — national register and exact BAG address</x:v>
      </x:c>
      <x:c r="AM415" s="30" t="str">
        <x:v>https://www.golf.nl/de-baan-op/banenzoeker/overzicht</x:v>
      </x:c>
      <x:c r="AN415" s="30" t="str">
        <x:v>2026-08-15</x:v>
      </x:c>
      <x:c r="AO415" s="30" t="str">
        <x:v>+31 252-373761</x:v>
      </x:c>
      <x:c r="AP415" s="30" t="str">
        <x:v>Current NGF/GOLF.NL listing: 18 holes, par 72, 6359 metres. Combined from exact NGF-listed constituent nine-hole loops: 1ste negen (9 holes, par 36, 3232 m); 2de negen (9 holes, par 36, 3127 m) Listed as qualifying.</x:v>
      </x:c>
    </x:row>
    <x:row r="416">
      <x:c r="A416" s="30" t="str">
        <x:v>NL-C0273</x:v>
      </x:c>
      <x:c r="B416" s="30" t="str">
        <x:v>NL-0415</x:v>
      </x:c>
      <x:c r="C416" s="30" t="str">
        <x:v>Oegstgeester Golfclub — Standaardbaan</x:v>
      </x:c>
      <x:c r="D416" s="30" t="str">
        <x:v>Oegstgeester Golfclub</x:v>
      </x:c>
      <x:c r="E416" s="30" t="str">
        <x:v>Standaardbaan</x:v>
      </x:c>
      <x:c r="F416" s="30" t="str">
        <x:v>Netherlands</x:v>
      </x:c>
      <x:c r="G416" s="30" t="str">
        <x:v>Zuid-Holland</x:v>
      </x:c>
      <x:c r="H416" s="30" t="str">
        <x:v>Oegstgeest</x:v>
      </x:c>
      <x:c r="I416" s="30" t="str">
        <x:v>Oegstgeest</x:v>
      </x:c>
      <x:c r="J416" s="30" t="str">
        <x:v>Van Houdringelaan 15</x:v>
      </x:c>
      <x:c r="K416" s="30" t="str">
        <x:v>2341 BN</x:v>
      </x:c>
      <x:c r="L416" s="32" t="n">
        <x:v>52.1870079</x:v>
      </x:c>
      <x:c r="M416" s="32" t="n">
        <x:v>4.4626842</x:v>
      </x:c>
      <x:c r="N416" s="30" t="str">
        <x:v>WGS84 / EPSG:4326</x:v>
      </x:c>
      <x:c r="O416" s="30" t="str">
        <x:v>Verified BAG address point via PDOK</x:v>
      </x:c>
      <x:c r="P416" s="30" t="str">
        <x:v>2026-08-15</x:v>
      </x:c>
      <x:c r="Q416" s="33" t="n">
        <x:f>IF(R416="","",ROUND(R416/0.9144,0))</x:f>
        <x:v>1540</x:v>
      </x:c>
      <x:c r="R416" s="33" t="n">
        <x:v>1408</x:v>
      </x:c>
      <x:c r="S416" s="33" t="n">
        <x:v>9</x:v>
      </x:c>
      <x:c r="T416" s="33" t="n">
        <x:v>30</x:v>
      </x:c>
      <x:c r="U416" s="30" t="str">
        <x:v>Par-3/4 course</x:v>
      </x:c>
      <x:c r="V416" s="30"/>
      <x:c r="W416" s="30"/>
      <x:c r="X416" s="30"/>
      <x:c r="Y416" s="30" t="str">
        <x:v>https://www.oegstgeestergolfclub.nl/</x:v>
      </x:c>
      <x:c r="Z416" s="30" t="b">
        <x:f>IF(AND(F416="Netherlands",ISNUMBER(L416),ISNUMBER(M416),L416&gt;=50.7,L416&lt;=53.7,M416&gt;=3.2,M416&lt;=7.3,AC416&lt;&gt;"Closed"),TRUE,FALSE)</x:f>
        <x:v>1</x:v>
      </x:c>
      <x:c r="AA416" s="30" t="b">
        <x:f>Z416</x:f>
        <x:v>1</x:v>
      </x:c>
      <x:c r="AB416" s="30" t="str">
        <x:f>IF(Z416,"verified_coordinate_and_open","not_map_ready")</x:f>
        <x:v>verified_coordinate_and_open</x:v>
      </x:c>
      <x:c r="AC416" s="30" t="str">
        <x:v>Open</x:v>
      </x:c>
      <x:c r="AD416" s="30" t="str">
        <x:v>Public — handicap 54 or lower</x:v>
      </x:c>
      <x:c r="AE416" s="31" t="b">
        <x:v>1</x:v>
      </x:c>
      <x:c r="AF416" s="31" t="b">
        <x:v>0</x:v>
      </x:c>
      <x:c r="AG416" s="30"/>
      <x:c r="AH416" s="30"/>
      <x:c r="AI416" s="30"/>
      <x:c r="AJ416" s="31" t="b">
        <x:v>0</x:v>
      </x:c>
      <x:c r="AK416" s="31" t="b">
        <x:v>0</x:v>
      </x:c>
      <x:c r="AL416" s="30" t="str">
        <x:v>Verified — national register and exact BAG address</x:v>
      </x:c>
      <x:c r="AM416" s="30" t="str">
        <x:v>https://www.golf.nl/de-baan-op/banenzoeker/overzicht</x:v>
      </x:c>
      <x:c r="AN416" s="30" t="str">
        <x:v>2026-08-15</x:v>
      </x:c>
      <x:c r="AO416" s="30" t="str">
        <x:v>+31 71-5150208</x:v>
      </x:c>
      <x:c r="AP416" s="30" t="str">
        <x:v>Current NGF/GOLF.NL listing: 9 holes, par 30, 1408 metres. Listed as qualifying.</x:v>
      </x:c>
    </x:row>
    <x:row r="417">
      <x:c r="A417" s="30" t="str">
        <x:v>NL-C0274</x:v>
      </x:c>
      <x:c r="B417" s="30" t="str">
        <x:v>NL-0416</x:v>
      </x:c>
      <x:c r="C417" s="30" t="str">
        <x:v>Rhoon Golfcenter — Main Course</x:v>
      </x:c>
      <x:c r="D417" s="30" t="str">
        <x:v>Rhoon Golfcenter</x:v>
      </x:c>
      <x:c r="E417" s="30" t="str">
        <x:v>Main Course</x:v>
      </x:c>
      <x:c r="F417" s="30" t="str">
        <x:v>Netherlands</x:v>
      </x:c>
      <x:c r="G417" s="30" t="str">
        <x:v>Zuid-Holland</x:v>
      </x:c>
      <x:c r="H417" s="30" t="str">
        <x:v>Albrandswaard</x:v>
      </x:c>
      <x:c r="I417" s="30" t="str">
        <x:v>Rhoon</x:v>
      </x:c>
      <x:c r="J417" s="30" t="str">
        <x:v>Veerweg 2A</x:v>
      </x:c>
      <x:c r="K417" s="30" t="str">
        <x:v>3161 EX</x:v>
      </x:c>
      <x:c r="L417" s="32" t="n">
        <x:v>51.83643497</x:v>
      </x:c>
      <x:c r="M417" s="32" t="n">
        <x:v>4.46007475</x:v>
      </x:c>
      <x:c r="N417" s="30" t="str">
        <x:v>WGS84 / EPSG:4326</x:v>
      </x:c>
      <x:c r="O417" s="30" t="str">
        <x:v>Verified BAG address point via PDOK</x:v>
      </x:c>
      <x:c r="P417" s="30" t="str">
        <x:v>2026-08-15</x:v>
      </x:c>
      <x:c r="Q417" s="33" t="n">
        <x:f>IF(R417="","",ROUND(R417/0.9144,0))</x:f>
        <x:v>6286</x:v>
      </x:c>
      <x:c r="R417" s="33" t="n">
        <x:v>5748</x:v>
      </x:c>
      <x:c r="S417" s="33" t="n">
        <x:v>18</x:v>
      </x:c>
      <x:c r="T417" s="33" t="n">
        <x:v>71</x:v>
      </x:c>
      <x:c r="U417" s="30" t="str">
        <x:v>Full-length course</x:v>
      </x:c>
      <x:c r="V417" s="30"/>
      <x:c r="W417" s="30"/>
      <x:c r="X417" s="30"/>
      <x:c r="Y417" s="30" t="str">
        <x:v>https://www.rhoongolfcenter.nl/</x:v>
      </x:c>
      <x:c r="Z417" s="30" t="b">
        <x:f>IF(AND(F417="Netherlands",ISNUMBER(L417),ISNUMBER(M417),L417&gt;=50.7,L417&lt;=53.7,M417&gt;=3.2,M417&lt;=7.3,AC417&lt;&gt;"Closed"),TRUE,FALSE)</x:f>
        <x:v>1</x:v>
      </x:c>
      <x:c r="AA417" s="30" t="b">
        <x:f>Z417</x:f>
        <x:v>1</x:v>
      </x:c>
      <x:c r="AB417" s="30" t="str">
        <x:f>IF(Z417,"verified_coordinate_and_open","not_map_ready")</x:f>
        <x:v>verified_coordinate_and_open</x:v>
      </x:c>
      <x:c r="AC417" s="30" t="str">
        <x:v>Open</x:v>
      </x:c>
      <x:c r="AD417" s="30" t="str">
        <x:v>Public — handicap 54 or lower</x:v>
      </x:c>
      <x:c r="AE417" s="31" t="b">
        <x:v>1</x:v>
      </x:c>
      <x:c r="AF417" s="31" t="b">
        <x:v>0</x:v>
      </x:c>
      <x:c r="AG417" s="30"/>
      <x:c r="AH417" s="30"/>
      <x:c r="AI417" s="30"/>
      <x:c r="AJ417" s="31" t="b">
        <x:v>0</x:v>
      </x:c>
      <x:c r="AK417" s="31" t="b">
        <x:v>0</x:v>
      </x:c>
      <x:c r="AL417" s="30" t="str">
        <x:v>Verified — national register and exact BAG address</x:v>
      </x:c>
      <x:c r="AM417" s="30" t="str">
        <x:v>https://www.golf.nl/de-baan-op/banenzoeker/overzicht</x:v>
      </x:c>
      <x:c r="AN417" s="30" t="str">
        <x:v>2026-08-15</x:v>
      </x:c>
      <x:c r="AO417" s="30" t="str">
        <x:v>+31 10-5018058</x:v>
      </x:c>
      <x:c r="AP417" s="30" t="str">
        <x:v>Current NGF/GOLF.NL listing: 18 holes, par 71, 5748 metres. Combined from exact NGF-listed constituent nine-hole loops: 1ste negen (9 holes, par 36, 2904 m); 2de negen (9 holes, par 35, 2844 m) Listed as qualifying.</x:v>
      </x:c>
    </x:row>
    <x:row r="418">
      <x:c r="A418" s="30" t="str">
        <x:v>NL-C0275</x:v>
      </x:c>
      <x:c r="B418" s="30" t="str">
        <x:v>NL-0417</x:v>
      </x:c>
      <x:c r="C418" s="30" t="str">
        <x:v>Rijswijkse Golfclub — Main Course</x:v>
      </x:c>
      <x:c r="D418" s="30" t="str">
        <x:v>Rijswijkse Golfclub</x:v>
      </x:c>
      <x:c r="E418" s="30" t="str">
        <x:v>Main Course</x:v>
      </x:c>
      <x:c r="F418" s="30" t="str">
        <x:v>Netherlands</x:v>
      </x:c>
      <x:c r="G418" s="30" t="str">
        <x:v>Zuid-Holland</x:v>
      </x:c>
      <x:c r="H418" s="30" t="str">
        <x:v>Rijswijk</x:v>
      </x:c>
      <x:c r="I418" s="30" t="str">
        <x:v>Rijswijk</x:v>
      </x:c>
      <x:c r="J418" s="30" t="str">
        <x:v>Delftweg 59</x:v>
      </x:c>
      <x:c r="K418" s="30" t="str">
        <x:v>2289 AL</x:v>
      </x:c>
      <x:c r="L418" s="32" t="n">
        <x:v>52.03365882</x:v>
      </x:c>
      <x:c r="M418" s="32" t="n">
        <x:v>4.35079652</x:v>
      </x:c>
      <x:c r="N418" s="30" t="str">
        <x:v>WGS84 / EPSG:4326</x:v>
      </x:c>
      <x:c r="O418" s="30" t="str">
        <x:v>Verified BAG address point via PDOK</x:v>
      </x:c>
      <x:c r="P418" s="30" t="str">
        <x:v>2026-08-15</x:v>
      </x:c>
      <x:c r="Q418" s="33" t="n">
        <x:f>IF(R418="","",ROUND(R418/0.9144,0))</x:f>
        <x:v>6564</x:v>
      </x:c>
      <x:c r="R418" s="33" t="n">
        <x:v>6002</x:v>
      </x:c>
      <x:c r="S418" s="33" t="n">
        <x:v>18</x:v>
      </x:c>
      <x:c r="T418" s="33" t="n">
        <x:v>71</x:v>
      </x:c>
      <x:c r="U418" s="30" t="str">
        <x:v>Full-length course</x:v>
      </x:c>
      <x:c r="V418" s="30"/>
      <x:c r="W418" s="30"/>
      <x:c r="X418" s="30"/>
      <x:c r="Y418" s="30" t="str">
        <x:v>https://www.rijswijksegolf.nl/</x:v>
      </x:c>
      <x:c r="Z418" s="30" t="b">
        <x:f>IF(AND(F418="Netherlands",ISNUMBER(L418),ISNUMBER(M418),L418&gt;=50.7,L418&lt;=53.7,M418&gt;=3.2,M418&lt;=7.3,AC418&lt;&gt;"Closed"),TRUE,FALSE)</x:f>
        <x:v>1</x:v>
      </x:c>
      <x:c r="AA418" s="30" t="b">
        <x:f>Z418</x:f>
        <x:v>1</x:v>
      </x:c>
      <x:c r="AB418" s="30" t="str">
        <x:f>IF(Z418,"verified_coordinate_and_open","not_map_ready")</x:f>
        <x:v>verified_coordinate_and_open</x:v>
      </x:c>
      <x:c r="AC418" s="30" t="str">
        <x:v>Open</x:v>
      </x:c>
      <x:c r="AD418" s="30" t="str">
        <x:v>Public — handicap 54 or lower</x:v>
      </x:c>
      <x:c r="AE418" s="31" t="b">
        <x:v>1</x:v>
      </x:c>
      <x:c r="AF418" s="31" t="b">
        <x:v>0</x:v>
      </x:c>
      <x:c r="AG418" s="30"/>
      <x:c r="AH418" s="30"/>
      <x:c r="AI418" s="30"/>
      <x:c r="AJ418" s="31" t="b">
        <x:v>0</x:v>
      </x:c>
      <x:c r="AK418" s="31" t="b">
        <x:v>0</x:v>
      </x:c>
      <x:c r="AL418" s="30" t="str">
        <x:v>Verified — national register and exact BAG address</x:v>
      </x:c>
      <x:c r="AM418" s="30" t="str">
        <x:v>https://www.golf.nl/de-baan-op/banenzoeker/overzicht</x:v>
      </x:c>
      <x:c r="AN418" s="30" t="str">
        <x:v>2026-08-15</x:v>
      </x:c>
      <x:c r="AO418" s="30" t="str">
        <x:v>+31 70-3192424</x:v>
      </x:c>
      <x:c r="AP418" s="30" t="str">
        <x:v>Current NGF/GOLF.NL listing: 18 holes, par 71, 6002 metres. Combined from exact NGF-listed constituent nine-hole loops: 1ste negen (9 holes, par 35, 2867 m); 2de negen (9 holes, par 36, 3135 m) Listed as qualifying.</x:v>
      </x:c>
    </x:row>
    <x:row r="419">
      <x:c r="A419" s="30" t="str">
        <x:v>NL-C0276</x:v>
      </x:c>
      <x:c r="B419" s="30" t="str">
        <x:v>NL-0418</x:v>
      </x:c>
      <x:c r="C419" s="30" t="str">
        <x:v>Wassenaarse Golf Groendael</x:v>
      </x:c>
      <x:c r="D419" s="30" t="str">
        <x:v>Wassenaarse Golf Groendael</x:v>
      </x:c>
      <x:c r="E419" s="30" t="str">
        <x:v>Course</x:v>
      </x:c>
      <x:c r="F419" s="30" t="str">
        <x:v>Netherlands</x:v>
      </x:c>
      <x:c r="G419" s="30" t="str">
        <x:v>Zuid-Holland</x:v>
      </x:c>
      <x:c r="H419" s="30" t="str">
        <x:v>Wassenaar</x:v>
      </x:c>
      <x:c r="I419" s="30" t="str">
        <x:v>Wassenaar</x:v>
      </x:c>
      <x:c r="J419" s="30" t="str">
        <x:v>Groenendaal 3</x:v>
      </x:c>
      <x:c r="K419" s="30" t="str">
        <x:v>2244 BK</x:v>
      </x:c>
      <x:c r="L419" s="32" t="n">
        <x:v>52.10905927</x:v>
      </x:c>
      <x:c r="M419" s="32" t="n">
        <x:v>4.33656892</x:v>
      </x:c>
      <x:c r="N419" s="30" t="str">
        <x:v>WGS84 / EPSG:4326</x:v>
      </x:c>
      <x:c r="O419" s="30" t="str">
        <x:v>Verified BAG address point via PDOK</x:v>
      </x:c>
      <x:c r="P419" s="30" t="str">
        <x:v>2026-08-15</x:v>
      </x:c>
      <x:c r="Q419" s="33" t="n">
        <x:f>IF(R419="","",ROUND(R419/0.9144,0))</x:f>
        <x:v>2893</x:v>
      </x:c>
      <x:c r="R419" s="33" t="n">
        <x:v>2645</x:v>
      </x:c>
      <x:c r="S419" s="33" t="n">
        <x:v>9</x:v>
      </x:c>
      <x:c r="T419" s="33" t="n">
        <x:v>35</x:v>
      </x:c>
      <x:c r="U419" s="30" t="str">
        <x:v>Full-length course</x:v>
      </x:c>
      <x:c r="V419" s="30"/>
      <x:c r="W419" s="30"/>
      <x:c r="X419" s="30"/>
      <x:c r="Y419" s="30" t="str">
        <x:v>https://groendael.nl/</x:v>
      </x:c>
      <x:c r="Z419" s="30" t="b">
        <x:f>IF(AND(F419="Netherlands",ISNUMBER(L419),ISNUMBER(M419),L419&gt;=50.7,L419&lt;=53.7,M419&gt;=3.2,M419&lt;=7.3,AC419&lt;&gt;"Closed"),TRUE,FALSE)</x:f>
        <x:v>1</x:v>
      </x:c>
      <x:c r="AA419" s="30" t="b">
        <x:f>Z419</x:f>
        <x:v>1</x:v>
      </x:c>
      <x:c r="AB419" s="30" t="str">
        <x:f>IF(Z419,"verified_coordinate_and_open","not_map_ready")</x:f>
        <x:v>verified_coordinate_and_open</x:v>
      </x:c>
      <x:c r="AC419" s="30" t="str">
        <x:v>Open</x:v>
      </x:c>
      <x:c r="AD419" s="30" t="str">
        <x:v>Public — handicap 28 or lower</x:v>
      </x:c>
      <x:c r="AE419" s="31" t="b">
        <x:v>1</x:v>
      </x:c>
      <x:c r="AF419" s="31" t="b">
        <x:v>0</x:v>
      </x:c>
      <x:c r="AG419" s="30"/>
      <x:c r="AH419" s="30"/>
      <x:c r="AI419" s="30"/>
      <x:c r="AJ419" s="31" t="b">
        <x:v>0</x:v>
      </x:c>
      <x:c r="AK419" s="31" t="b">
        <x:v>0</x:v>
      </x:c>
      <x:c r="AL419" s="30" t="str">
        <x:v>Verified — national register and exact BAG address</x:v>
      </x:c>
      <x:c r="AM419" s="30" t="str">
        <x:v>https://www.golf.nl/de-baan-op/banenzoeker/overzicht</x:v>
      </x:c>
      <x:c r="AN419" s="30" t="str">
        <x:v>2026-08-15</x:v>
      </x:c>
      <x:c r="AO419" s="30" t="str">
        <x:v>+31 70-3144000</x:v>
      </x:c>
      <x:c r="AP419" s="30" t="str">
        <x:v>Current NGF/GOLF.NL listing: 9 holes, par 35, 2645 metres. Listed as qualifying.</x:v>
      </x:c>
    </x:row>
    <x:row r="420">
      <x:c r="A420" s="30" t="str">
        <x:v>NL-C0277</x:v>
      </x:c>
      <x:c r="B420" s="30" t="str">
        <x:v>NL-0419</x:v>
      </x:c>
      <x:c r="C420" s="30" t="str">
        <x:v>Wassenaarse Golfclub Rozenstein — Main Course</x:v>
      </x:c>
      <x:c r="D420" s="30" t="str">
        <x:v>Wassenaarse Golfclub Rozenstein</x:v>
      </x:c>
      <x:c r="E420" s="30" t="str">
        <x:v>Main Course</x:v>
      </x:c>
      <x:c r="F420" s="30" t="str">
        <x:v>Netherlands</x:v>
      </x:c>
      <x:c r="G420" s="30" t="str">
        <x:v>Zuid-Holland</x:v>
      </x:c>
      <x:c r="H420" s="30" t="str">
        <x:v>Wassenaar</x:v>
      </x:c>
      <x:c r="I420" s="30" t="str">
        <x:v>Wassenaar</x:v>
      </x:c>
      <x:c r="J420" s="30" t="str">
        <x:v>Dr. Mansveltkade 15</x:v>
      </x:c>
      <x:c r="K420" s="30" t="str">
        <x:v>2242 TZ</x:v>
      </x:c>
      <x:c r="L420" s="32" t="n">
        <x:v>52.15401149</x:v>
      </x:c>
      <x:c r="M420" s="32" t="n">
        <x:v>4.39267119</x:v>
      </x:c>
      <x:c r="N420" s="30" t="str">
        <x:v>WGS84 / EPSG:4326</x:v>
      </x:c>
      <x:c r="O420" s="30" t="str">
        <x:v>Verified BAG address point via PDOK</x:v>
      </x:c>
      <x:c r="P420" s="30" t="str">
        <x:v>2026-08-15</x:v>
      </x:c>
      <x:c r="Q420" s="33" t="n">
        <x:f>IF(R420="","",ROUND(R420/0.9144,0))</x:f>
        <x:v>6087</x:v>
      </x:c>
      <x:c r="R420" s="33" t="n">
        <x:v>5566</x:v>
      </x:c>
      <x:c r="S420" s="33" t="n">
        <x:v>18</x:v>
      </x:c>
      <x:c r="T420" s="33" t="n">
        <x:v>71</x:v>
      </x:c>
      <x:c r="U420" s="30" t="str">
        <x:v>Full-length course</x:v>
      </x:c>
      <x:c r="V420" s="30"/>
      <x:c r="W420" s="30"/>
      <x:c r="X420" s="30"/>
      <x:c r="Y420" s="30" t="str">
        <x:v>https://rozenstein.nl/</x:v>
      </x:c>
      <x:c r="Z420" s="30" t="b">
        <x:f>IF(AND(F420="Netherlands",ISNUMBER(L420),ISNUMBER(M420),L420&gt;=50.7,L420&lt;=53.7,M420&gt;=3.2,M420&lt;=7.3,AC420&lt;&gt;"Closed"),TRUE,FALSE)</x:f>
        <x:v>1</x:v>
      </x:c>
      <x:c r="AA420" s="30" t="b">
        <x:f>Z420</x:f>
        <x:v>1</x:v>
      </x:c>
      <x:c r="AB420" s="30" t="str">
        <x:f>IF(Z420,"verified_coordinate_and_open","not_map_ready")</x:f>
        <x:v>verified_coordinate_and_open</x:v>
      </x:c>
      <x:c r="AC420" s="30" t="str">
        <x:v>Open</x:v>
      </x:c>
      <x:c r="AD420" s="30" t="str">
        <x:v>Public — handicap 54 or lower</x:v>
      </x:c>
      <x:c r="AE420" s="31" t="b">
        <x:v>1</x:v>
      </x:c>
      <x:c r="AF420" s="31" t="b">
        <x:v>0</x:v>
      </x:c>
      <x:c r="AG420" s="30"/>
      <x:c r="AH420" s="30"/>
      <x:c r="AI420" s="30"/>
      <x:c r="AJ420" s="31" t="b">
        <x:v>0</x:v>
      </x:c>
      <x:c r="AK420" s="31" t="b">
        <x:v>0</x:v>
      </x:c>
      <x:c r="AL420" s="30" t="str">
        <x:v>Verified — national register and exact BAG address</x:v>
      </x:c>
      <x:c r="AM420" s="30" t="str">
        <x:v>https://www.golf.nl/de-baan-op/banenzoeker/overzicht</x:v>
      </x:c>
      <x:c r="AN420" s="30" t="str">
        <x:v>2026-08-15</x:v>
      </x:c>
      <x:c r="AO420" s="30" t="str">
        <x:v>+31 70-5117846</x:v>
      </x:c>
      <x:c r="AP420" s="30" t="str">
        <x:v>Current NGF/GOLF.NL listing: 18 holes, par 71, 5566 metres. Combined from exact NGF-listed constituent nine-hole loops: 1ste negen (9 holes, par 36, 2938 m); 2de negen (9 holes, par 35, 2628 m) Listed as qualifying.</x:v>
      </x:c>
    </x:row>
  </x:sheetData>
  <x:pageMargins left="0.7" right="0.7" top="0.75" bottom="0.75" header="0.3" footer="0.3"/>
  <x:tableParts count="1">
    <x:tablePart xmlns:r="http://schemas.openxmlformats.org/officeDocument/2006/relationships" r:id="Rc1d0460ffc8e4ed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7" hidden="0" customWidth="1"/>
    <x:col min="2" max="2" width="34" hidden="0" customWidth="1"/>
    <x:col min="3" max="3" width="34" hidden="0" customWidth="1"/>
    <x:col min="4" max="4" width="34"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38" hidden="0" customWidth="1"/>
    <x:col min="20" max="20" width="17" hidden="0" customWidth="1"/>
    <x:col min="21" max="21" width="17" hidden="0" customWidth="1"/>
    <x:col min="22" max="22" width="17" hidden="0" customWidth="1"/>
  </x:cols>
  <x:sheetData>
    <x:row r="1">
      <x:c r="A1" s="25" t="str">
        <x:v>hl_course_id</x:v>
      </x:c>
      <x:c r="B1" s="26" t="str">
        <x:v>display_name</x:v>
      </x:c>
      <x:c r="C1" s="26" t="str">
        <x:v>club_name</x:v>
      </x:c>
      <x:c r="D1" s="26" t="str">
        <x:v>course_name</x:v>
      </x:c>
      <x:c r="E1" s="26" t="str">
        <x:v>country</x:v>
      </x:c>
      <x:c r="F1" s="26" t="str">
        <x:v>region</x:v>
      </x:c>
      <x:c r="G1" s="26" t="str">
        <x:v>county</x:v>
      </x:c>
      <x:c r="H1" s="26" t="str">
        <x:v>town_city</x:v>
      </x:c>
      <x:c r="I1" s="26" t="str">
        <x:v>postal_code</x:v>
      </x:c>
      <x:c r="J1" s="26" t="str">
        <x:v>latitude</x:v>
      </x:c>
      <x:c r="K1" s="26" t="str">
        <x:v>longitude</x:v>
      </x:c>
      <x:c r="L1" s="26" t="str">
        <x:v>holes</x:v>
      </x:c>
      <x:c r="M1" s="26" t="str">
        <x:v>par</x:v>
      </x:c>
      <x:c r="N1" s="26" t="str">
        <x:v>length_yards</x:v>
      </x:c>
      <x:c r="O1" s="26" t="str">
        <x:v>length_metres</x:v>
      </x:c>
      <x:c r="P1" s="26" t="str">
        <x:v>course_type</x:v>
      </x:c>
      <x:c r="Q1" s="26" t="str">
        <x:v>access_type</x:v>
      </x:c>
      <x:c r="R1" s="26" t="str">
        <x:v>course_status</x:v>
      </x:c>
      <x:c r="S1" s="26" t="str">
        <x:v>official_website_url</x:v>
      </x:c>
      <x:c r="T1" s="26" t="str">
        <x:v>map_ready</x:v>
      </x:c>
      <x:c r="U1" s="26" t="str">
        <x:v>show_on_map</x:v>
      </x:c>
      <x:c r="V1" s="27" t="str">
        <x:v>verification_status</x:v>
      </x:c>
    </x:row>
    <x:row r="2">
      <x:c r="A2" s="28" t="str">
        <x:f>IF('Course_Master'!B2="","",'Course_Master'!B2)</x:f>
        <x:v>NL-0001</x:v>
      </x:c>
      <x:c r="B2" s="28" t="str">
        <x:f>IF('Course_Master'!C2="","",'Course_Master'!C2)</x:f>
        <x:v>Country Golf Ees — Par-3 Course</x:v>
      </x:c>
      <x:c r="C2" s="28" t="str">
        <x:f>IF('Course_Master'!D2="","",'Course_Master'!D2)</x:f>
        <x:v>Country Golf Ees</x:v>
      </x:c>
      <x:c r="D2" s="28" t="str">
        <x:f>IF('Course_Master'!E2="","",'Course_Master'!E2)</x:f>
        <x:v>Par-3 Course</x:v>
      </x:c>
      <x:c r="E2" s="28" t="str">
        <x:f>IF('Course_Master'!F2="","",'Course_Master'!F2)</x:f>
        <x:v>Netherlands</x:v>
      </x:c>
      <x:c r="F2" s="28" t="str">
        <x:f>IF('Course_Master'!G2="","",'Course_Master'!G2)</x:f>
        <x:v>Drenthe</x:v>
      </x:c>
      <x:c r="G2" s="28" t="str">
        <x:f>IF('Course_Master'!H2="","",'Course_Master'!H2)</x:f>
        <x:v>Borger-Odoorn</x:v>
      </x:c>
      <x:c r="H2" s="28" t="str">
        <x:f>IF('Course_Master'!I2="","",'Course_Master'!I2)</x:f>
        <x:v>Ees</x:v>
      </x:c>
      <x:c r="I2" s="28" t="str">
        <x:f>IF('Course_Master'!K2="","",'Course_Master'!K2)</x:f>
        <x:v>9536 PR</x:v>
      </x:c>
      <x:c r="J2" s="34" t="n">
        <x:f>IF('Course_Master'!L2="","",'Course_Master'!L2)</x:f>
        <x:v>52.90667054</x:v>
      </x:c>
      <x:c r="K2" s="34" t="n">
        <x:f>IF('Course_Master'!M2="","",'Course_Master'!M2)</x:f>
        <x:v>6.81355913</x:v>
      </x:c>
      <x:c r="L2" s="28" t="n">
        <x:f>IF('Course_Master'!S2="","",'Course_Master'!S2)</x:f>
        <x:v>18</x:v>
      </x:c>
      <x:c r="M2" s="28" t="n">
        <x:f>IF('Course_Master'!T2="","",'Course_Master'!T2)</x:f>
        <x:v>54</x:v>
      </x:c>
      <x:c r="N2" s="28" t="n">
        <x:f>IF('Course_Master'!Q2="","",'Course_Master'!Q2)</x:f>
        <x:v>1482</x:v>
      </x:c>
      <x:c r="O2" s="28" t="n">
        <x:f>IF('Course_Master'!R2="","",'Course_Master'!R2)</x:f>
        <x:v>1355</x:v>
      </x:c>
      <x:c r="P2" s="28" t="str">
        <x:f>IF('Course_Master'!U2="","",'Course_Master'!U2)</x:f>
        <x:v>Par-3 course</x:v>
      </x:c>
      <x:c r="Q2" s="28" t="str">
        <x:f>IF('Course_Master'!AD2="","",'Course_Master'!AD2)</x:f>
        <x:v>Public — no playing requirement</x:v>
      </x:c>
      <x:c r="R2" s="28" t="str">
        <x:f>IF('Course_Master'!AC2="","",'Course_Master'!AC2)</x:f>
        <x:v>Open</x:v>
      </x:c>
      <x:c r="S2" s="28" t="str">
        <x:f>IF('Course_Master'!Y2="","",'Course_Master'!Y2)</x:f>
        <x:v>https://countrygolfees.nl/</x:v>
      </x:c>
      <x:c r="T2" s="28" t="b">
        <x:f>IF('Course_Master'!Z2="","",'Course_Master'!Z2)</x:f>
        <x:v>1</x:v>
      </x:c>
      <x:c r="U2" s="28" t="b">
        <x:f>IF('Course_Master'!AA2="","",'Course_Master'!AA2)</x:f>
        <x:v>1</x:v>
      </x:c>
      <x:c r="V2" s="28" t="str">
        <x:f>IF('Course_Master'!AL2="","",'Course_Master'!AL2)</x:f>
        <x:v>Verified — national register and exact BAG address</x:v>
      </x:c>
    </x:row>
    <x:row r="3">
      <x:c r="A3" s="28" t="str">
        <x:f>IF('Course_Master'!B3="","",'Course_Master'!B3)</x:f>
        <x:v>NL-0002</x:v>
      </x:c>
      <x:c r="B3" s="28" t="str">
        <x:f>IF('Course_Master'!C3="","",'Course_Master'!C3)</x:f>
        <x:v>Drentsche Golf &amp; Country Club — Geel</x:v>
      </x:c>
      <x:c r="C3" s="28" t="str">
        <x:f>IF('Course_Master'!D3="","",'Course_Master'!D3)</x:f>
        <x:v>Drentsche Golf &amp; Country Club</x:v>
      </x:c>
      <x:c r="D3" s="28" t="str">
        <x:f>IF('Course_Master'!E3="","",'Course_Master'!E3)</x:f>
        <x:v>Geel</x:v>
      </x:c>
      <x:c r="E3" s="28" t="str">
        <x:f>IF('Course_Master'!F3="","",'Course_Master'!F3)</x:f>
        <x:v>Netherlands</x:v>
      </x:c>
      <x:c r="F3" s="28" t="str">
        <x:f>IF('Course_Master'!G3="","",'Course_Master'!G3)</x:f>
        <x:v>Drenthe</x:v>
      </x:c>
      <x:c r="G3" s="28" t="str">
        <x:f>IF('Course_Master'!H3="","",'Course_Master'!H3)</x:f>
        <x:v>Assen</x:v>
      </x:c>
      <x:c r="H3" s="28" t="str">
        <x:f>IF('Course_Master'!I3="","",'Course_Master'!I3)</x:f>
        <x:v>Zeijerveen</x:v>
      </x:c>
      <x:c r="I3" s="28" t="str">
        <x:f>IF('Course_Master'!K3="","",'Course_Master'!K3)</x:f>
        <x:v>9489 TH</x:v>
      </x:c>
      <x:c r="J3" s="34" t="n">
        <x:f>IF('Course_Master'!L3="","",'Course_Master'!L3)</x:f>
        <x:v>53.01761741</x:v>
      </x:c>
      <x:c r="K3" s="34" t="n">
        <x:f>IF('Course_Master'!M3="","",'Course_Master'!M3)</x:f>
        <x:v>6.52863005</x:v>
      </x:c>
      <x:c r="L3" s="28" t="n">
        <x:f>IF('Course_Master'!S3="","",'Course_Master'!S3)</x:f>
        <x:v>9</x:v>
      </x:c>
      <x:c r="M3" s="28" t="n">
        <x:f>IF('Course_Master'!T3="","",'Course_Master'!T3)</x:f>
        <x:v>35</x:v>
      </x:c>
      <x:c r="N3" s="28" t="n">
        <x:f>IF('Course_Master'!Q3="","",'Course_Master'!Q3)</x:f>
        <x:v>2847</x:v>
      </x:c>
      <x:c r="O3" s="28" t="n">
        <x:f>IF('Course_Master'!R3="","",'Course_Master'!R3)</x:f>
        <x:v>2603</x:v>
      </x:c>
      <x:c r="P3" s="28" t="str">
        <x:f>IF('Course_Master'!U3="","",'Course_Master'!U3)</x:f>
        <x:v>Full-length course</x:v>
      </x:c>
      <x:c r="Q3" s="28" t="str">
        <x:f>IF('Course_Master'!AD3="","",'Course_Master'!AD3)</x:f>
        <x:v>Public — handicap 54 or lower</x:v>
      </x:c>
      <x:c r="R3" s="28" t="str">
        <x:f>IF('Course_Master'!AC3="","",'Course_Master'!AC3)</x:f>
        <x:v>Open</x:v>
      </x:c>
      <x:c r="S3" s="28" t="str">
        <x:f>IF('Course_Master'!Y3="","",'Course_Master'!Y3)</x:f>
        <x:v>https://dgcc.nl/</x:v>
      </x:c>
      <x:c r="T3" s="28" t="b">
        <x:f>IF('Course_Master'!Z3="","",'Course_Master'!Z3)</x:f>
        <x:v>1</x:v>
      </x:c>
      <x:c r="U3" s="28" t="b">
        <x:f>IF('Course_Master'!AA3="","",'Course_Master'!AA3)</x:f>
        <x:v>1</x:v>
      </x:c>
      <x:c r="V3" s="28" t="str">
        <x:f>IF('Course_Master'!AL3="","",'Course_Master'!AL3)</x:f>
        <x:v>Verified — national register and exact BAG address</x:v>
      </x:c>
    </x:row>
    <x:row r="4">
      <x:c r="A4" s="28" t="str">
        <x:f>IF('Course_Master'!B4="","",'Course_Master'!B4)</x:f>
        <x:v>NL-0003</x:v>
      </x:c>
      <x:c r="B4" s="28" t="str">
        <x:f>IF('Course_Master'!C4="","",'Course_Master'!C4)</x:f>
        <x:v>Drentsche Golf &amp; Country Club — Par-3 Course</x:v>
      </x:c>
      <x:c r="C4" s="28" t="str">
        <x:f>IF('Course_Master'!D4="","",'Course_Master'!D4)</x:f>
        <x:v>Drentsche Golf &amp; Country Club</x:v>
      </x:c>
      <x:c r="D4" s="28" t="str">
        <x:f>IF('Course_Master'!E4="","",'Course_Master'!E4)</x:f>
        <x:v>Par-3 Course</x:v>
      </x:c>
      <x:c r="E4" s="28" t="str">
        <x:f>IF('Course_Master'!F4="","",'Course_Master'!F4)</x:f>
        <x:v>Netherlands</x:v>
      </x:c>
      <x:c r="F4" s="28" t="str">
        <x:f>IF('Course_Master'!G4="","",'Course_Master'!G4)</x:f>
        <x:v>Drenthe</x:v>
      </x:c>
      <x:c r="G4" s="28" t="str">
        <x:f>IF('Course_Master'!H4="","",'Course_Master'!H4)</x:f>
        <x:v>Assen</x:v>
      </x:c>
      <x:c r="H4" s="28" t="str">
        <x:f>IF('Course_Master'!I4="","",'Course_Master'!I4)</x:f>
        <x:v>Zeijerveen</x:v>
      </x:c>
      <x:c r="I4" s="28" t="str">
        <x:f>IF('Course_Master'!K4="","",'Course_Master'!K4)</x:f>
        <x:v>9489 TH</x:v>
      </x:c>
      <x:c r="J4" s="34" t="n">
        <x:f>IF('Course_Master'!L4="","",'Course_Master'!L4)</x:f>
        <x:v>53.01761741</x:v>
      </x:c>
      <x:c r="K4" s="34" t="n">
        <x:f>IF('Course_Master'!M4="","",'Course_Master'!M4)</x:f>
        <x:v>6.52863005</x:v>
      </x:c>
      <x:c r="L4" s="28" t="n">
        <x:f>IF('Course_Master'!S4="","",'Course_Master'!S4)</x:f>
        <x:v>9</x:v>
      </x:c>
      <x:c r="M4" s="28" t="n">
        <x:f>IF('Course_Master'!T4="","",'Course_Master'!T4)</x:f>
        <x:v>27</x:v>
      </x:c>
      <x:c r="N4" s="28" t="n">
        <x:f>IF('Course_Master'!Q4="","",'Course_Master'!Q4)</x:f>
        <x:v>960</x:v>
      </x:c>
      <x:c r="O4" s="28" t="n">
        <x:f>IF('Course_Master'!R4="","",'Course_Master'!R4)</x:f>
        <x:v>878</x:v>
      </x:c>
      <x:c r="P4" s="28" t="str">
        <x:f>IF('Course_Master'!U4="","",'Course_Master'!U4)</x:f>
        <x:v>Par-3 course</x:v>
      </x:c>
      <x:c r="Q4" s="28" t="str">
        <x:f>IF('Course_Master'!AD4="","",'Course_Master'!AD4)</x:f>
        <x:v>Public — NGF course permission</x:v>
      </x:c>
      <x:c r="R4" s="28" t="str">
        <x:f>IF('Course_Master'!AC4="","",'Course_Master'!AC4)</x:f>
        <x:v>Open</x:v>
      </x:c>
      <x:c r="S4" s="28" t="str">
        <x:f>IF('Course_Master'!Y4="","",'Course_Master'!Y4)</x:f>
        <x:v>https://dgcc.nl/</x:v>
      </x:c>
      <x:c r="T4" s="28" t="b">
        <x:f>IF('Course_Master'!Z4="","",'Course_Master'!Z4)</x:f>
        <x:v>1</x:v>
      </x:c>
      <x:c r="U4" s="28" t="b">
        <x:f>IF('Course_Master'!AA4="","",'Course_Master'!AA4)</x:f>
        <x:v>1</x:v>
      </x:c>
      <x:c r="V4" s="28" t="str">
        <x:f>IF('Course_Master'!AL4="","",'Course_Master'!AL4)</x:f>
        <x:v>Verified — national register and exact BAG address</x:v>
      </x:c>
    </x:row>
    <x:row r="5">
      <x:c r="A5" s="28" t="str">
        <x:f>IF('Course_Master'!B5="","",'Course_Master'!B5)</x:f>
        <x:v>NL-0004</x:v>
      </x:c>
      <x:c r="B5" s="28" t="str">
        <x:f>IF('Course_Master'!C5="","",'Course_Master'!C5)</x:f>
        <x:v>Drentsche Golf &amp; Country Club — Rood</x:v>
      </x:c>
      <x:c r="C5" s="28" t="str">
        <x:f>IF('Course_Master'!D5="","",'Course_Master'!D5)</x:f>
        <x:v>Drentsche Golf &amp; Country Club</x:v>
      </x:c>
      <x:c r="D5" s="28" t="str">
        <x:f>IF('Course_Master'!E5="","",'Course_Master'!E5)</x:f>
        <x:v>Rood</x:v>
      </x:c>
      <x:c r="E5" s="28" t="str">
        <x:f>IF('Course_Master'!F5="","",'Course_Master'!F5)</x:f>
        <x:v>Netherlands</x:v>
      </x:c>
      <x:c r="F5" s="28" t="str">
        <x:f>IF('Course_Master'!G5="","",'Course_Master'!G5)</x:f>
        <x:v>Drenthe</x:v>
      </x:c>
      <x:c r="G5" s="28" t="str">
        <x:f>IF('Course_Master'!H5="","",'Course_Master'!H5)</x:f>
        <x:v>Assen</x:v>
      </x:c>
      <x:c r="H5" s="28" t="str">
        <x:f>IF('Course_Master'!I5="","",'Course_Master'!I5)</x:f>
        <x:v>Zeijerveen</x:v>
      </x:c>
      <x:c r="I5" s="28" t="str">
        <x:f>IF('Course_Master'!K5="","",'Course_Master'!K5)</x:f>
        <x:v>9489 TH</x:v>
      </x:c>
      <x:c r="J5" s="34" t="n">
        <x:f>IF('Course_Master'!L5="","",'Course_Master'!L5)</x:f>
        <x:v>53.01761741</x:v>
      </x:c>
      <x:c r="K5" s="34" t="n">
        <x:f>IF('Course_Master'!M5="","",'Course_Master'!M5)</x:f>
        <x:v>6.52863005</x:v>
      </x:c>
      <x:c r="L5" s="28" t="n">
        <x:f>IF('Course_Master'!S5="","",'Course_Master'!S5)</x:f>
        <x:v>9</x:v>
      </x:c>
      <x:c r="M5" s="28" t="n">
        <x:f>IF('Course_Master'!T5="","",'Course_Master'!T5)</x:f>
        <x:v>37</x:v>
      </x:c>
      <x:c r="N5" s="28" t="n">
        <x:f>IF('Course_Master'!Q5="","",'Course_Master'!Q5)</x:f>
        <x:v>3215</x:v>
      </x:c>
      <x:c r="O5" s="28" t="n">
        <x:f>IF('Course_Master'!R5="","",'Course_Master'!R5)</x:f>
        <x:v>2940</x:v>
      </x:c>
      <x:c r="P5" s="28" t="str">
        <x:f>IF('Course_Master'!U5="","",'Course_Master'!U5)</x:f>
        <x:v>Full-length course</x:v>
      </x:c>
      <x:c r="Q5" s="28" t="str">
        <x:f>IF('Course_Master'!AD5="","",'Course_Master'!AD5)</x:f>
        <x:v>Public — handicap 54 or lower</x:v>
      </x:c>
      <x:c r="R5" s="28" t="str">
        <x:f>IF('Course_Master'!AC5="","",'Course_Master'!AC5)</x:f>
        <x:v>Open</x:v>
      </x:c>
      <x:c r="S5" s="28" t="str">
        <x:f>IF('Course_Master'!Y5="","",'Course_Master'!Y5)</x:f>
        <x:v>https://dgcc.nl/</x:v>
      </x:c>
      <x:c r="T5" s="28" t="b">
        <x:f>IF('Course_Master'!Z5="","",'Course_Master'!Z5)</x:f>
        <x:v>1</x:v>
      </x:c>
      <x:c r="U5" s="28" t="b">
        <x:f>IF('Course_Master'!AA5="","",'Course_Master'!AA5)</x:f>
        <x:v>1</x:v>
      </x:c>
      <x:c r="V5" s="28" t="str">
        <x:f>IF('Course_Master'!AL5="","",'Course_Master'!AL5)</x:f>
        <x:v>Verified — national register and exact BAG address</x:v>
      </x:c>
    </x:row>
    <x:row r="6">
      <x:c r="A6" s="28" t="str">
        <x:f>IF('Course_Master'!B6="","",'Course_Master'!B6)</x:f>
        <x:v>NL-0005</x:v>
      </x:c>
      <x:c r="B6" s="28" t="str">
        <x:f>IF('Course_Master'!C6="","",'Course_Master'!C6)</x:f>
        <x:v>Drentsche Golf &amp; Country Club — Wit</x:v>
      </x:c>
      <x:c r="C6" s="28" t="str">
        <x:f>IF('Course_Master'!D6="","",'Course_Master'!D6)</x:f>
        <x:v>Drentsche Golf &amp; Country Club</x:v>
      </x:c>
      <x:c r="D6" s="28" t="str">
        <x:f>IF('Course_Master'!E6="","",'Course_Master'!E6)</x:f>
        <x:v>Wit</x:v>
      </x:c>
      <x:c r="E6" s="28" t="str">
        <x:f>IF('Course_Master'!F6="","",'Course_Master'!F6)</x:f>
        <x:v>Netherlands</x:v>
      </x:c>
      <x:c r="F6" s="28" t="str">
        <x:f>IF('Course_Master'!G6="","",'Course_Master'!G6)</x:f>
        <x:v>Drenthe</x:v>
      </x:c>
      <x:c r="G6" s="28" t="str">
        <x:f>IF('Course_Master'!H6="","",'Course_Master'!H6)</x:f>
        <x:v>Assen</x:v>
      </x:c>
      <x:c r="H6" s="28" t="str">
        <x:f>IF('Course_Master'!I6="","",'Course_Master'!I6)</x:f>
        <x:v>Zeijerveen</x:v>
      </x:c>
      <x:c r="I6" s="28" t="str">
        <x:f>IF('Course_Master'!K6="","",'Course_Master'!K6)</x:f>
        <x:v>9489 TH</x:v>
      </x:c>
      <x:c r="J6" s="34" t="n">
        <x:f>IF('Course_Master'!L6="","",'Course_Master'!L6)</x:f>
        <x:v>53.01761741</x:v>
      </x:c>
      <x:c r="K6" s="34" t="n">
        <x:f>IF('Course_Master'!M6="","",'Course_Master'!M6)</x:f>
        <x:v>6.52863005</x:v>
      </x:c>
      <x:c r="L6" s="28" t="n">
        <x:f>IF('Course_Master'!S6="","",'Course_Master'!S6)</x:f>
        <x:v>9</x:v>
      </x:c>
      <x:c r="M6" s="28" t="n">
        <x:f>IF('Course_Master'!T6="","",'Course_Master'!T6)</x:f>
        <x:v>36</x:v>
      </x:c>
      <x:c r="N6" s="28" t="n">
        <x:f>IF('Course_Master'!Q6="","",'Course_Master'!Q6)</x:f>
        <x:v>2956</x:v>
      </x:c>
      <x:c r="O6" s="28" t="n">
        <x:f>IF('Course_Master'!R6="","",'Course_Master'!R6)</x:f>
        <x:v>2703</x:v>
      </x:c>
      <x:c r="P6" s="28" t="str">
        <x:f>IF('Course_Master'!U6="","",'Course_Master'!U6)</x:f>
        <x:v>Full-length course</x:v>
      </x:c>
      <x:c r="Q6" s="28" t="str">
        <x:f>IF('Course_Master'!AD6="","",'Course_Master'!AD6)</x:f>
        <x:v>Public — handicap 54 or lower</x:v>
      </x:c>
      <x:c r="R6" s="28" t="str">
        <x:f>IF('Course_Master'!AC6="","",'Course_Master'!AC6)</x:f>
        <x:v>Open</x:v>
      </x:c>
      <x:c r="S6" s="28" t="str">
        <x:f>IF('Course_Master'!Y6="","",'Course_Master'!Y6)</x:f>
        <x:v>https://dgcc.nl/</x:v>
      </x:c>
      <x:c r="T6" s="28" t="b">
        <x:f>IF('Course_Master'!Z6="","",'Course_Master'!Z6)</x:f>
        <x:v>1</x:v>
      </x:c>
      <x:c r="U6" s="28" t="b">
        <x:f>IF('Course_Master'!AA6="","",'Course_Master'!AA6)</x:f>
        <x:v>1</x:v>
      </x:c>
      <x:c r="V6" s="28" t="str">
        <x:f>IF('Course_Master'!AL6="","",'Course_Master'!AL6)</x:f>
        <x:v>Verified — national register and exact BAG address</x:v>
      </x:c>
    </x:row>
    <x:row r="7">
      <x:c r="A7" s="28" t="str">
        <x:f>IF('Course_Master'!B7="","",'Course_Master'!B7)</x:f>
        <x:v>NL-0006</x:v>
      </x:c>
      <x:c r="B7" s="28" t="str">
        <x:f>IF('Course_Master'!C7="","",'Course_Master'!C7)</x:f>
        <x:v>Drentse Golfclub De Gelpenberg — Main Course</x:v>
      </x:c>
      <x:c r="C7" s="28" t="str">
        <x:f>IF('Course_Master'!D7="","",'Course_Master'!D7)</x:f>
        <x:v>Drentse Golfclub De Gelpenberg</x:v>
      </x:c>
      <x:c r="D7" s="28" t="str">
        <x:f>IF('Course_Master'!E7="","",'Course_Master'!E7)</x:f>
        <x:v>Main Course</x:v>
      </x:c>
      <x:c r="E7" s="28" t="str">
        <x:f>IF('Course_Master'!F7="","",'Course_Master'!F7)</x:f>
        <x:v>Netherlands</x:v>
      </x:c>
      <x:c r="F7" s="28" t="str">
        <x:f>IF('Course_Master'!G7="","",'Course_Master'!G7)</x:f>
        <x:v>Drenthe</x:v>
      </x:c>
      <x:c r="G7" s="28" t="str">
        <x:f>IF('Course_Master'!H7="","",'Course_Master'!H7)</x:f>
        <x:v>Coevorden</x:v>
      </x:c>
      <x:c r="H7" s="28" t="str">
        <x:f>IF('Course_Master'!I7="","",'Course_Master'!I7)</x:f>
        <x:v>Aalden</x:v>
      </x:c>
      <x:c r="I7" s="28" t="str">
        <x:f>IF('Course_Master'!K7="","",'Course_Master'!K7)</x:f>
        <x:v>7854 TD</x:v>
      </x:c>
      <x:c r="J7" s="34" t="n">
        <x:f>IF('Course_Master'!L7="","",'Course_Master'!L7)</x:f>
        <x:v>52.80069467</x:v>
      </x:c>
      <x:c r="K7" s="34" t="n">
        <x:f>IF('Course_Master'!M7="","",'Course_Master'!M7)</x:f>
        <x:v>6.69675076</x:v>
      </x:c>
      <x:c r="L7" s="28" t="n">
        <x:f>IF('Course_Master'!S7="","",'Course_Master'!S7)</x:f>
        <x:v>18</x:v>
      </x:c>
      <x:c r="M7" s="28" t="n">
        <x:f>IF('Course_Master'!T7="","",'Course_Master'!T7)</x:f>
        <x:v>72</x:v>
      </x:c>
      <x:c r="N7" s="28" t="n">
        <x:f>IF('Course_Master'!Q7="","",'Course_Master'!Q7)</x:f>
        <x:v>6913</x:v>
      </x:c>
      <x:c r="O7" s="28" t="n">
        <x:f>IF('Course_Master'!R7="","",'Course_Master'!R7)</x:f>
        <x:v>6321</x:v>
      </x:c>
      <x:c r="P7" s="28" t="str">
        <x:f>IF('Course_Master'!U7="","",'Course_Master'!U7)</x:f>
        <x:v>Full-length course</x:v>
      </x:c>
      <x:c r="Q7" s="28" t="str">
        <x:f>IF('Course_Master'!AD7="","",'Course_Master'!AD7)</x:f>
        <x:v>Public — handicap 36 or lower</x:v>
      </x:c>
      <x:c r="R7" s="28" t="str">
        <x:f>IF('Course_Master'!AC7="","",'Course_Master'!AC7)</x:f>
        <x:v>Open</x:v>
      </x:c>
      <x:c r="S7" s="28" t="str">
        <x:f>IF('Course_Master'!Y7="","",'Course_Master'!Y7)</x:f>
        <x:v>https://dgcdegelpenberg.nl/</x:v>
      </x:c>
      <x:c r="T7" s="28" t="b">
        <x:f>IF('Course_Master'!Z7="","",'Course_Master'!Z7)</x:f>
        <x:v>1</x:v>
      </x:c>
      <x:c r="U7" s="28" t="b">
        <x:f>IF('Course_Master'!AA7="","",'Course_Master'!AA7)</x:f>
        <x:v>1</x:v>
      </x:c>
      <x:c r="V7" s="28" t="str">
        <x:f>IF('Course_Master'!AL7="","",'Course_Master'!AL7)</x:f>
        <x:v>Verified — national register and exact BAG address</x:v>
      </x:c>
    </x:row>
    <x:row r="8">
      <x:c r="A8" s="28" t="str">
        <x:f>IF('Course_Master'!B8="","",'Course_Master'!B8)</x:f>
        <x:v>NL-0007</x:v>
      </x:c>
      <x:c r="B8" s="28" t="str">
        <x:f>IF('Course_Master'!C8="","",'Course_Master'!C8)</x:f>
        <x:v>Drentse Golfclub De Gelpenberg — Par-3 Course</x:v>
      </x:c>
      <x:c r="C8" s="28" t="str">
        <x:f>IF('Course_Master'!D8="","",'Course_Master'!D8)</x:f>
        <x:v>Drentse Golfclub De Gelpenberg</x:v>
      </x:c>
      <x:c r="D8" s="28" t="str">
        <x:f>IF('Course_Master'!E8="","",'Course_Master'!E8)</x:f>
        <x:v>Par-3 Course</x:v>
      </x:c>
      <x:c r="E8" s="28" t="str">
        <x:f>IF('Course_Master'!F8="","",'Course_Master'!F8)</x:f>
        <x:v>Netherlands</x:v>
      </x:c>
      <x:c r="F8" s="28" t="str">
        <x:f>IF('Course_Master'!G8="","",'Course_Master'!G8)</x:f>
        <x:v>Drenthe</x:v>
      </x:c>
      <x:c r="G8" s="28" t="str">
        <x:f>IF('Course_Master'!H8="","",'Course_Master'!H8)</x:f>
        <x:v>Coevorden</x:v>
      </x:c>
      <x:c r="H8" s="28" t="str">
        <x:f>IF('Course_Master'!I8="","",'Course_Master'!I8)</x:f>
        <x:v>Aalden</x:v>
      </x:c>
      <x:c r="I8" s="28" t="str">
        <x:f>IF('Course_Master'!K8="","",'Course_Master'!K8)</x:f>
        <x:v>7854 TD</x:v>
      </x:c>
      <x:c r="J8" s="34" t="n">
        <x:f>IF('Course_Master'!L8="","",'Course_Master'!L8)</x:f>
        <x:v>52.80069467</x:v>
      </x:c>
      <x:c r="K8" s="34" t="n">
        <x:f>IF('Course_Master'!M8="","",'Course_Master'!M8)</x:f>
        <x:v>6.69675076</x:v>
      </x:c>
      <x:c r="L8" s="28" t="n">
        <x:f>IF('Course_Master'!S8="","",'Course_Master'!S8)</x:f>
        <x:v>9</x:v>
      </x:c>
      <x:c r="M8" s="28" t="n">
        <x:f>IF('Course_Master'!T8="","",'Course_Master'!T8)</x:f>
        <x:v>27</x:v>
      </x:c>
      <x:c r="N8" s="28" t="n">
        <x:f>IF('Course_Master'!Q8="","",'Course_Master'!Q8)</x:f>
        <x:v>890</x:v>
      </x:c>
      <x:c r="O8" s="28" t="n">
        <x:f>IF('Course_Master'!R8="","",'Course_Master'!R8)</x:f>
        <x:v>814</x:v>
      </x:c>
      <x:c r="P8" s="28" t="str">
        <x:f>IF('Course_Master'!U8="","",'Course_Master'!U8)</x:f>
        <x:v>Par-3 course</x:v>
      </x:c>
      <x:c r="Q8" s="28" t="str">
        <x:f>IF('Course_Master'!AD8="","",'Course_Master'!AD8)</x:f>
        <x:v>Public — no playing requirement</x:v>
      </x:c>
      <x:c r="R8" s="28" t="str">
        <x:f>IF('Course_Master'!AC8="","",'Course_Master'!AC8)</x:f>
        <x:v>Open</x:v>
      </x:c>
      <x:c r="S8" s="28" t="str">
        <x:f>IF('Course_Master'!Y8="","",'Course_Master'!Y8)</x:f>
        <x:v>https://dgcdegelpenberg.nl/</x:v>
      </x:c>
      <x:c r="T8" s="28" t="b">
        <x:f>IF('Course_Master'!Z8="","",'Course_Master'!Z8)</x:f>
        <x:v>1</x:v>
      </x:c>
      <x:c r="U8" s="28" t="b">
        <x:f>IF('Course_Master'!AA8="","",'Course_Master'!AA8)</x:f>
        <x:v>1</x:v>
      </x:c>
      <x:c r="V8" s="28" t="str">
        <x:f>IF('Course_Master'!AL8="","",'Course_Master'!AL8)</x:f>
        <x:v>Verified — national register and exact BAG address</x:v>
      </x:c>
    </x:row>
    <x:row r="9">
      <x:c r="A9" s="28" t="str">
        <x:f>IF('Course_Master'!B9="","",'Course_Master'!B9)</x:f>
        <x:v>NL-0008</x:v>
      </x:c>
      <x:c r="B9" s="28" t="str">
        <x:f>IF('Course_Master'!C9="","",'Course_Master'!C9)</x:f>
        <x:v>Golf Club Havelte — Main Course</x:v>
      </x:c>
      <x:c r="C9" s="28" t="str">
        <x:f>IF('Course_Master'!D9="","",'Course_Master'!D9)</x:f>
        <x:v>Golf Club Havelte</x:v>
      </x:c>
      <x:c r="D9" s="28" t="str">
        <x:f>IF('Course_Master'!E9="","",'Course_Master'!E9)</x:f>
        <x:v>Main Course</x:v>
      </x:c>
      <x:c r="E9" s="28" t="str">
        <x:f>IF('Course_Master'!F9="","",'Course_Master'!F9)</x:f>
        <x:v>Netherlands</x:v>
      </x:c>
      <x:c r="F9" s="28" t="str">
        <x:f>IF('Course_Master'!G9="","",'Course_Master'!G9)</x:f>
        <x:v>Drenthe</x:v>
      </x:c>
      <x:c r="G9" s="28" t="str">
        <x:f>IF('Course_Master'!H9="","",'Course_Master'!H9)</x:f>
        <x:v>Westerveld</x:v>
      </x:c>
      <x:c r="H9" s="28" t="str">
        <x:f>IF('Course_Master'!I9="","",'Course_Master'!I9)</x:f>
        <x:v>Havelte</x:v>
      </x:c>
      <x:c r="I9" s="28" t="str">
        <x:f>IF('Course_Master'!K9="","",'Course_Master'!K9)</x:f>
        <x:v>7971 RA</x:v>
      </x:c>
      <x:c r="J9" s="34" t="n">
        <x:f>IF('Course_Master'!L9="","",'Course_Master'!L9)</x:f>
        <x:v>52.78411647</x:v>
      </x:c>
      <x:c r="K9" s="34" t="n">
        <x:f>IF('Course_Master'!M9="","",'Course_Master'!M9)</x:f>
        <x:v>6.24815353</x:v>
      </x:c>
      <x:c r="L9" s="28" t="n">
        <x:f>IF('Course_Master'!S9="","",'Course_Master'!S9)</x:f>
        <x:v>18</x:v>
      </x:c>
      <x:c r="M9" s="28" t="n">
        <x:f>IF('Course_Master'!T9="","",'Course_Master'!T9)</x:f>
        <x:v>72</x:v>
      </x:c>
      <x:c r="N9" s="28" t="n">
        <x:f>IF('Course_Master'!Q9="","",'Course_Master'!Q9)</x:f>
        <x:v>6959</x:v>
      </x:c>
      <x:c r="O9" s="28" t="n">
        <x:f>IF('Course_Master'!R9="","",'Course_Master'!R9)</x:f>
        <x:v>6363</x:v>
      </x:c>
      <x:c r="P9" s="28" t="str">
        <x:f>IF('Course_Master'!U9="","",'Course_Master'!U9)</x:f>
        <x:v>Full-length course</x:v>
      </x:c>
      <x:c r="Q9" s="28" t="str">
        <x:f>IF('Course_Master'!AD9="","",'Course_Master'!AD9)</x:f>
        <x:v>Public — handicap 54 or lower</x:v>
      </x:c>
      <x:c r="R9" s="28" t="str">
        <x:f>IF('Course_Master'!AC9="","",'Course_Master'!AC9)</x:f>
        <x:v>Open</x:v>
      </x:c>
      <x:c r="S9" s="28" t="str">
        <x:f>IF('Course_Master'!Y9="","",'Course_Master'!Y9)</x:f>
        <x:v>https://www.golfclubhavelte.nl/</x:v>
      </x:c>
      <x:c r="T9" s="28" t="b">
        <x:f>IF('Course_Master'!Z9="","",'Course_Master'!Z9)</x:f>
        <x:v>1</x:v>
      </x:c>
      <x:c r="U9" s="28" t="b">
        <x:f>IF('Course_Master'!AA9="","",'Course_Master'!AA9)</x:f>
        <x:v>1</x:v>
      </x:c>
      <x:c r="V9" s="28" t="str">
        <x:f>IF('Course_Master'!AL9="","",'Course_Master'!AL9)</x:f>
        <x:v>Verified — national register and exact BAG address</x:v>
      </x:c>
    </x:row>
    <x:row r="10">
      <x:c r="A10" s="28" t="str">
        <x:f>IF('Course_Master'!B10="","",'Course_Master'!B10)</x:f>
        <x:v>NL-0009</x:v>
      </x:c>
      <x:c r="B10" s="28" t="str">
        <x:f>IF('Course_Master'!C10="","",'Course_Master'!C10)</x:f>
        <x:v>Golfbaan Zuid-Drenthe</x:v>
      </x:c>
      <x:c r="C10" s="28" t="str">
        <x:f>IF('Course_Master'!D10="","",'Course_Master'!D10)</x:f>
        <x:v>Golfbaan Zuid-Drenthe</x:v>
      </x:c>
      <x:c r="D10" s="28" t="str">
        <x:f>IF('Course_Master'!E10="","",'Course_Master'!E10)</x:f>
        <x:v>Course</x:v>
      </x:c>
      <x:c r="E10" s="28" t="str">
        <x:f>IF('Course_Master'!F10="","",'Course_Master'!F10)</x:f>
        <x:v>Netherlands</x:v>
      </x:c>
      <x:c r="F10" s="28" t="str">
        <x:f>IF('Course_Master'!G10="","",'Course_Master'!G10)</x:f>
        <x:v>Drenthe</x:v>
      </x:c>
      <x:c r="G10" s="28" t="str">
        <x:f>IF('Course_Master'!H10="","",'Course_Master'!H10)</x:f>
        <x:v>Emmen</x:v>
      </x:c>
      <x:c r="H10" s="28" t="str">
        <x:f>IF('Course_Master'!I10="","",'Course_Master'!I10)</x:f>
        <x:v>Erica</x:v>
      </x:c>
      <x:c r="I10" s="28" t="str">
        <x:f>IF('Course_Master'!K10="","",'Course_Master'!K10)</x:f>
        <x:v>7887 VD</x:v>
      </x:c>
      <x:c r="J10" s="34" t="n">
        <x:f>IF('Course_Master'!L10="","",'Course_Master'!L10)</x:f>
        <x:v>52.68071095</x:v>
      </x:c>
      <x:c r="K10" s="34" t="n">
        <x:f>IF('Course_Master'!M10="","",'Course_Master'!M10)</x:f>
        <x:v>6.94125585</x:v>
      </x:c>
      <x:c r="L10" s="28" t="n">
        <x:f>IF('Course_Master'!S10="","",'Course_Master'!S10)</x:f>
        <x:v>9</x:v>
      </x:c>
      <x:c r="M10" s="28" t="n">
        <x:f>IF('Course_Master'!T10="","",'Course_Master'!T10)</x:f>
        <x:v>35</x:v>
      </x:c>
      <x:c r="N10" s="28" t="n">
        <x:f>IF('Course_Master'!Q10="","",'Course_Master'!Q10)</x:f>
        <x:v>3155</x:v>
      </x:c>
      <x:c r="O10" s="28" t="n">
        <x:f>IF('Course_Master'!R10="","",'Course_Master'!R10)</x:f>
        <x:v>2885</x:v>
      </x:c>
      <x:c r="P10" s="28" t="str">
        <x:f>IF('Course_Master'!U10="","",'Course_Master'!U10)</x:f>
        <x:v>Full-length course</x:v>
      </x:c>
      <x:c r="Q10" s="28" t="str">
        <x:f>IF('Course_Master'!AD10="","",'Course_Master'!AD10)</x:f>
        <x:v>Public — handicap 54 or lower</x:v>
      </x:c>
      <x:c r="R10" s="28" t="str">
        <x:f>IF('Course_Master'!AC10="","",'Course_Master'!AC10)</x:f>
        <x:v>Open</x:v>
      </x:c>
      <x:c r="S10" s="28" t="str">
        <x:f>IF('Course_Master'!Y10="","",'Course_Master'!Y10)</x:f>
        <x:v>https://golfclubzuiddrenthe.nl/</x:v>
      </x:c>
      <x:c r="T10" s="28" t="b">
        <x:f>IF('Course_Master'!Z10="","",'Course_Master'!Z10)</x:f>
        <x:v>1</x:v>
      </x:c>
      <x:c r="U10" s="28" t="b">
        <x:f>IF('Course_Master'!AA10="","",'Course_Master'!AA10)</x:f>
        <x:v>1</x:v>
      </x:c>
      <x:c r="V10" s="28" t="str">
        <x:f>IF('Course_Master'!AL10="","",'Course_Master'!AL10)</x:f>
        <x:v>Verified — national register and exact BAG address</x:v>
      </x:c>
    </x:row>
    <x:row r="11">
      <x:c r="A11" s="28" t="str">
        <x:f>IF('Course_Master'!B11="","",'Course_Master'!B11)</x:f>
        <x:v>NL-0010</x:v>
      </x:c>
      <x:c r="B11" s="28" t="str">
        <x:f>IF('Course_Master'!C11="","",'Course_Master'!C11)</x:f>
        <x:v>Golfclub De Semslanden — Boerveen</x:v>
      </x:c>
      <x:c r="C11" s="28" t="str">
        <x:f>IF('Course_Master'!D11="","",'Course_Master'!D11)</x:f>
        <x:v>Golfclub De Semslanden</x:v>
      </x:c>
      <x:c r="D11" s="28" t="str">
        <x:f>IF('Course_Master'!E11="","",'Course_Master'!E11)</x:f>
        <x:v>Boerveen</x:v>
      </x:c>
      <x:c r="E11" s="28" t="str">
        <x:f>IF('Course_Master'!F11="","",'Course_Master'!F11)</x:f>
        <x:v>Netherlands</x:v>
      </x:c>
      <x:c r="F11" s="28" t="str">
        <x:f>IF('Course_Master'!G11="","",'Course_Master'!G11)</x:f>
        <x:v>Drenthe</x:v>
      </x:c>
      <x:c r="G11" s="28" t="str">
        <x:f>IF('Course_Master'!H11="","",'Course_Master'!H11)</x:f>
        <x:v>Aa en Hunze</x:v>
      </x:c>
      <x:c r="H11" s="28" t="str">
        <x:f>IF('Course_Master'!I11="","",'Course_Master'!I11)</x:f>
        <x:v>Gasselternijveen</x:v>
      </x:c>
      <x:c r="I11" s="28" t="str">
        <x:f>IF('Course_Master'!K11="","",'Course_Master'!K11)</x:f>
        <x:v>9514 BX</x:v>
      </x:c>
      <x:c r="J11" s="34" t="n">
        <x:f>IF('Course_Master'!L11="","",'Course_Master'!L11)</x:f>
        <x:v>52.98567431</x:v>
      </x:c>
      <x:c r="K11" s="34" t="n">
        <x:f>IF('Course_Master'!M11="","",'Course_Master'!M11)</x:f>
        <x:v>6.80671026</x:v>
      </x:c>
      <x:c r="L11" s="28" t="n">
        <x:f>IF('Course_Master'!S11="","",'Course_Master'!S11)</x:f>
        <x:v>9</x:v>
      </x:c>
      <x:c r="M11" s="28" t="n">
        <x:f>IF('Course_Master'!T11="","",'Course_Master'!T11)</x:f>
        <x:v>36</x:v>
      </x:c>
      <x:c r="N11" s="28" t="n">
        <x:f>IF('Course_Master'!Q11="","",'Course_Master'!Q11)</x:f>
        <x:v>3379</x:v>
      </x:c>
      <x:c r="O11" s="28" t="n">
        <x:f>IF('Course_Master'!R11="","",'Course_Master'!R11)</x:f>
        <x:v>3090</x:v>
      </x:c>
      <x:c r="P11" s="28" t="str">
        <x:f>IF('Course_Master'!U11="","",'Course_Master'!U11)</x:f>
        <x:v>Full-length course</x:v>
      </x:c>
      <x:c r="Q11" s="28" t="str">
        <x:f>IF('Course_Master'!AD11="","",'Course_Master'!AD11)</x:f>
        <x:v>Public — handicap 54 or lower</x:v>
      </x:c>
      <x:c r="R11" s="28" t="str">
        <x:f>IF('Course_Master'!AC11="","",'Course_Master'!AC11)</x:f>
        <x:v>Open</x:v>
      </x:c>
      <x:c r="S11" s="28" t="str">
        <x:f>IF('Course_Master'!Y11="","",'Course_Master'!Y11)</x:f>
        <x:v>https://semslanden.nl/</x:v>
      </x:c>
      <x:c r="T11" s="28" t="b">
        <x:f>IF('Course_Master'!Z11="","",'Course_Master'!Z11)</x:f>
        <x:v>1</x:v>
      </x:c>
      <x:c r="U11" s="28" t="b">
        <x:f>IF('Course_Master'!AA11="","",'Course_Master'!AA11)</x:f>
        <x:v>1</x:v>
      </x:c>
      <x:c r="V11" s="28" t="str">
        <x:f>IF('Course_Master'!AL11="","",'Course_Master'!AL11)</x:f>
        <x:v>Verified — national register and exact BAG address</x:v>
      </x:c>
    </x:row>
    <x:row r="12">
      <x:c r="A12" s="28" t="str">
        <x:f>IF('Course_Master'!B12="","",'Course_Master'!B12)</x:f>
        <x:v>NL-0011</x:v>
      </x:c>
      <x:c r="B12" s="28" t="str">
        <x:f>IF('Course_Master'!C12="","",'Course_Master'!C12)</x:f>
        <x:v>Golfclub De Semslanden — Drieveld</x:v>
      </x:c>
      <x:c r="C12" s="28" t="str">
        <x:f>IF('Course_Master'!D12="","",'Course_Master'!D12)</x:f>
        <x:v>Golfclub De Semslanden</x:v>
      </x:c>
      <x:c r="D12" s="28" t="str">
        <x:f>IF('Course_Master'!E12="","",'Course_Master'!E12)</x:f>
        <x:v>Drieveld</x:v>
      </x:c>
      <x:c r="E12" s="28" t="str">
        <x:f>IF('Course_Master'!F12="","",'Course_Master'!F12)</x:f>
        <x:v>Netherlands</x:v>
      </x:c>
      <x:c r="F12" s="28" t="str">
        <x:f>IF('Course_Master'!G12="","",'Course_Master'!G12)</x:f>
        <x:v>Drenthe</x:v>
      </x:c>
      <x:c r="G12" s="28" t="str">
        <x:f>IF('Course_Master'!H12="","",'Course_Master'!H12)</x:f>
        <x:v>Aa en Hunze</x:v>
      </x:c>
      <x:c r="H12" s="28" t="str">
        <x:f>IF('Course_Master'!I12="","",'Course_Master'!I12)</x:f>
        <x:v>Gasselternijveen</x:v>
      </x:c>
      <x:c r="I12" s="28" t="str">
        <x:f>IF('Course_Master'!K12="","",'Course_Master'!K12)</x:f>
        <x:v>9514 BX</x:v>
      </x:c>
      <x:c r="J12" s="34" t="n">
        <x:f>IF('Course_Master'!L12="","",'Course_Master'!L12)</x:f>
        <x:v>52.98567431</x:v>
      </x:c>
      <x:c r="K12" s="34" t="n">
        <x:f>IF('Course_Master'!M12="","",'Course_Master'!M12)</x:f>
        <x:v>6.80671026</x:v>
      </x:c>
      <x:c r="L12" s="28" t="n">
        <x:f>IF('Course_Master'!S12="","",'Course_Master'!S12)</x:f>
        <x:v>9</x:v>
      </x:c>
      <x:c r="M12" s="28" t="n">
        <x:f>IF('Course_Master'!T12="","",'Course_Master'!T12)</x:f>
        <x:v>27</x:v>
      </x:c>
      <x:c r="N12" s="28" t="n">
        <x:f>IF('Course_Master'!Q12="","",'Course_Master'!Q12)</x:f>
        <x:v>841</x:v>
      </x:c>
      <x:c r="O12" s="28" t="n">
        <x:f>IF('Course_Master'!R12="","",'Course_Master'!R12)</x:f>
        <x:v>769</x:v>
      </x:c>
      <x:c r="P12" s="28" t="str">
        <x:f>IF('Course_Master'!U12="","",'Course_Master'!U12)</x:f>
        <x:v>Par-3 course</x:v>
      </x:c>
      <x:c r="Q12" s="28" t="str">
        <x:f>IF('Course_Master'!AD12="","",'Course_Master'!AD12)</x:f>
        <x:v>Public — handicap 54 or lower</x:v>
      </x:c>
      <x:c r="R12" s="28" t="str">
        <x:f>IF('Course_Master'!AC12="","",'Course_Master'!AC12)</x:f>
        <x:v>Open</x:v>
      </x:c>
      <x:c r="S12" s="28" t="str">
        <x:f>IF('Course_Master'!Y12="","",'Course_Master'!Y12)</x:f>
        <x:v>https://semslanden.nl/</x:v>
      </x:c>
      <x:c r="T12" s="28" t="b">
        <x:f>IF('Course_Master'!Z12="","",'Course_Master'!Z12)</x:f>
        <x:v>1</x:v>
      </x:c>
      <x:c r="U12" s="28" t="b">
        <x:f>IF('Course_Master'!AA12="","",'Course_Master'!AA12)</x:f>
        <x:v>1</x:v>
      </x:c>
      <x:c r="V12" s="28" t="str">
        <x:f>IF('Course_Master'!AL12="","",'Course_Master'!AL12)</x:f>
        <x:v>Verified — national register and exact BAG address</x:v>
      </x:c>
    </x:row>
    <x:row r="13">
      <x:c r="A13" s="28" t="str">
        <x:f>IF('Course_Master'!B13="","",'Course_Master'!B13)</x:f>
        <x:v>NL-0012</x:v>
      </x:c>
      <x:c r="B13" s="28" t="str">
        <x:f>IF('Course_Master'!C13="","",'Course_Master'!C13)</x:f>
        <x:v>Golfclub De Semslanden — Hondsrug</x:v>
      </x:c>
      <x:c r="C13" s="28" t="str">
        <x:f>IF('Course_Master'!D13="","",'Course_Master'!D13)</x:f>
        <x:v>Golfclub De Semslanden</x:v>
      </x:c>
      <x:c r="D13" s="28" t="str">
        <x:f>IF('Course_Master'!E13="","",'Course_Master'!E13)</x:f>
        <x:v>Hondsrug</x:v>
      </x:c>
      <x:c r="E13" s="28" t="str">
        <x:f>IF('Course_Master'!F13="","",'Course_Master'!F13)</x:f>
        <x:v>Netherlands</x:v>
      </x:c>
      <x:c r="F13" s="28" t="str">
        <x:f>IF('Course_Master'!G13="","",'Course_Master'!G13)</x:f>
        <x:v>Drenthe</x:v>
      </x:c>
      <x:c r="G13" s="28" t="str">
        <x:f>IF('Course_Master'!H13="","",'Course_Master'!H13)</x:f>
        <x:v>Aa en Hunze</x:v>
      </x:c>
      <x:c r="H13" s="28" t="str">
        <x:f>IF('Course_Master'!I13="","",'Course_Master'!I13)</x:f>
        <x:v>Gasselternijveen</x:v>
      </x:c>
      <x:c r="I13" s="28" t="str">
        <x:f>IF('Course_Master'!K13="","",'Course_Master'!K13)</x:f>
        <x:v>9514 BX</x:v>
      </x:c>
      <x:c r="J13" s="34" t="n">
        <x:f>IF('Course_Master'!L13="","",'Course_Master'!L13)</x:f>
        <x:v>52.98567431</x:v>
      </x:c>
      <x:c r="K13" s="34" t="n">
        <x:f>IF('Course_Master'!M13="","",'Course_Master'!M13)</x:f>
        <x:v>6.80671026</x:v>
      </x:c>
      <x:c r="L13" s="28" t="n">
        <x:f>IF('Course_Master'!S13="","",'Course_Master'!S13)</x:f>
        <x:v>9</x:v>
      </x:c>
      <x:c r="M13" s="28" t="n">
        <x:f>IF('Course_Master'!T13="","",'Course_Master'!T13)</x:f>
        <x:v>36</x:v>
      </x:c>
      <x:c r="N13" s="28" t="n">
        <x:f>IF('Course_Master'!Q13="","",'Course_Master'!Q13)</x:f>
        <x:v>3513</x:v>
      </x:c>
      <x:c r="O13" s="28" t="n">
        <x:f>IF('Course_Master'!R13="","",'Course_Master'!R13)</x:f>
        <x:v>3212</x:v>
      </x:c>
      <x:c r="P13" s="28" t="str">
        <x:f>IF('Course_Master'!U13="","",'Course_Master'!U13)</x:f>
        <x:v>Full-length course</x:v>
      </x:c>
      <x:c r="Q13" s="28" t="str">
        <x:f>IF('Course_Master'!AD13="","",'Course_Master'!AD13)</x:f>
        <x:v>Public — handicap 54 or lower</x:v>
      </x:c>
      <x:c r="R13" s="28" t="str">
        <x:f>IF('Course_Master'!AC13="","",'Course_Master'!AC13)</x:f>
        <x:v>Open</x:v>
      </x:c>
      <x:c r="S13" s="28" t="str">
        <x:f>IF('Course_Master'!Y13="","",'Course_Master'!Y13)</x:f>
        <x:v>https://semslanden.nl/</x:v>
      </x:c>
      <x:c r="T13" s="28" t="b">
        <x:f>IF('Course_Master'!Z13="","",'Course_Master'!Z13)</x:f>
        <x:v>1</x:v>
      </x:c>
      <x:c r="U13" s="28" t="b">
        <x:f>IF('Course_Master'!AA13="","",'Course_Master'!AA13)</x:f>
        <x:v>1</x:v>
      </x:c>
      <x:c r="V13" s="28" t="str">
        <x:f>IF('Course_Master'!AL13="","",'Course_Master'!AL13)</x:f>
        <x:v>Verified — national register and exact BAG address</x:v>
      </x:c>
    </x:row>
    <x:row r="14">
      <x:c r="A14" s="28" t="str">
        <x:f>IF('Course_Master'!B14="","",'Course_Master'!B14)</x:f>
        <x:v>NL-0013</x:v>
      </x:c>
      <x:c r="B14" s="28" t="str">
        <x:f>IF('Course_Master'!C14="","",'Course_Master'!C14)</x:f>
        <x:v>Golfclub Holthuizen — Main Course</x:v>
      </x:c>
      <x:c r="C14" s="28" t="str">
        <x:f>IF('Course_Master'!D14="","",'Course_Master'!D14)</x:f>
        <x:v>Golfclub Holthuizen</x:v>
      </x:c>
      <x:c r="D14" s="28" t="str">
        <x:f>IF('Course_Master'!E14="","",'Course_Master'!E14)</x:f>
        <x:v>Main Course</x:v>
      </x:c>
      <x:c r="E14" s="28" t="str">
        <x:f>IF('Course_Master'!F14="","",'Course_Master'!F14)</x:f>
        <x:v>Netherlands</x:v>
      </x:c>
      <x:c r="F14" s="28" t="str">
        <x:f>IF('Course_Master'!G14="","",'Course_Master'!G14)</x:f>
        <x:v>Drenthe</x:v>
      </x:c>
      <x:c r="G14" s="28" t="str">
        <x:f>IF('Course_Master'!H14="","",'Course_Master'!H14)</x:f>
        <x:v>Noordenveld</x:v>
      </x:c>
      <x:c r="H14" s="28" t="str">
        <x:f>IF('Course_Master'!I14="","",'Course_Master'!I14)</x:f>
        <x:v>Roden</x:v>
      </x:c>
      <x:c r="I14" s="28" t="str">
        <x:f>IF('Course_Master'!K14="","",'Course_Master'!K14)</x:f>
        <x:v>9301 ZP</x:v>
      </x:c>
      <x:c r="J14" s="34" t="n">
        <x:f>IF('Course_Master'!L14="","",'Course_Master'!L14)</x:f>
        <x:v>53.14397241</x:v>
      </x:c>
      <x:c r="K14" s="34" t="n">
        <x:f>IF('Course_Master'!M14="","",'Course_Master'!M14)</x:f>
        <x:v>6.44800565</x:v>
      </x:c>
      <x:c r="L14" s="28" t="n">
        <x:f>IF('Course_Master'!S14="","",'Course_Master'!S14)</x:f>
        <x:v>9</x:v>
      </x:c>
      <x:c r="M14" s="28" t="n">
        <x:f>IF('Course_Master'!T14="","",'Course_Master'!T14)</x:f>
        <x:v>37</x:v>
      </x:c>
      <x:c r="N14" s="28" t="n">
        <x:f>IF('Course_Master'!Q14="","",'Course_Master'!Q14)</x:f>
        <x:v>3270</x:v>
      </x:c>
      <x:c r="O14" s="28" t="n">
        <x:f>IF('Course_Master'!R14="","",'Course_Master'!R14)</x:f>
        <x:v>2990</x:v>
      </x:c>
      <x:c r="P14" s="28" t="str">
        <x:f>IF('Course_Master'!U14="","",'Course_Master'!U14)</x:f>
        <x:v>Full-length course</x:v>
      </x:c>
      <x:c r="Q14" s="28" t="str">
        <x:f>IF('Course_Master'!AD14="","",'Course_Master'!AD14)</x:f>
        <x:v>Public — handicap 54 or lower</x:v>
      </x:c>
      <x:c r="R14" s="28" t="str">
        <x:f>IF('Course_Master'!AC14="","",'Course_Master'!AC14)</x:f>
        <x:v>Open</x:v>
      </x:c>
      <x:c r="S14" s="28" t="str">
        <x:f>IF('Course_Master'!Y14="","",'Course_Master'!Y14)</x:f>
        <x:v>https://golfclubholthuizen.nl/</x:v>
      </x:c>
      <x:c r="T14" s="28" t="b">
        <x:f>IF('Course_Master'!Z14="","",'Course_Master'!Z14)</x:f>
        <x:v>1</x:v>
      </x:c>
      <x:c r="U14" s="28" t="b">
        <x:f>IF('Course_Master'!AA14="","",'Course_Master'!AA14)</x:f>
        <x:v>1</x:v>
      </x:c>
      <x:c r="V14" s="28" t="str">
        <x:f>IF('Course_Master'!AL14="","",'Course_Master'!AL14)</x:f>
        <x:v>Verified — national register and exact BAG address</x:v>
      </x:c>
    </x:row>
    <x:row r="15">
      <x:c r="A15" s="28" t="str">
        <x:f>IF('Course_Master'!B15="","",'Course_Master'!B15)</x:f>
        <x:v>NL-0014</x:v>
      </x:c>
      <x:c r="B15" s="28" t="str">
        <x:f>IF('Course_Master'!C15="","",'Course_Master'!C15)</x:f>
        <x:v>Golfclub Holthuizen — Par-3 Course</x:v>
      </x:c>
      <x:c r="C15" s="28" t="str">
        <x:f>IF('Course_Master'!D15="","",'Course_Master'!D15)</x:f>
        <x:v>Golfclub Holthuizen</x:v>
      </x:c>
      <x:c r="D15" s="28" t="str">
        <x:f>IF('Course_Master'!E15="","",'Course_Master'!E15)</x:f>
        <x:v>Par-3 Course</x:v>
      </x:c>
      <x:c r="E15" s="28" t="str">
        <x:f>IF('Course_Master'!F15="","",'Course_Master'!F15)</x:f>
        <x:v>Netherlands</x:v>
      </x:c>
      <x:c r="F15" s="28" t="str">
        <x:f>IF('Course_Master'!G15="","",'Course_Master'!G15)</x:f>
        <x:v>Drenthe</x:v>
      </x:c>
      <x:c r="G15" s="28" t="str">
        <x:f>IF('Course_Master'!H15="","",'Course_Master'!H15)</x:f>
        <x:v>Noordenveld</x:v>
      </x:c>
      <x:c r="H15" s="28" t="str">
        <x:f>IF('Course_Master'!I15="","",'Course_Master'!I15)</x:f>
        <x:v>Roden</x:v>
      </x:c>
      <x:c r="I15" s="28" t="str">
        <x:f>IF('Course_Master'!K15="","",'Course_Master'!K15)</x:f>
        <x:v>9301 ZP</x:v>
      </x:c>
      <x:c r="J15" s="34" t="n">
        <x:f>IF('Course_Master'!L15="","",'Course_Master'!L15)</x:f>
        <x:v>53.14397241</x:v>
      </x:c>
      <x:c r="K15" s="34" t="n">
        <x:f>IF('Course_Master'!M15="","",'Course_Master'!M15)</x:f>
        <x:v>6.44800565</x:v>
      </x:c>
      <x:c r="L15" s="28" t="n">
        <x:f>IF('Course_Master'!S15="","",'Course_Master'!S15)</x:f>
        <x:v>9</x:v>
      </x:c>
      <x:c r="M15" s="28" t="n">
        <x:f>IF('Course_Master'!T15="","",'Course_Master'!T15)</x:f>
        <x:v>27</x:v>
      </x:c>
      <x:c r="N15" s="28" t="n">
        <x:f>IF('Course_Master'!Q15="","",'Course_Master'!Q15)</x:f>
        <x:v>998</x:v>
      </x:c>
      <x:c r="O15" s="28" t="n">
        <x:f>IF('Course_Master'!R15="","",'Course_Master'!R15)</x:f>
        <x:v>913</x:v>
      </x:c>
      <x:c r="P15" s="28" t="str">
        <x:f>IF('Course_Master'!U15="","",'Course_Master'!U15)</x:f>
        <x:v>Par-3 course</x:v>
      </x:c>
      <x:c r="Q15" s="28" t="str">
        <x:f>IF('Course_Master'!AD15="","",'Course_Master'!AD15)</x:f>
        <x:v>Public — no playing requirement</x:v>
      </x:c>
      <x:c r="R15" s="28" t="str">
        <x:f>IF('Course_Master'!AC15="","",'Course_Master'!AC15)</x:f>
        <x:v>Open</x:v>
      </x:c>
      <x:c r="S15" s="28" t="str">
        <x:f>IF('Course_Master'!Y15="","",'Course_Master'!Y15)</x:f>
        <x:v>https://golfclubholthuizen.nl/</x:v>
      </x:c>
      <x:c r="T15" s="28" t="b">
        <x:f>IF('Course_Master'!Z15="","",'Course_Master'!Z15)</x:f>
        <x:v>1</x:v>
      </x:c>
      <x:c r="U15" s="28" t="b">
        <x:f>IF('Course_Master'!AA15="","",'Course_Master'!AA15)</x:f>
        <x:v>1</x:v>
      </x:c>
      <x:c r="V15" s="28" t="str">
        <x:f>IF('Course_Master'!AL15="","",'Course_Master'!AL15)</x:f>
        <x:v>Verified — national register and exact BAG address</x:v>
      </x:c>
    </x:row>
    <x:row r="16">
      <x:c r="A16" s="28" t="str">
        <x:f>IF('Course_Master'!B16="","",'Course_Master'!B16)</x:f>
        <x:v>NL-0015</x:v>
      </x:c>
      <x:c r="B16" s="28" t="str">
        <x:f>IF('Course_Master'!C16="","",'Course_Master'!C16)</x:f>
        <x:v>Golfclub Martensplek — Main Course</x:v>
      </x:c>
      <x:c r="C16" s="28" t="str">
        <x:f>IF('Course_Master'!D16="","",'Course_Master'!D16)</x:f>
        <x:v>Golfclub Martensplek</x:v>
      </x:c>
      <x:c r="D16" s="28" t="str">
        <x:f>IF('Course_Master'!E16="","",'Course_Master'!E16)</x:f>
        <x:v>Main Course</x:v>
      </x:c>
      <x:c r="E16" s="28" t="str">
        <x:f>IF('Course_Master'!F16="","",'Course_Master'!F16)</x:f>
        <x:v>Netherlands</x:v>
      </x:c>
      <x:c r="F16" s="28" t="str">
        <x:f>IF('Course_Master'!G16="","",'Course_Master'!G16)</x:f>
        <x:v>Drenthe</x:v>
      </x:c>
      <x:c r="G16" s="28" t="str">
        <x:f>IF('Course_Master'!H16="","",'Course_Master'!H16)</x:f>
        <x:v>Hoogeveen</x:v>
      </x:c>
      <x:c r="H16" s="28" t="str">
        <x:f>IF('Course_Master'!I16="","",'Course_Master'!I16)</x:f>
        <x:v>Tiendeveen</x:v>
      </x:c>
      <x:c r="I16" s="28" t="str">
        <x:f>IF('Course_Master'!K16="","",'Course_Master'!K16)</x:f>
        <x:v>7936 TP</x:v>
      </x:c>
      <x:c r="J16" s="34" t="n">
        <x:f>IF('Course_Master'!L16="","",'Course_Master'!L16)</x:f>
        <x:v>52.7602055</x:v>
      </x:c>
      <x:c r="K16" s="34" t="n">
        <x:f>IF('Course_Master'!M16="","",'Course_Master'!M16)</x:f>
        <x:v>6.55363895</x:v>
      </x:c>
      <x:c r="L16" s="28" t="n">
        <x:f>IF('Course_Master'!S16="","",'Course_Master'!S16)</x:f>
        <x:v>18</x:v>
      </x:c>
      <x:c r="M16" s="28" t="n">
        <x:f>IF('Course_Master'!T16="","",'Course_Master'!T16)</x:f>
        <x:v>72</x:v>
      </x:c>
      <x:c r="N16" s="28" t="n">
        <x:f>IF('Course_Master'!Q16="","",'Course_Master'!Q16)</x:f>
        <x:v>6602</x:v>
      </x:c>
      <x:c r="O16" s="28" t="n">
        <x:f>IF('Course_Master'!R16="","",'Course_Master'!R16)</x:f>
        <x:v>6037</x:v>
      </x:c>
      <x:c r="P16" s="28" t="str">
        <x:f>IF('Course_Master'!U16="","",'Course_Master'!U16)</x:f>
        <x:v>Full-length course</x:v>
      </x:c>
      <x:c r="Q16" s="28" t="str">
        <x:f>IF('Course_Master'!AD16="","",'Course_Master'!AD16)</x:f>
        <x:v>Public — handicap 54 or lower</x:v>
      </x:c>
      <x:c r="R16" s="28" t="str">
        <x:f>IF('Course_Master'!AC16="","",'Course_Master'!AC16)</x:f>
        <x:v>Open</x:v>
      </x:c>
      <x:c r="S16" s="28" t="str">
        <x:f>IF('Course_Master'!Y16="","",'Course_Master'!Y16)</x:f>
        <x:v>https://www.martensplek.nl/</x:v>
      </x:c>
      <x:c r="T16" s="28" t="b">
        <x:f>IF('Course_Master'!Z16="","",'Course_Master'!Z16)</x:f>
        <x:v>1</x:v>
      </x:c>
      <x:c r="U16" s="28" t="b">
        <x:f>IF('Course_Master'!AA16="","",'Course_Master'!AA16)</x:f>
        <x:v>1</x:v>
      </x:c>
      <x:c r="V16" s="28" t="str">
        <x:f>IF('Course_Master'!AL16="","",'Course_Master'!AL16)</x:f>
        <x:v>Verified — national register and exact BAG address</x:v>
      </x:c>
    </x:row>
    <x:row r="17">
      <x:c r="A17" s="28" t="str">
        <x:f>IF('Course_Master'!B17="","",'Course_Master'!B17)</x:f>
        <x:v>NL-0016</x:v>
      </x:c>
      <x:c r="B17" s="28" t="str">
        <x:f>IF('Course_Master'!C17="","",'Course_Master'!C17)</x:f>
        <x:v>Golfclub Martensplek — Shortgolf / Pitch &amp; Putt Course</x:v>
      </x:c>
      <x:c r="C17" s="28" t="str">
        <x:f>IF('Course_Master'!D17="","",'Course_Master'!D17)</x:f>
        <x:v>Golfclub Martensplek</x:v>
      </x:c>
      <x:c r="D17" s="28" t="str">
        <x:f>IF('Course_Master'!E17="","",'Course_Master'!E17)</x:f>
        <x:v>Shortgolf / Pitch &amp; Putt Course</x:v>
      </x:c>
      <x:c r="E17" s="28" t="str">
        <x:f>IF('Course_Master'!F17="","",'Course_Master'!F17)</x:f>
        <x:v>Netherlands</x:v>
      </x:c>
      <x:c r="F17" s="28" t="str">
        <x:f>IF('Course_Master'!G17="","",'Course_Master'!G17)</x:f>
        <x:v>Drenthe</x:v>
      </x:c>
      <x:c r="G17" s="28" t="str">
        <x:f>IF('Course_Master'!H17="","",'Course_Master'!H17)</x:f>
        <x:v>Hoogeveen</x:v>
      </x:c>
      <x:c r="H17" s="28" t="str">
        <x:f>IF('Course_Master'!I17="","",'Course_Master'!I17)</x:f>
        <x:v>Tiendeveen</x:v>
      </x:c>
      <x:c r="I17" s="28" t="str">
        <x:f>IF('Course_Master'!K17="","",'Course_Master'!K17)</x:f>
        <x:v>7936 TP</x:v>
      </x:c>
      <x:c r="J17" s="34" t="n">
        <x:f>IF('Course_Master'!L17="","",'Course_Master'!L17)</x:f>
        <x:v>52.7602055</x:v>
      </x:c>
      <x:c r="K17" s="34" t="n">
        <x:f>IF('Course_Master'!M17="","",'Course_Master'!M17)</x:f>
        <x:v>6.55363895</x:v>
      </x:c>
      <x:c r="L17" s="28" t="n">
        <x:f>IF('Course_Master'!S17="","",'Course_Master'!S17)</x:f>
        <x:v>9</x:v>
      </x:c>
      <x:c r="M17" s="28" t="n">
        <x:f>IF('Course_Master'!T17="","",'Course_Master'!T17)</x:f>
        <x:v>27</x:v>
      </x:c>
      <x:c r="N17" s="28" t="n">
        <x:f>IF('Course_Master'!Q17="","",'Course_Master'!Q17)</x:f>
        <x:v>487</x:v>
      </x:c>
      <x:c r="O17" s="28" t="n">
        <x:f>IF('Course_Master'!R17="","",'Course_Master'!R17)</x:f>
        <x:v>445</x:v>
      </x:c>
      <x:c r="P17" s="28" t="str">
        <x:f>IF('Course_Master'!U17="","",'Course_Master'!U17)</x:f>
        <x:v>Shortgolf / Pitch &amp; Putt</x:v>
      </x:c>
      <x:c r="Q17" s="28" t="str">
        <x:f>IF('Course_Master'!AD17="","",'Course_Master'!AD17)</x:f>
        <x:v>Public — no playing requirement</x:v>
      </x:c>
      <x:c r="R17" s="28" t="str">
        <x:f>IF('Course_Master'!AC17="","",'Course_Master'!AC17)</x:f>
        <x:v>Open</x:v>
      </x:c>
      <x:c r="S17" s="28" t="str">
        <x:f>IF('Course_Master'!Y17="","",'Course_Master'!Y17)</x:f>
        <x:v>https://www.martensplek.nl/</x:v>
      </x:c>
      <x:c r="T17" s="28" t="b">
        <x:f>IF('Course_Master'!Z17="","",'Course_Master'!Z17)</x:f>
        <x:v>1</x:v>
      </x:c>
      <x:c r="U17" s="28" t="b">
        <x:f>IF('Course_Master'!AA17="","",'Course_Master'!AA17)</x:f>
        <x:v>1</x:v>
      </x:c>
      <x:c r="V17" s="28" t="str">
        <x:f>IF('Course_Master'!AL17="","",'Course_Master'!AL17)</x:f>
        <x:v>Verified — national register and exact BAG address</x:v>
      </x:c>
    </x:row>
    <x:row r="18">
      <x:c r="A18" s="28" t="str">
        <x:f>IF('Course_Master'!B18="","",'Course_Master'!B18)</x:f>
        <x:v>NL-0017</x:v>
      </x:c>
      <x:c r="B18" s="28" t="str">
        <x:f>IF('Course_Master'!C18="","",'Course_Master'!C18)</x:f>
        <x:v>Golfparc Sandur</x:v>
      </x:c>
      <x:c r="C18" s="28" t="str">
        <x:f>IF('Course_Master'!D18="","",'Course_Master'!D18)</x:f>
        <x:v>Golfparc Sandur</x:v>
      </x:c>
      <x:c r="D18" s="28" t="str">
        <x:f>IF('Course_Master'!E18="","",'Course_Master'!E18)</x:f>
        <x:v>Course</x:v>
      </x:c>
      <x:c r="E18" s="28" t="str">
        <x:f>IF('Course_Master'!F18="","",'Course_Master'!F18)</x:f>
        <x:v>Netherlands</x:v>
      </x:c>
      <x:c r="F18" s="28" t="str">
        <x:f>IF('Course_Master'!G18="","",'Course_Master'!G18)</x:f>
        <x:v>Drenthe</x:v>
      </x:c>
      <x:c r="G18" s="28" t="str">
        <x:f>IF('Course_Master'!H18="","",'Course_Master'!H18)</x:f>
        <x:v>Emmen</x:v>
      </x:c>
      <x:c r="H18" s="28" t="str">
        <x:f>IF('Course_Master'!I18="","",'Course_Master'!I18)</x:f>
        <x:v>Emmen</x:v>
      </x:c>
      <x:c r="I18" s="28" t="str">
        <x:f>IF('Course_Master'!K18="","",'Course_Master'!K18)</x:f>
        <x:v>7828 AL</x:v>
      </x:c>
      <x:c r="J18" s="34" t="n">
        <x:f>IF('Course_Master'!L18="","",'Course_Master'!L18)</x:f>
        <x:v>52.7290205</x:v>
      </x:c>
      <x:c r="K18" s="34" t="n">
        <x:f>IF('Course_Master'!M18="","",'Course_Master'!M18)</x:f>
        <x:v>6.91340337</x:v>
      </x:c>
      <x:c r="L18" s="28" t="n">
        <x:f>IF('Course_Master'!S18="","",'Course_Master'!S18)</x:f>
        <x:v>9</x:v>
      </x:c>
      <x:c r="M18" s="28" t="n">
        <x:f>IF('Course_Master'!T18="","",'Course_Master'!T18)</x:f>
        <x:v>34</x:v>
      </x:c>
      <x:c r="N18" s="28" t="n">
        <x:f>IF('Course_Master'!Q18="","",'Course_Master'!Q18)</x:f>
        <x:v>2641</x:v>
      </x:c>
      <x:c r="O18" s="28" t="n">
        <x:f>IF('Course_Master'!R18="","",'Course_Master'!R18)</x:f>
        <x:v>2415</x:v>
      </x:c>
      <x:c r="P18" s="28" t="str">
        <x:f>IF('Course_Master'!U18="","",'Course_Master'!U18)</x:f>
        <x:v>Full-length course</x:v>
      </x:c>
      <x:c r="Q18" s="28" t="str">
        <x:f>IF('Course_Master'!AD18="","",'Course_Master'!AD18)</x:f>
        <x:v>Public — handicap 54 or lower</x:v>
      </x:c>
      <x:c r="R18" s="28" t="str">
        <x:f>IF('Course_Master'!AC18="","",'Course_Master'!AC18)</x:f>
        <x:v>Open</x:v>
      </x:c>
      <x:c r="S18" s="28" t="str">
        <x:f>IF('Course_Master'!Y18="","",'Course_Master'!Y18)</x:f>
        <x:v>https://www.golfparcsandur.nl/</x:v>
      </x:c>
      <x:c r="T18" s="28" t="b">
        <x:f>IF('Course_Master'!Z18="","",'Course_Master'!Z18)</x:f>
        <x:v>1</x:v>
      </x:c>
      <x:c r="U18" s="28" t="b">
        <x:f>IF('Course_Master'!AA18="","",'Course_Master'!AA18)</x:f>
        <x:v>1</x:v>
      </x:c>
      <x:c r="V18" s="28" t="str">
        <x:f>IF('Course_Master'!AL18="","",'Course_Master'!AL18)</x:f>
        <x:v>Verified — national register and exact BAG address</x:v>
      </x:c>
    </x:row>
    <x:row r="19">
      <x:c r="A19" s="28" t="str">
        <x:f>IF('Course_Master'!B19="","",'Course_Master'!B19)</x:f>
        <x:v>NL-0018</x:v>
      </x:c>
      <x:c r="B19" s="28" t="str">
        <x:f>IF('Course_Master'!C19="","",'Course_Master'!C19)</x:f>
        <x:v>Landgoed Zwartemeer — Shortgolf / Pitch &amp; Putt Course</x:v>
      </x:c>
      <x:c r="C19" s="28" t="str">
        <x:f>IF('Course_Master'!D19="","",'Course_Master'!D19)</x:f>
        <x:v>Landgoed Zwartemeer</x:v>
      </x:c>
      <x:c r="D19" s="28" t="str">
        <x:f>IF('Course_Master'!E19="","",'Course_Master'!E19)</x:f>
        <x:v>Shortgolf / Pitch &amp; Putt Course</x:v>
      </x:c>
      <x:c r="E19" s="28" t="str">
        <x:f>IF('Course_Master'!F19="","",'Course_Master'!F19)</x:f>
        <x:v>Netherlands</x:v>
      </x:c>
      <x:c r="F19" s="28" t="str">
        <x:f>IF('Course_Master'!G19="","",'Course_Master'!G19)</x:f>
        <x:v>Drenthe</x:v>
      </x:c>
      <x:c r="G19" s="28" t="str">
        <x:f>IF('Course_Master'!H19="","",'Course_Master'!H19)</x:f>
        <x:v>Emmen</x:v>
      </x:c>
      <x:c r="H19" s="28" t="str">
        <x:f>IF('Course_Master'!I19="","",'Course_Master'!I19)</x:f>
        <x:v>Zwartemeer</x:v>
      </x:c>
      <x:c r="I19" s="28" t="str">
        <x:f>IF('Course_Master'!K19="","",'Course_Master'!K19)</x:f>
        <x:v>7894 EA</x:v>
      </x:c>
      <x:c r="J19" s="34" t="n">
        <x:f>IF('Course_Master'!L19="","",'Course_Master'!L19)</x:f>
        <x:v>52.7245166</x:v>
      </x:c>
      <x:c r="K19" s="34" t="n">
        <x:f>IF('Course_Master'!M19="","",'Course_Master'!M19)</x:f>
        <x:v>7.03203204</x:v>
      </x:c>
      <x:c r="L19" s="28" t="n">
        <x:f>IF('Course_Master'!S19="","",'Course_Master'!S19)</x:f>
        <x:v>18</x:v>
      </x:c>
      <x:c r="M19" s="28" t="n">
        <x:f>IF('Course_Master'!T19="","",'Course_Master'!T19)</x:f>
        <x:v>54</x:v>
      </x:c>
      <x:c r="N19" s="28" t="n">
        <x:f>IF('Course_Master'!Q19="","",'Course_Master'!Q19)</x:f>
        <x:v>984</x:v>
      </x:c>
      <x:c r="O19" s="28" t="n">
        <x:f>IF('Course_Master'!R19="","",'Course_Master'!R19)</x:f>
        <x:v>900</x:v>
      </x:c>
      <x:c r="P19" s="28" t="str">
        <x:f>IF('Course_Master'!U19="","",'Course_Master'!U19)</x:f>
        <x:v>Shortgolf / Pitch &amp; Putt</x:v>
      </x:c>
      <x:c r="Q19" s="28" t="str">
        <x:f>IF('Course_Master'!AD19="","",'Course_Master'!AD19)</x:f>
        <x:v>Public — no playing requirement</x:v>
      </x:c>
      <x:c r="R19" s="28" t="str">
        <x:f>IF('Course_Master'!AC19="","",'Course_Master'!AC19)</x:f>
        <x:v>Open</x:v>
      </x:c>
      <x:c r="S19" s="28" t="str">
        <x:f>IF('Course_Master'!Y19="","",'Course_Master'!Y19)</x:f>
        <x:v>https://landgoedzwartemeer.nl/</x:v>
      </x:c>
      <x:c r="T19" s="28" t="b">
        <x:f>IF('Course_Master'!Z19="","",'Course_Master'!Z19)</x:f>
        <x:v>1</x:v>
      </x:c>
      <x:c r="U19" s="28" t="b">
        <x:f>IF('Course_Master'!AA19="","",'Course_Master'!AA19)</x:f>
        <x:v>1</x:v>
      </x:c>
      <x:c r="V19" s="28" t="str">
        <x:f>IF('Course_Master'!AL19="","",'Course_Master'!AL19)</x:f>
        <x:v>Verified — national register and exact BAG address</x:v>
      </x:c>
    </x:row>
    <x:row r="20">
      <x:c r="A20" s="28" t="str">
        <x:f>IF('Course_Master'!B20="","",'Course_Master'!B20)</x:f>
        <x:v>NL-0019</x:v>
      </x:c>
      <x:c r="B20" s="28" t="str">
        <x:f>IF('Course_Master'!C20="","",'Course_Master'!C20)</x:f>
        <x:v>Pitch &amp; putt Orvelte — Shortgolf / Pitch &amp; Putt Course</x:v>
      </x:c>
      <x:c r="C20" s="28" t="str">
        <x:f>IF('Course_Master'!D20="","",'Course_Master'!D20)</x:f>
        <x:v>Pitch &amp; putt Orvelte</x:v>
      </x:c>
      <x:c r="D20" s="28" t="str">
        <x:f>IF('Course_Master'!E20="","",'Course_Master'!E20)</x:f>
        <x:v>Shortgolf / Pitch &amp; Putt Course</x:v>
      </x:c>
      <x:c r="E20" s="28" t="str">
        <x:f>IF('Course_Master'!F20="","",'Course_Master'!F20)</x:f>
        <x:v>Netherlands</x:v>
      </x:c>
      <x:c r="F20" s="28" t="str">
        <x:f>IF('Course_Master'!G20="","",'Course_Master'!G20)</x:f>
        <x:v>Drenthe</x:v>
      </x:c>
      <x:c r="G20" s="28" t="str">
        <x:f>IF('Course_Master'!H20="","",'Course_Master'!H20)</x:f>
        <x:v>Midden-Drenthe</x:v>
      </x:c>
      <x:c r="H20" s="28" t="str">
        <x:f>IF('Course_Master'!I20="","",'Course_Master'!I20)</x:f>
        <x:v>Witteveen</x:v>
      </x:c>
      <x:c r="I20" s="28" t="str">
        <x:f>IF('Course_Master'!K20="","",'Course_Master'!K20)</x:f>
        <x:v>9439 TD</x:v>
      </x:c>
      <x:c r="J20" s="34" t="n">
        <x:f>IF('Course_Master'!L20="","",'Course_Master'!L20)</x:f>
        <x:v>52.83428685</x:v>
      </x:c>
      <x:c r="K20" s="34" t="n">
        <x:f>IF('Course_Master'!M20="","",'Course_Master'!M20)</x:f>
        <x:v>6.66663431</x:v>
      </x:c>
      <x:c r="L20" s="28" t="n">
        <x:f>IF('Course_Master'!S20="","",'Course_Master'!S20)</x:f>
        <x:v>18</x:v>
      </x:c>
      <x:c r="M20" s="28" t="n">
        <x:f>IF('Course_Master'!T20="","",'Course_Master'!T20)</x:f>
        <x:v>54</x:v>
      </x:c>
      <x:c r="N20" s="28" t="n">
        <x:f>IF('Course_Master'!Q20="","",'Course_Master'!Q20)</x:f>
        <x:v>943</x:v>
      </x:c>
      <x:c r="O20" s="28" t="n">
        <x:f>IF('Course_Master'!R20="","",'Course_Master'!R20)</x:f>
        <x:v>862</x:v>
      </x:c>
      <x:c r="P20" s="28" t="str">
        <x:f>IF('Course_Master'!U20="","",'Course_Master'!U20)</x:f>
        <x:v>Shortgolf / Pitch &amp; Putt</x:v>
      </x:c>
      <x:c r="Q20" s="28" t="str">
        <x:f>IF('Course_Master'!AD20="","",'Course_Master'!AD20)</x:f>
        <x:v>Public — no playing requirement</x:v>
      </x:c>
      <x:c r="R20" s="28" t="str">
        <x:f>IF('Course_Master'!AC20="","",'Course_Master'!AC20)</x:f>
        <x:v>Open</x:v>
      </x:c>
      <x:c r="S20" s="28" t="str">
        <x:f>IF('Course_Master'!Y20="","",'Course_Master'!Y20)</x:f>
        <x:v>https://www.landal.nl/parken/orveltermarke/</x:v>
      </x:c>
      <x:c r="T20" s="28" t="b">
        <x:f>IF('Course_Master'!Z20="","",'Course_Master'!Z20)</x:f>
        <x:v>1</x:v>
      </x:c>
      <x:c r="U20" s="28" t="b">
        <x:f>IF('Course_Master'!AA20="","",'Course_Master'!AA20)</x:f>
        <x:v>1</x:v>
      </x:c>
      <x:c r="V20" s="28" t="str">
        <x:f>IF('Course_Master'!AL20="","",'Course_Master'!AL20)</x:f>
        <x:v>Verified — national register and exact BAG address</x:v>
      </x:c>
    </x:row>
    <x:row r="21">
      <x:c r="A21" s="28" t="str">
        <x:f>IF('Course_Master'!B21="","",'Course_Master'!B21)</x:f>
        <x:v>NL-0020</x:v>
      </x:c>
      <x:c r="B21" s="28" t="str">
        <x:f>IF('Course_Master'!C21="","",'Course_Master'!C21)</x:f>
        <x:v>Golfbaan Dorhout Mees</x:v>
      </x:c>
      <x:c r="C21" s="28" t="str">
        <x:f>IF('Course_Master'!D21="","",'Course_Master'!D21)</x:f>
        <x:v>Golfbaan Dorhout Mees</x:v>
      </x:c>
      <x:c r="D21" s="28" t="str">
        <x:f>IF('Course_Master'!E21="","",'Course_Master'!E21)</x:f>
        <x:v>Course</x:v>
      </x:c>
      <x:c r="E21" s="28" t="str">
        <x:f>IF('Course_Master'!F21="","",'Course_Master'!F21)</x:f>
        <x:v>Netherlands</x:v>
      </x:c>
      <x:c r="F21" s="28" t="str">
        <x:f>IF('Course_Master'!G21="","",'Course_Master'!G21)</x:f>
        <x:v>Flevoland</x:v>
      </x:c>
      <x:c r="G21" s="28" t="str">
        <x:f>IF('Course_Master'!H21="","",'Course_Master'!H21)</x:f>
        <x:v>Dronten</x:v>
      </x:c>
      <x:c r="H21" s="28" t="str">
        <x:f>IF('Course_Master'!I21="","",'Course_Master'!I21)</x:f>
        <x:v>Biddinghuizen</x:v>
      </x:c>
      <x:c r="I21" s="28" t="str">
        <x:f>IF('Course_Master'!K21="","",'Course_Master'!K21)</x:f>
        <x:v>8256 PZ</x:v>
      </x:c>
      <x:c r="J21" s="34" t="n">
        <x:f>IF('Course_Master'!L21="","",'Course_Master'!L21)</x:f>
        <x:v>52.40985994</x:v>
      </x:c>
      <x:c r="K21" s="34" t="n">
        <x:f>IF('Course_Master'!M21="","",'Course_Master'!M21)</x:f>
        <x:v>5.67777005</x:v>
      </x:c>
      <x:c r="L21" s="28" t="n">
        <x:f>IF('Course_Master'!S21="","",'Course_Master'!S21)</x:f>
        <x:v>9</x:v>
      </x:c>
      <x:c r="M21" s="28" t="n">
        <x:f>IF('Course_Master'!T21="","",'Course_Master'!T21)</x:f>
        <x:v>35</x:v>
      </x:c>
      <x:c r="N21" s="28" t="n">
        <x:f>IF('Course_Master'!Q21="","",'Course_Master'!Q21)</x:f>
        <x:v>3024</x:v>
      </x:c>
      <x:c r="O21" s="28" t="n">
        <x:f>IF('Course_Master'!R21="","",'Course_Master'!R21)</x:f>
        <x:v>2765</x:v>
      </x:c>
      <x:c r="P21" s="28" t="str">
        <x:f>IF('Course_Master'!U21="","",'Course_Master'!U21)</x:f>
        <x:v>Full-length course</x:v>
      </x:c>
      <x:c r="Q21" s="28" t="str">
        <x:f>IF('Course_Master'!AD21="","",'Course_Master'!AD21)</x:f>
        <x:v>Public — handicap 54 or lower</x:v>
      </x:c>
      <x:c r="R21" s="28" t="str">
        <x:f>IF('Course_Master'!AC21="","",'Course_Master'!AC21)</x:f>
        <x:v>Open</x:v>
      </x:c>
      <x:c r="S21" s="28" t="str">
        <x:f>IF('Course_Master'!Y21="","",'Course_Master'!Y21)</x:f>
        <x:v>https://www.dorhoutmeesgolf.nl/</x:v>
      </x:c>
      <x:c r="T21" s="28" t="b">
        <x:f>IF('Course_Master'!Z21="","",'Course_Master'!Z21)</x:f>
        <x:v>1</x:v>
      </x:c>
      <x:c r="U21" s="28" t="b">
        <x:f>IF('Course_Master'!AA21="","",'Course_Master'!AA21)</x:f>
        <x:v>1</x:v>
      </x:c>
      <x:c r="V21" s="28" t="str">
        <x:f>IF('Course_Master'!AL21="","",'Course_Master'!AL21)</x:f>
        <x:v>Verified — national register and exact BAG address</x:v>
      </x:c>
    </x:row>
    <x:row r="22">
      <x:c r="A22" s="28" t="str">
        <x:f>IF('Course_Master'!B22="","",'Course_Master'!B22)</x:f>
        <x:v>NL-0021</x:v>
      </x:c>
      <x:c r="B22" s="28" t="str">
        <x:f>IF('Course_Master'!C22="","",'Course_Master'!C22)</x:f>
        <x:v>Golfclub Almeerderhout — Gooimeer</x:v>
      </x:c>
      <x:c r="C22" s="28" t="str">
        <x:f>IF('Course_Master'!D22="","",'Course_Master'!D22)</x:f>
        <x:v>Golfclub Almeerderhout</x:v>
      </x:c>
      <x:c r="D22" s="28" t="str">
        <x:f>IF('Course_Master'!E22="","",'Course_Master'!E22)</x:f>
        <x:v>Gooimeer</x:v>
      </x:c>
      <x:c r="E22" s="28" t="str">
        <x:f>IF('Course_Master'!F22="","",'Course_Master'!F22)</x:f>
        <x:v>Netherlands</x:v>
      </x:c>
      <x:c r="F22" s="28" t="str">
        <x:f>IF('Course_Master'!G22="","",'Course_Master'!G22)</x:f>
        <x:v>Flevoland</x:v>
      </x:c>
      <x:c r="G22" s="28" t="str">
        <x:f>IF('Course_Master'!H22="","",'Course_Master'!H22)</x:f>
        <x:v>Almere</x:v>
      </x:c>
      <x:c r="H22" s="28" t="str">
        <x:f>IF('Course_Master'!I22="","",'Course_Master'!I22)</x:f>
        <x:v>Almere</x:v>
      </x:c>
      <x:c r="I22" s="28" t="str">
        <x:f>IF('Course_Master'!K22="","",'Course_Master'!K22)</x:f>
        <x:v>1341 AA</x:v>
      </x:c>
      <x:c r="J22" s="34" t="n">
        <x:f>IF('Course_Master'!L22="","",'Course_Master'!L22)</x:f>
        <x:v>52.34726516</x:v>
      </x:c>
      <x:c r="K22" s="34" t="n">
        <x:f>IF('Course_Master'!M22="","",'Course_Master'!M22)</x:f>
        <x:v>5.28844461</x:v>
      </x:c>
      <x:c r="L22" s="28" t="n">
        <x:f>IF('Course_Master'!S22="","",'Course_Master'!S22)</x:f>
        <x:v>9</x:v>
      </x:c>
      <x:c r="M22" s="28" t="n">
        <x:f>IF('Course_Master'!T22="","",'Course_Master'!T22)</x:f>
        <x:v>36</x:v>
      </x:c>
      <x:c r="N22" s="28" t="n">
        <x:f>IF('Course_Master'!Q22="","",'Course_Master'!Q22)</x:f>
        <x:v>3404</x:v>
      </x:c>
      <x:c r="O22" s="28" t="n">
        <x:f>IF('Course_Master'!R22="","",'Course_Master'!R22)</x:f>
        <x:v>3113</x:v>
      </x:c>
      <x:c r="P22" s="28" t="str">
        <x:f>IF('Course_Master'!U22="","",'Course_Master'!U22)</x:f>
        <x:v>Full-length course</x:v>
      </x:c>
      <x:c r="Q22" s="28" t="str">
        <x:f>IF('Course_Master'!AD22="","",'Course_Master'!AD22)</x:f>
        <x:v>Public — handicap 54 or lower</x:v>
      </x:c>
      <x:c r="R22" s="28" t="str">
        <x:f>IF('Course_Master'!AC22="","",'Course_Master'!AC22)</x:f>
        <x:v>Open</x:v>
      </x:c>
      <x:c r="S22" s="28" t="str">
        <x:f>IF('Course_Master'!Y22="","",'Course_Master'!Y22)</x:f>
        <x:v>https://www.almeerderhout.nl/</x:v>
      </x:c>
      <x:c r="T22" s="28" t="b">
        <x:f>IF('Course_Master'!Z22="","",'Course_Master'!Z22)</x:f>
        <x:v>1</x:v>
      </x:c>
      <x:c r="U22" s="28" t="b">
        <x:f>IF('Course_Master'!AA22="","",'Course_Master'!AA22)</x:f>
        <x:v>1</x:v>
      </x:c>
      <x:c r="V22" s="28" t="str">
        <x:f>IF('Course_Master'!AL22="","",'Course_Master'!AL22)</x:f>
        <x:v>Verified — national register and exact BAG address</x:v>
      </x:c>
    </x:row>
    <x:row r="23">
      <x:c r="A23" s="28" t="str">
        <x:f>IF('Course_Master'!B23="","",'Course_Master'!B23)</x:f>
        <x:v>NL-0022</x:v>
      </x:c>
      <x:c r="B23" s="28" t="str">
        <x:f>IF('Course_Master'!C23="","",'Course_Master'!C23)</x:f>
        <x:v>Golfclub Almeerderhout — IJmeer</x:v>
      </x:c>
      <x:c r="C23" s="28" t="str">
        <x:f>IF('Course_Master'!D23="","",'Course_Master'!D23)</x:f>
        <x:v>Golfclub Almeerderhout</x:v>
      </x:c>
      <x:c r="D23" s="28" t="str">
        <x:f>IF('Course_Master'!E23="","",'Course_Master'!E23)</x:f>
        <x:v>IJmeer</x:v>
      </x:c>
      <x:c r="E23" s="28" t="str">
        <x:f>IF('Course_Master'!F23="","",'Course_Master'!F23)</x:f>
        <x:v>Netherlands</x:v>
      </x:c>
      <x:c r="F23" s="28" t="str">
        <x:f>IF('Course_Master'!G23="","",'Course_Master'!G23)</x:f>
        <x:v>Flevoland</x:v>
      </x:c>
      <x:c r="G23" s="28" t="str">
        <x:f>IF('Course_Master'!H23="","",'Course_Master'!H23)</x:f>
        <x:v>Almere</x:v>
      </x:c>
      <x:c r="H23" s="28" t="str">
        <x:f>IF('Course_Master'!I23="","",'Course_Master'!I23)</x:f>
        <x:v>Almere</x:v>
      </x:c>
      <x:c r="I23" s="28" t="str">
        <x:f>IF('Course_Master'!K23="","",'Course_Master'!K23)</x:f>
        <x:v>1341 AA</x:v>
      </x:c>
      <x:c r="J23" s="34" t="n">
        <x:f>IF('Course_Master'!L23="","",'Course_Master'!L23)</x:f>
        <x:v>52.34726516</x:v>
      </x:c>
      <x:c r="K23" s="34" t="n">
        <x:f>IF('Course_Master'!M23="","",'Course_Master'!M23)</x:f>
        <x:v>5.28844461</x:v>
      </x:c>
      <x:c r="L23" s="28" t="n">
        <x:f>IF('Course_Master'!S23="","",'Course_Master'!S23)</x:f>
        <x:v>9</x:v>
      </x:c>
      <x:c r="M23" s="28" t="n">
        <x:f>IF('Course_Master'!T23="","",'Course_Master'!T23)</x:f>
        <x:v>36</x:v>
      </x:c>
      <x:c r="N23" s="28" t="n">
        <x:f>IF('Course_Master'!Q23="","",'Course_Master'!Q23)</x:f>
        <x:v>3406</x:v>
      </x:c>
      <x:c r="O23" s="28" t="n">
        <x:f>IF('Course_Master'!R23="","",'Course_Master'!R23)</x:f>
        <x:v>3114</x:v>
      </x:c>
      <x:c r="P23" s="28" t="str">
        <x:f>IF('Course_Master'!U23="","",'Course_Master'!U23)</x:f>
        <x:v>Full-length course</x:v>
      </x:c>
      <x:c r="Q23" s="28" t="str">
        <x:f>IF('Course_Master'!AD23="","",'Course_Master'!AD23)</x:f>
        <x:v>Public — handicap 54 or lower</x:v>
      </x:c>
      <x:c r="R23" s="28" t="str">
        <x:f>IF('Course_Master'!AC23="","",'Course_Master'!AC23)</x:f>
        <x:v>Open</x:v>
      </x:c>
      <x:c r="S23" s="28" t="str">
        <x:f>IF('Course_Master'!Y23="","",'Course_Master'!Y23)</x:f>
        <x:v>https://www.almeerderhout.nl/</x:v>
      </x:c>
      <x:c r="T23" s="28" t="b">
        <x:f>IF('Course_Master'!Z23="","",'Course_Master'!Z23)</x:f>
        <x:v>1</x:v>
      </x:c>
      <x:c r="U23" s="28" t="b">
        <x:f>IF('Course_Master'!AA23="","",'Course_Master'!AA23)</x:f>
        <x:v>1</x:v>
      </x:c>
      <x:c r="V23" s="28" t="str">
        <x:f>IF('Course_Master'!AL23="","",'Course_Master'!AL23)</x:f>
        <x:v>Verified — national register and exact BAG address</x:v>
      </x:c>
    </x:row>
    <x:row r="24">
      <x:c r="A24" s="28" t="str">
        <x:f>IF('Course_Master'!B24="","",'Course_Master'!B24)</x:f>
        <x:v>NL-0023</x:v>
      </x:c>
      <x:c r="B24" s="28" t="str">
        <x:f>IF('Course_Master'!C24="","",'Course_Master'!C24)</x:f>
        <x:v>Golfclub Almeerderhout — Markermeer</x:v>
      </x:c>
      <x:c r="C24" s="28" t="str">
        <x:f>IF('Course_Master'!D24="","",'Course_Master'!D24)</x:f>
        <x:v>Golfclub Almeerderhout</x:v>
      </x:c>
      <x:c r="D24" s="28" t="str">
        <x:f>IF('Course_Master'!E24="","",'Course_Master'!E24)</x:f>
        <x:v>Markermeer</x:v>
      </x:c>
      <x:c r="E24" s="28" t="str">
        <x:f>IF('Course_Master'!F24="","",'Course_Master'!F24)</x:f>
        <x:v>Netherlands</x:v>
      </x:c>
      <x:c r="F24" s="28" t="str">
        <x:f>IF('Course_Master'!G24="","",'Course_Master'!G24)</x:f>
        <x:v>Flevoland</x:v>
      </x:c>
      <x:c r="G24" s="28" t="str">
        <x:f>IF('Course_Master'!H24="","",'Course_Master'!H24)</x:f>
        <x:v>Almere</x:v>
      </x:c>
      <x:c r="H24" s="28" t="str">
        <x:f>IF('Course_Master'!I24="","",'Course_Master'!I24)</x:f>
        <x:v>Almere</x:v>
      </x:c>
      <x:c r="I24" s="28" t="str">
        <x:f>IF('Course_Master'!K24="","",'Course_Master'!K24)</x:f>
        <x:v>1341 AA</x:v>
      </x:c>
      <x:c r="J24" s="34" t="n">
        <x:f>IF('Course_Master'!L24="","",'Course_Master'!L24)</x:f>
        <x:v>52.34726516</x:v>
      </x:c>
      <x:c r="K24" s="34" t="n">
        <x:f>IF('Course_Master'!M24="","",'Course_Master'!M24)</x:f>
        <x:v>5.28844461</x:v>
      </x:c>
      <x:c r="L24" s="28" t="n">
        <x:f>IF('Course_Master'!S24="","",'Course_Master'!S24)</x:f>
        <x:v>9</x:v>
      </x:c>
      <x:c r="M24" s="28" t="n">
        <x:f>IF('Course_Master'!T24="","",'Course_Master'!T24)</x:f>
        <x:v>36</x:v>
      </x:c>
      <x:c r="N24" s="28" t="n">
        <x:f>IF('Course_Master'!Q24="","",'Course_Master'!Q24)</x:f>
        <x:v>3517</x:v>
      </x:c>
      <x:c r="O24" s="28" t="n">
        <x:f>IF('Course_Master'!R24="","",'Course_Master'!R24)</x:f>
        <x:v>3216</x:v>
      </x:c>
      <x:c r="P24" s="28" t="str">
        <x:f>IF('Course_Master'!U24="","",'Course_Master'!U24)</x:f>
        <x:v>Full-length course</x:v>
      </x:c>
      <x:c r="Q24" s="28" t="str">
        <x:f>IF('Course_Master'!AD24="","",'Course_Master'!AD24)</x:f>
        <x:v>Public — handicap 54 or lower</x:v>
      </x:c>
      <x:c r="R24" s="28" t="str">
        <x:f>IF('Course_Master'!AC24="","",'Course_Master'!AC24)</x:f>
        <x:v>Open</x:v>
      </x:c>
      <x:c r="S24" s="28" t="str">
        <x:f>IF('Course_Master'!Y24="","",'Course_Master'!Y24)</x:f>
        <x:v>https://www.almeerderhout.nl/</x:v>
      </x:c>
      <x:c r="T24" s="28" t="b">
        <x:f>IF('Course_Master'!Z24="","",'Course_Master'!Z24)</x:f>
        <x:v>1</x:v>
      </x:c>
      <x:c r="U24" s="28" t="b">
        <x:f>IF('Course_Master'!AA24="","",'Course_Master'!AA24)</x:f>
        <x:v>1</x:v>
      </x:c>
      <x:c r="V24" s="28" t="str">
        <x:f>IF('Course_Master'!AL24="","",'Course_Master'!AL24)</x:f>
        <x:v>Verified — national register and exact BAG address</x:v>
      </x:c>
    </x:row>
    <x:row r="25">
      <x:c r="A25" s="28" t="str">
        <x:f>IF('Course_Master'!B25="","",'Course_Master'!B25)</x:f>
        <x:v>NL-0024</x:v>
      </x:c>
      <x:c r="B25" s="28" t="str">
        <x:f>IF('Course_Master'!C25="","",'Course_Master'!C25)</x:f>
        <x:v>Golfclub Almeerderhout — Par-3 Course</x:v>
      </x:c>
      <x:c r="C25" s="28" t="str">
        <x:f>IF('Course_Master'!D25="","",'Course_Master'!D25)</x:f>
        <x:v>Golfclub Almeerderhout</x:v>
      </x:c>
      <x:c r="D25" s="28" t="str">
        <x:f>IF('Course_Master'!E25="","",'Course_Master'!E25)</x:f>
        <x:v>Par-3 Course</x:v>
      </x:c>
      <x:c r="E25" s="28" t="str">
        <x:f>IF('Course_Master'!F25="","",'Course_Master'!F25)</x:f>
        <x:v>Netherlands</x:v>
      </x:c>
      <x:c r="F25" s="28" t="str">
        <x:f>IF('Course_Master'!G25="","",'Course_Master'!G25)</x:f>
        <x:v>Flevoland</x:v>
      </x:c>
      <x:c r="G25" s="28" t="str">
        <x:f>IF('Course_Master'!H25="","",'Course_Master'!H25)</x:f>
        <x:v>Almere</x:v>
      </x:c>
      <x:c r="H25" s="28" t="str">
        <x:f>IF('Course_Master'!I25="","",'Course_Master'!I25)</x:f>
        <x:v>Almere</x:v>
      </x:c>
      <x:c r="I25" s="28" t="str">
        <x:f>IF('Course_Master'!K25="","",'Course_Master'!K25)</x:f>
        <x:v>1341 AA</x:v>
      </x:c>
      <x:c r="J25" s="34" t="n">
        <x:f>IF('Course_Master'!L25="","",'Course_Master'!L25)</x:f>
        <x:v>52.34726516</x:v>
      </x:c>
      <x:c r="K25" s="34" t="n">
        <x:f>IF('Course_Master'!M25="","",'Course_Master'!M25)</x:f>
        <x:v>5.28844461</x:v>
      </x:c>
      <x:c r="L25" s="28" t="n">
        <x:f>IF('Course_Master'!S25="","",'Course_Master'!S25)</x:f>
        <x:v>9</x:v>
      </x:c>
      <x:c r="M25" s="28" t="n">
        <x:f>IF('Course_Master'!T25="","",'Course_Master'!T25)</x:f>
        <x:v>27</x:v>
      </x:c>
      <x:c r="N25" s="28" t="n">
        <x:f>IF('Course_Master'!Q25="","",'Course_Master'!Q25)</x:f>
        <x:v>1153</x:v>
      </x:c>
      <x:c r="O25" s="28" t="n">
        <x:f>IF('Course_Master'!R25="","",'Course_Master'!R25)</x:f>
        <x:v>1054</x:v>
      </x:c>
      <x:c r="P25" s="28" t="str">
        <x:f>IF('Course_Master'!U25="","",'Course_Master'!U25)</x:f>
        <x:v>Par-3 course</x:v>
      </x:c>
      <x:c r="Q25" s="28" t="str">
        <x:f>IF('Course_Master'!AD25="","",'Course_Master'!AD25)</x:f>
        <x:v>Public — NGF course permission</x:v>
      </x:c>
      <x:c r="R25" s="28" t="str">
        <x:f>IF('Course_Master'!AC25="","",'Course_Master'!AC25)</x:f>
        <x:v>Open</x:v>
      </x:c>
      <x:c r="S25" s="28" t="str">
        <x:f>IF('Course_Master'!Y25="","",'Course_Master'!Y25)</x:f>
        <x:v>https://www.almeerderhout.nl/</x:v>
      </x:c>
      <x:c r="T25" s="28" t="b">
        <x:f>IF('Course_Master'!Z25="","",'Course_Master'!Z25)</x:f>
        <x:v>1</x:v>
      </x:c>
      <x:c r="U25" s="28" t="b">
        <x:f>IF('Course_Master'!AA25="","",'Course_Master'!AA25)</x:f>
        <x:v>1</x:v>
      </x:c>
      <x:c r="V25" s="28" t="str">
        <x:f>IF('Course_Master'!AL25="","",'Course_Master'!AL25)</x:f>
        <x:v>Verified — national register and exact BAG address</x:v>
      </x:c>
    </x:row>
    <x:row r="26">
      <x:c r="A26" s="28" t="str">
        <x:f>IF('Course_Master'!B26="","",'Course_Master'!B26)</x:f>
        <x:v>NL-0025</x:v>
      </x:c>
      <x:c r="B26" s="28" t="str">
        <x:f>IF('Course_Master'!C26="","",'Course_Master'!C26)</x:f>
        <x:v>Golfclub Emmeloord — Main Course</x:v>
      </x:c>
      <x:c r="C26" s="28" t="str">
        <x:f>IF('Course_Master'!D26="","",'Course_Master'!D26)</x:f>
        <x:v>Golfclub Emmeloord</x:v>
      </x:c>
      <x:c r="D26" s="28" t="str">
        <x:f>IF('Course_Master'!E26="","",'Course_Master'!E26)</x:f>
        <x:v>Main Course</x:v>
      </x:c>
      <x:c r="E26" s="28" t="str">
        <x:f>IF('Course_Master'!F26="","",'Course_Master'!F26)</x:f>
        <x:v>Netherlands</x:v>
      </x:c>
      <x:c r="F26" s="28" t="str">
        <x:f>IF('Course_Master'!G26="","",'Course_Master'!G26)</x:f>
        <x:v>Flevoland</x:v>
      </x:c>
      <x:c r="G26" s="28" t="str">
        <x:f>IF('Course_Master'!H26="","",'Course_Master'!H26)</x:f>
        <x:v>Noordoostpolder</x:v>
      </x:c>
      <x:c r="H26" s="28" t="str">
        <x:f>IF('Course_Master'!I26="","",'Course_Master'!I26)</x:f>
        <x:v>Emmeloord</x:v>
      </x:c>
      <x:c r="I26" s="28" t="str">
        <x:f>IF('Course_Master'!K26="","",'Course_Master'!K26)</x:f>
        <x:v>8305 AN</x:v>
      </x:c>
      <x:c r="J26" s="34" t="n">
        <x:f>IF('Course_Master'!L26="","",'Course_Master'!L26)</x:f>
        <x:v>52.73946644</x:v>
      </x:c>
      <x:c r="K26" s="34" t="n">
        <x:f>IF('Course_Master'!M26="","",'Course_Master'!M26)</x:f>
        <x:v>5.7807728</x:v>
      </x:c>
      <x:c r="L26" s="28" t="n">
        <x:f>IF('Course_Master'!S26="","",'Course_Master'!S26)</x:f>
        <x:v>9</x:v>
      </x:c>
      <x:c r="M26" s="28" t="n">
        <x:f>IF('Course_Master'!T26="","",'Course_Master'!T26)</x:f>
        <x:v>36</x:v>
      </x:c>
      <x:c r="N26" s="28" t="n">
        <x:f>IF('Course_Master'!Q26="","",'Course_Master'!Q26)</x:f>
        <x:v>3297</x:v>
      </x:c>
      <x:c r="O26" s="28" t="n">
        <x:f>IF('Course_Master'!R26="","",'Course_Master'!R26)</x:f>
        <x:v>3015</x:v>
      </x:c>
      <x:c r="P26" s="28" t="str">
        <x:f>IF('Course_Master'!U26="","",'Course_Master'!U26)</x:f>
        <x:v>Full-length course</x:v>
      </x:c>
      <x:c r="Q26" s="28" t="str">
        <x:f>IF('Course_Master'!AD26="","",'Course_Master'!AD26)</x:f>
        <x:v>Public — handicap 54 or lower</x:v>
      </x:c>
      <x:c r="R26" s="28" t="str">
        <x:f>IF('Course_Master'!AC26="","",'Course_Master'!AC26)</x:f>
        <x:v>Open</x:v>
      </x:c>
      <x:c r="S26" s="28" t="str">
        <x:f>IF('Course_Master'!Y26="","",'Course_Master'!Y26)</x:f>
        <x:v>https://golfclub-emmeloord.nl/</x:v>
      </x:c>
      <x:c r="T26" s="28" t="b">
        <x:f>IF('Course_Master'!Z26="","",'Course_Master'!Z26)</x:f>
        <x:v>1</x:v>
      </x:c>
      <x:c r="U26" s="28" t="b">
        <x:f>IF('Course_Master'!AA26="","",'Course_Master'!AA26)</x:f>
        <x:v>1</x:v>
      </x:c>
      <x:c r="V26" s="28" t="str">
        <x:f>IF('Course_Master'!AL26="","",'Course_Master'!AL26)</x:f>
        <x:v>Verified — national register and exact BAG address</x:v>
      </x:c>
    </x:row>
    <x:row r="27">
      <x:c r="A27" s="28" t="str">
        <x:f>IF('Course_Master'!B27="","",'Course_Master'!B27)</x:f>
        <x:v>NL-0026</x:v>
      </x:c>
      <x:c r="B27" s="28" t="str">
        <x:f>IF('Course_Master'!C27="","",'Course_Master'!C27)</x:f>
        <x:v>Golfclub Emmeloord — Par-3 Course</x:v>
      </x:c>
      <x:c r="C27" s="28" t="str">
        <x:f>IF('Course_Master'!D27="","",'Course_Master'!D27)</x:f>
        <x:v>Golfclub Emmeloord</x:v>
      </x:c>
      <x:c r="D27" s="28" t="str">
        <x:f>IF('Course_Master'!E27="","",'Course_Master'!E27)</x:f>
        <x:v>Par-3 Course</x:v>
      </x:c>
      <x:c r="E27" s="28" t="str">
        <x:f>IF('Course_Master'!F27="","",'Course_Master'!F27)</x:f>
        <x:v>Netherlands</x:v>
      </x:c>
      <x:c r="F27" s="28" t="str">
        <x:f>IF('Course_Master'!G27="","",'Course_Master'!G27)</x:f>
        <x:v>Flevoland</x:v>
      </x:c>
      <x:c r="G27" s="28" t="str">
        <x:f>IF('Course_Master'!H27="","",'Course_Master'!H27)</x:f>
        <x:v>Noordoostpolder</x:v>
      </x:c>
      <x:c r="H27" s="28" t="str">
        <x:f>IF('Course_Master'!I27="","",'Course_Master'!I27)</x:f>
        <x:v>Emmeloord</x:v>
      </x:c>
      <x:c r="I27" s="28" t="str">
        <x:f>IF('Course_Master'!K27="","",'Course_Master'!K27)</x:f>
        <x:v>8305 AN</x:v>
      </x:c>
      <x:c r="J27" s="34" t="n">
        <x:f>IF('Course_Master'!L27="","",'Course_Master'!L27)</x:f>
        <x:v>52.73946644</x:v>
      </x:c>
      <x:c r="K27" s="34" t="n">
        <x:f>IF('Course_Master'!M27="","",'Course_Master'!M27)</x:f>
        <x:v>5.7807728</x:v>
      </x:c>
      <x:c r="L27" s="28" t="n">
        <x:f>IF('Course_Master'!S27="","",'Course_Master'!S27)</x:f>
        <x:v>9</x:v>
      </x:c>
      <x:c r="M27" s="28" t="n">
        <x:f>IF('Course_Master'!T27="","",'Course_Master'!T27)</x:f>
        <x:v>27</x:v>
      </x:c>
      <x:c r="N27" s="28" t="n">
        <x:f>IF('Course_Master'!Q27="","",'Course_Master'!Q27)</x:f>
        <x:v>844</x:v>
      </x:c>
      <x:c r="O27" s="28" t="n">
        <x:f>IF('Course_Master'!R27="","",'Course_Master'!R27)</x:f>
        <x:v>772</x:v>
      </x:c>
      <x:c r="P27" s="28" t="str">
        <x:f>IF('Course_Master'!U27="","",'Course_Master'!U27)</x:f>
        <x:v>Par-3 course</x:v>
      </x:c>
      <x:c r="Q27" s="28" t="str">
        <x:f>IF('Course_Master'!AD27="","",'Course_Master'!AD27)</x:f>
        <x:v>Public — handicap 54 or lower</x:v>
      </x:c>
      <x:c r="R27" s="28" t="str">
        <x:f>IF('Course_Master'!AC27="","",'Course_Master'!AC27)</x:f>
        <x:v>Open</x:v>
      </x:c>
      <x:c r="S27" s="28" t="str">
        <x:f>IF('Course_Master'!Y27="","",'Course_Master'!Y27)</x:f>
        <x:v>https://golfclub-emmeloord.nl/</x:v>
      </x:c>
      <x:c r="T27" s="28" t="b">
        <x:f>IF('Course_Master'!Z27="","",'Course_Master'!Z27)</x:f>
        <x:v>1</x:v>
      </x:c>
      <x:c r="U27" s="28" t="b">
        <x:f>IF('Course_Master'!AA27="","",'Course_Master'!AA27)</x:f>
        <x:v>1</x:v>
      </x:c>
      <x:c r="V27" s="28" t="str">
        <x:f>IF('Course_Master'!AL27="","",'Course_Master'!AL27)</x:f>
        <x:v>Verified — national register and exact BAG address</x:v>
      </x:c>
    </x:row>
    <x:row r="28">
      <x:c r="A28" s="28" t="str">
        <x:f>IF('Course_Master'!B28="","",'Course_Master'!B28)</x:f>
        <x:v>NL-0027</x:v>
      </x:c>
      <x:c r="B28" s="28" t="str">
        <x:f>IF('Course_Master'!C28="","",'Course_Master'!C28)</x:f>
        <x:v>Golfclub Flevoland</x:v>
      </x:c>
      <x:c r="C28" s="28" t="str">
        <x:f>IF('Course_Master'!D28="","",'Course_Master'!D28)</x:f>
        <x:v>Golfclub Flevoland</x:v>
      </x:c>
      <x:c r="D28" s="28" t="str">
        <x:f>IF('Course_Master'!E28="","",'Course_Master'!E28)</x:f>
        <x:v>Course</x:v>
      </x:c>
      <x:c r="E28" s="28" t="str">
        <x:f>IF('Course_Master'!F28="","",'Course_Master'!F28)</x:f>
        <x:v>Netherlands</x:v>
      </x:c>
      <x:c r="F28" s="28" t="str">
        <x:f>IF('Course_Master'!G28="","",'Course_Master'!G28)</x:f>
        <x:v>Flevoland</x:v>
      </x:c>
      <x:c r="G28" s="28" t="str">
        <x:f>IF('Course_Master'!H28="","",'Course_Master'!H28)</x:f>
        <x:v>Lelystad</x:v>
      </x:c>
      <x:c r="H28" s="28" t="str">
        <x:f>IF('Course_Master'!I28="","",'Course_Master'!I28)</x:f>
        <x:v>Lelystad</x:v>
      </x:c>
      <x:c r="I28" s="28" t="str">
        <x:f>IF('Course_Master'!K28="","",'Course_Master'!K28)</x:f>
        <x:v>8241 BE</x:v>
      </x:c>
      <x:c r="J28" s="34" t="n">
        <x:f>IF('Course_Master'!L28="","",'Course_Master'!L28)</x:f>
        <x:v>52.54210486</x:v>
      </x:c>
      <x:c r="K28" s="34" t="n">
        <x:f>IF('Course_Master'!M28="","",'Course_Master'!M28)</x:f>
        <x:v>5.45672971</x:v>
      </x:c>
      <x:c r="L28" s="28" t="n">
        <x:f>IF('Course_Master'!S28="","",'Course_Master'!S28)</x:f>
        <x:v>12</x:v>
      </x:c>
      <x:c r="M28" s="28" t="n">
        <x:f>IF('Course_Master'!T28="","",'Course_Master'!T28)</x:f>
        <x:v>47</x:v>
      </x:c>
      <x:c r="N28" s="28" t="n">
        <x:f>IF('Course_Master'!Q28="","",'Course_Master'!Q28)</x:f>
        <x:v>4105</x:v>
      </x:c>
      <x:c r="O28" s="28" t="n">
        <x:f>IF('Course_Master'!R28="","",'Course_Master'!R28)</x:f>
        <x:v>3754</x:v>
      </x:c>
      <x:c r="P28" s="28" t="str">
        <x:f>IF('Course_Master'!U28="","",'Course_Master'!U28)</x:f>
        <x:v>Full-length course</x:v>
      </x:c>
      <x:c r="Q28" s="28" t="str">
        <x:f>IF('Course_Master'!AD28="","",'Course_Master'!AD28)</x:f>
        <x:v>Public — handicap 54 or lower</x:v>
      </x:c>
      <x:c r="R28" s="28" t="str">
        <x:f>IF('Course_Master'!AC28="","",'Course_Master'!AC28)</x:f>
        <x:v>Open</x:v>
      </x:c>
      <x:c r="S28" s="28" t="str">
        <x:f>IF('Course_Master'!Y28="","",'Course_Master'!Y28)</x:f>
        <x:v>https://www.gcflevoland.nl/</x:v>
      </x:c>
      <x:c r="T28" s="28" t="b">
        <x:f>IF('Course_Master'!Z28="","",'Course_Master'!Z28)</x:f>
        <x:v>1</x:v>
      </x:c>
      <x:c r="U28" s="28" t="b">
        <x:f>IF('Course_Master'!AA28="","",'Course_Master'!AA28)</x:f>
        <x:v>1</x:v>
      </x:c>
      <x:c r="V28" s="28" t="str">
        <x:f>IF('Course_Master'!AL28="","",'Course_Master'!AL28)</x:f>
        <x:v>Verified — national register and exact BAG address</x:v>
      </x:c>
    </x:row>
    <x:row r="29">
      <x:c r="A29" s="28" t="str">
        <x:f>IF('Course_Master'!B29="","",'Course_Master'!B29)</x:f>
        <x:v>NL-0028</x:v>
      </x:c>
      <x:c r="B29" s="28" t="str">
        <x:f>IF('Course_Master'!C29="","",'Course_Master'!C29)</x:f>
        <x:v>Golfclub Golfresidentie Dronten — Main Course</x:v>
      </x:c>
      <x:c r="C29" s="28" t="str">
        <x:f>IF('Course_Master'!D29="","",'Course_Master'!D29)</x:f>
        <x:v>Golfclub Golfresidentie Dronten</x:v>
      </x:c>
      <x:c r="D29" s="28" t="str">
        <x:f>IF('Course_Master'!E29="","",'Course_Master'!E29)</x:f>
        <x:v>Main Course</x:v>
      </x:c>
      <x:c r="E29" s="28" t="str">
        <x:f>IF('Course_Master'!F29="","",'Course_Master'!F29)</x:f>
        <x:v>Netherlands</x:v>
      </x:c>
      <x:c r="F29" s="28" t="str">
        <x:f>IF('Course_Master'!G29="","",'Course_Master'!G29)</x:f>
        <x:v>Flevoland</x:v>
      </x:c>
      <x:c r="G29" s="28" t="str">
        <x:f>IF('Course_Master'!H29="","",'Course_Master'!H29)</x:f>
        <x:v>Dronten</x:v>
      </x:c>
      <x:c r="H29" s="28" t="str">
        <x:f>IF('Course_Master'!I29="","",'Course_Master'!I29)</x:f>
        <x:v>Dronten</x:v>
      </x:c>
      <x:c r="I29" s="28" t="str">
        <x:f>IF('Course_Master'!K29="","",'Course_Master'!K29)</x:f>
        <x:v>8251 NS</x:v>
      </x:c>
      <x:c r="J29" s="34" t="n">
        <x:f>IF('Course_Master'!L29="","",'Course_Master'!L29)</x:f>
        <x:v>52.50035221</x:v>
      </x:c>
      <x:c r="K29" s="34" t="n">
        <x:f>IF('Course_Master'!M29="","",'Course_Master'!M29)</x:f>
        <x:v>5.71046503</x:v>
      </x:c>
      <x:c r="L29" s="28" t="n">
        <x:f>IF('Course_Master'!S29="","",'Course_Master'!S29)</x:f>
        <x:v>18</x:v>
      </x:c>
      <x:c r="M29" s="28" t="n">
        <x:f>IF('Course_Master'!T29="","",'Course_Master'!T29)</x:f>
        <x:v>72</x:v>
      </x:c>
      <x:c r="N29" s="28" t="n">
        <x:f>IF('Course_Master'!Q29="","",'Course_Master'!Q29)</x:f>
        <x:v>6705</x:v>
      </x:c>
      <x:c r="O29" s="28" t="n">
        <x:f>IF('Course_Master'!R29="","",'Course_Master'!R29)</x:f>
        <x:v>6131</x:v>
      </x:c>
      <x:c r="P29" s="28" t="str">
        <x:f>IF('Course_Master'!U29="","",'Course_Master'!U29)</x:f>
        <x:v>Full-length course</x:v>
      </x:c>
      <x:c r="Q29" s="28" t="str">
        <x:f>IF('Course_Master'!AD29="","",'Course_Master'!AD29)</x:f>
        <x:v>Public — handicap 54 or lower</x:v>
      </x:c>
      <x:c r="R29" s="28" t="str">
        <x:f>IF('Course_Master'!AC29="","",'Course_Master'!AC29)</x:f>
        <x:v>Open</x:v>
      </x:c>
      <x:c r="S29" s="28" t="str">
        <x:f>IF('Course_Master'!Y29="","",'Course_Master'!Y29)</x:f>
        <x:v>https://golfresidentie.nl/</x:v>
      </x:c>
      <x:c r="T29" s="28" t="b">
        <x:f>IF('Course_Master'!Z29="","",'Course_Master'!Z29)</x:f>
        <x:v>1</x:v>
      </x:c>
      <x:c r="U29" s="28" t="b">
        <x:f>IF('Course_Master'!AA29="","",'Course_Master'!AA29)</x:f>
        <x:v>1</x:v>
      </x:c>
      <x:c r="V29" s="28" t="str">
        <x:f>IF('Course_Master'!AL29="","",'Course_Master'!AL29)</x:f>
        <x:v>Verified — national register and exact BAG address</x:v>
      </x:c>
    </x:row>
    <x:row r="30">
      <x:c r="A30" s="28" t="str">
        <x:f>IF('Course_Master'!B30="","",'Course_Master'!B30)</x:f>
        <x:v>NL-0029</x:v>
      </x:c>
      <x:c r="B30" s="28" t="str">
        <x:f>IF('Course_Master'!C30="","",'Course_Master'!C30)</x:f>
        <x:v>Golfclub Zeewolde — Aak</x:v>
      </x:c>
      <x:c r="C30" s="28" t="str">
        <x:f>IF('Course_Master'!D30="","",'Course_Master'!D30)</x:f>
        <x:v>Golfclub Zeewolde</x:v>
      </x:c>
      <x:c r="D30" s="28" t="str">
        <x:f>IF('Course_Master'!E30="","",'Course_Master'!E30)</x:f>
        <x:v>Aak</x:v>
      </x:c>
      <x:c r="E30" s="28" t="str">
        <x:f>IF('Course_Master'!F30="","",'Course_Master'!F30)</x:f>
        <x:v>Netherlands</x:v>
      </x:c>
      <x:c r="F30" s="28" t="str">
        <x:f>IF('Course_Master'!G30="","",'Course_Master'!G30)</x:f>
        <x:v>Flevoland</x:v>
      </x:c>
      <x:c r="G30" s="28" t="str">
        <x:f>IF('Course_Master'!H30="","",'Course_Master'!H30)</x:f>
        <x:v>Zeewolde</x:v>
      </x:c>
      <x:c r="H30" s="28" t="str">
        <x:f>IF('Course_Master'!I30="","",'Course_Master'!I30)</x:f>
        <x:v>Zeewolde</x:v>
      </x:c>
      <x:c r="I30" s="28" t="str">
        <x:f>IF('Course_Master'!K30="","",'Course_Master'!K30)</x:f>
        <x:v>3896 LL</x:v>
      </x:c>
      <x:c r="J30" s="34" t="n">
        <x:f>IF('Course_Master'!L30="","",'Course_Master'!L30)</x:f>
        <x:v>52.32401001</x:v>
      </x:c>
      <x:c r="K30" s="34" t="n">
        <x:f>IF('Course_Master'!M30="","",'Course_Master'!M30)</x:f>
        <x:v>5.5070426</x:v>
      </x:c>
      <x:c r="L30" s="28" t="n">
        <x:f>IF('Course_Master'!S30="","",'Course_Master'!S30)</x:f>
        <x:v>9</x:v>
      </x:c>
      <x:c r="M30" s="28" t="n">
        <x:f>IF('Course_Master'!T30="","",'Course_Master'!T30)</x:f>
        <x:v>36</x:v>
      </x:c>
      <x:c r="N30" s="28" t="n">
        <x:f>IF('Course_Master'!Q30="","",'Course_Master'!Q30)</x:f>
        <x:v>3416</x:v>
      </x:c>
      <x:c r="O30" s="28" t="n">
        <x:f>IF('Course_Master'!R30="","",'Course_Master'!R30)</x:f>
        <x:v>3124</x:v>
      </x:c>
      <x:c r="P30" s="28" t="str">
        <x:f>IF('Course_Master'!U30="","",'Course_Master'!U30)</x:f>
        <x:v>Full-length course</x:v>
      </x:c>
      <x:c r="Q30" s="28" t="str">
        <x:f>IF('Course_Master'!AD30="","",'Course_Master'!AD30)</x:f>
        <x:v>Public — handicap 54 or lower</x:v>
      </x:c>
      <x:c r="R30" s="28" t="str">
        <x:f>IF('Course_Master'!AC30="","",'Course_Master'!AC30)</x:f>
        <x:v>Open</x:v>
      </x:c>
      <x:c r="S30" s="28" t="str">
        <x:f>IF('Course_Master'!Y30="","",'Course_Master'!Y30)</x:f>
        <x:v>https://www.golfclub-zeewolde.nl/</x:v>
      </x:c>
      <x:c r="T30" s="28" t="b">
        <x:f>IF('Course_Master'!Z30="","",'Course_Master'!Z30)</x:f>
        <x:v>1</x:v>
      </x:c>
      <x:c r="U30" s="28" t="b">
        <x:f>IF('Course_Master'!AA30="","",'Course_Master'!AA30)</x:f>
        <x:v>1</x:v>
      </x:c>
      <x:c r="V30" s="28" t="str">
        <x:f>IF('Course_Master'!AL30="","",'Course_Master'!AL30)</x:f>
        <x:v>Verified — national register and exact BAG address</x:v>
      </x:c>
    </x:row>
    <x:row r="31">
      <x:c r="A31" s="28" t="str">
        <x:f>IF('Course_Master'!B31="","",'Course_Master'!B31)</x:f>
        <x:v>NL-0030</x:v>
      </x:c>
      <x:c r="B31" s="28" t="str">
        <x:f>IF('Course_Master'!C31="","",'Course_Master'!C31)</x:f>
        <x:v>Golfclub Zeewolde — Botter</x:v>
      </x:c>
      <x:c r="C31" s="28" t="str">
        <x:f>IF('Course_Master'!D31="","",'Course_Master'!D31)</x:f>
        <x:v>Golfclub Zeewolde</x:v>
      </x:c>
      <x:c r="D31" s="28" t="str">
        <x:f>IF('Course_Master'!E31="","",'Course_Master'!E31)</x:f>
        <x:v>Botter</x:v>
      </x:c>
      <x:c r="E31" s="28" t="str">
        <x:f>IF('Course_Master'!F31="","",'Course_Master'!F31)</x:f>
        <x:v>Netherlands</x:v>
      </x:c>
      <x:c r="F31" s="28" t="str">
        <x:f>IF('Course_Master'!G31="","",'Course_Master'!G31)</x:f>
        <x:v>Flevoland</x:v>
      </x:c>
      <x:c r="G31" s="28" t="str">
        <x:f>IF('Course_Master'!H31="","",'Course_Master'!H31)</x:f>
        <x:v>Zeewolde</x:v>
      </x:c>
      <x:c r="H31" s="28" t="str">
        <x:f>IF('Course_Master'!I31="","",'Course_Master'!I31)</x:f>
        <x:v>Zeewolde</x:v>
      </x:c>
      <x:c r="I31" s="28" t="str">
        <x:f>IF('Course_Master'!K31="","",'Course_Master'!K31)</x:f>
        <x:v>3896 LL</x:v>
      </x:c>
      <x:c r="J31" s="34" t="n">
        <x:f>IF('Course_Master'!L31="","",'Course_Master'!L31)</x:f>
        <x:v>52.32401001</x:v>
      </x:c>
      <x:c r="K31" s="34" t="n">
        <x:f>IF('Course_Master'!M31="","",'Course_Master'!M31)</x:f>
        <x:v>5.5070426</x:v>
      </x:c>
      <x:c r="L31" s="28" t="n">
        <x:f>IF('Course_Master'!S31="","",'Course_Master'!S31)</x:f>
        <x:v>9</x:v>
      </x:c>
      <x:c r="M31" s="28" t="n">
        <x:f>IF('Course_Master'!T31="","",'Course_Master'!T31)</x:f>
        <x:v>36</x:v>
      </x:c>
      <x:c r="N31" s="28" t="n">
        <x:f>IF('Course_Master'!Q31="","",'Course_Master'!Q31)</x:f>
        <x:v>3425</x:v>
      </x:c>
      <x:c r="O31" s="28" t="n">
        <x:f>IF('Course_Master'!R31="","",'Course_Master'!R31)</x:f>
        <x:v>3132</x:v>
      </x:c>
      <x:c r="P31" s="28" t="str">
        <x:f>IF('Course_Master'!U31="","",'Course_Master'!U31)</x:f>
        <x:v>Full-length course</x:v>
      </x:c>
      <x:c r="Q31" s="28" t="str">
        <x:f>IF('Course_Master'!AD31="","",'Course_Master'!AD31)</x:f>
        <x:v>Public — handicap 54 or lower</x:v>
      </x:c>
      <x:c r="R31" s="28" t="str">
        <x:f>IF('Course_Master'!AC31="","",'Course_Master'!AC31)</x:f>
        <x:v>Open</x:v>
      </x:c>
      <x:c r="S31" s="28" t="str">
        <x:f>IF('Course_Master'!Y31="","",'Course_Master'!Y31)</x:f>
        <x:v>https://www.golfclub-zeewolde.nl/</x:v>
      </x:c>
      <x:c r="T31" s="28" t="b">
        <x:f>IF('Course_Master'!Z31="","",'Course_Master'!Z31)</x:f>
        <x:v>1</x:v>
      </x:c>
      <x:c r="U31" s="28" t="b">
        <x:f>IF('Course_Master'!AA31="","",'Course_Master'!AA31)</x:f>
        <x:v>1</x:v>
      </x:c>
      <x:c r="V31" s="28" t="str">
        <x:f>IF('Course_Master'!AL31="","",'Course_Master'!AL31)</x:f>
        <x:v>Verified — national register and exact BAG address</x:v>
      </x:c>
    </x:row>
    <x:row r="32">
      <x:c r="A32" s="28" t="str">
        <x:f>IF('Course_Master'!B32="","",'Course_Master'!B32)</x:f>
        <x:v>NL-0031</x:v>
      </x:c>
      <x:c r="B32" s="28" t="str">
        <x:f>IF('Course_Master'!C32="","",'Course_Master'!C32)</x:f>
        <x:v>Golfclub Zeewolde — Jol</x:v>
      </x:c>
      <x:c r="C32" s="28" t="str">
        <x:f>IF('Course_Master'!D32="","",'Course_Master'!D32)</x:f>
        <x:v>Golfclub Zeewolde</x:v>
      </x:c>
      <x:c r="D32" s="28" t="str">
        <x:f>IF('Course_Master'!E32="","",'Course_Master'!E32)</x:f>
        <x:v>Jol</x:v>
      </x:c>
      <x:c r="E32" s="28" t="str">
        <x:f>IF('Course_Master'!F32="","",'Course_Master'!F32)</x:f>
        <x:v>Netherlands</x:v>
      </x:c>
      <x:c r="F32" s="28" t="str">
        <x:f>IF('Course_Master'!G32="","",'Course_Master'!G32)</x:f>
        <x:v>Flevoland</x:v>
      </x:c>
      <x:c r="G32" s="28" t="str">
        <x:f>IF('Course_Master'!H32="","",'Course_Master'!H32)</x:f>
        <x:v>Zeewolde</x:v>
      </x:c>
      <x:c r="H32" s="28" t="str">
        <x:f>IF('Course_Master'!I32="","",'Course_Master'!I32)</x:f>
        <x:v>Zeewolde</x:v>
      </x:c>
      <x:c r="I32" s="28" t="str">
        <x:f>IF('Course_Master'!K32="","",'Course_Master'!K32)</x:f>
        <x:v>3896 LL</x:v>
      </x:c>
      <x:c r="J32" s="34" t="n">
        <x:f>IF('Course_Master'!L32="","",'Course_Master'!L32)</x:f>
        <x:v>52.32401001</x:v>
      </x:c>
      <x:c r="K32" s="34" t="n">
        <x:f>IF('Course_Master'!M32="","",'Course_Master'!M32)</x:f>
        <x:v>5.5070426</x:v>
      </x:c>
      <x:c r="L32" s="28" t="n">
        <x:f>IF('Course_Master'!S32="","",'Course_Master'!S32)</x:f>
        <x:v>9</x:v>
      </x:c>
      <x:c r="M32" s="28" t="n">
        <x:f>IF('Course_Master'!T32="","",'Course_Master'!T32)</x:f>
        <x:v>29</x:v>
      </x:c>
      <x:c r="N32" s="28" t="n">
        <x:f>IF('Course_Master'!Q32="","",'Course_Master'!Q32)</x:f>
        <x:v>1490</x:v>
      </x:c>
      <x:c r="O32" s="28" t="n">
        <x:f>IF('Course_Master'!R32="","",'Course_Master'!R32)</x:f>
        <x:v>1362</x:v>
      </x:c>
      <x:c r="P32" s="28" t="str">
        <x:f>IF('Course_Master'!U32="","",'Course_Master'!U32)</x:f>
        <x:v>Par-3/4 course</x:v>
      </x:c>
      <x:c r="Q32" s="28" t="str">
        <x:f>IF('Course_Master'!AD32="","",'Course_Master'!AD32)</x:f>
        <x:v>Public — no playing requirement</x:v>
      </x:c>
      <x:c r="R32" s="28" t="str">
        <x:f>IF('Course_Master'!AC32="","",'Course_Master'!AC32)</x:f>
        <x:v>Open</x:v>
      </x:c>
      <x:c r="S32" s="28" t="str">
        <x:f>IF('Course_Master'!Y32="","",'Course_Master'!Y32)</x:f>
        <x:v>https://www.golfclub-zeewolde.nl/</x:v>
      </x:c>
      <x:c r="T32" s="28" t="b">
        <x:f>IF('Course_Master'!Z32="","",'Course_Master'!Z32)</x:f>
        <x:v>1</x:v>
      </x:c>
      <x:c r="U32" s="28" t="b">
        <x:f>IF('Course_Master'!AA32="","",'Course_Master'!AA32)</x:f>
        <x:v>1</x:v>
      </x:c>
      <x:c r="V32" s="28" t="str">
        <x:f>IF('Course_Master'!AL32="","",'Course_Master'!AL32)</x:f>
        <x:v>Verified — national register and exact BAG address</x:v>
      </x:c>
    </x:row>
    <x:row r="33">
      <x:c r="A33" s="28" t="str">
        <x:f>IF('Course_Master'!B33="","",'Course_Master'!B33)</x:f>
        <x:v>NL-0032</x:v>
      </x:c>
      <x:c r="B33" s="28" t="str">
        <x:f>IF('Course_Master'!C33="","",'Course_Master'!C33)</x:f>
        <x:v>Golfclub Zeewolde — Pluut</x:v>
      </x:c>
      <x:c r="C33" s="28" t="str">
        <x:f>IF('Course_Master'!D33="","",'Course_Master'!D33)</x:f>
        <x:v>Golfclub Zeewolde</x:v>
      </x:c>
      <x:c r="D33" s="28" t="str">
        <x:f>IF('Course_Master'!E33="","",'Course_Master'!E33)</x:f>
        <x:v>Pluut</x:v>
      </x:c>
      <x:c r="E33" s="28" t="str">
        <x:f>IF('Course_Master'!F33="","",'Course_Master'!F33)</x:f>
        <x:v>Netherlands</x:v>
      </x:c>
      <x:c r="F33" s="28" t="str">
        <x:f>IF('Course_Master'!G33="","",'Course_Master'!G33)</x:f>
        <x:v>Flevoland</x:v>
      </x:c>
      <x:c r="G33" s="28" t="str">
        <x:f>IF('Course_Master'!H33="","",'Course_Master'!H33)</x:f>
        <x:v>Zeewolde</x:v>
      </x:c>
      <x:c r="H33" s="28" t="str">
        <x:f>IF('Course_Master'!I33="","",'Course_Master'!I33)</x:f>
        <x:v>Zeewolde</x:v>
      </x:c>
      <x:c r="I33" s="28" t="str">
        <x:f>IF('Course_Master'!K33="","",'Course_Master'!K33)</x:f>
        <x:v>3896 LL</x:v>
      </x:c>
      <x:c r="J33" s="34" t="n">
        <x:f>IF('Course_Master'!L33="","",'Course_Master'!L33)</x:f>
        <x:v>52.32401001</x:v>
      </x:c>
      <x:c r="K33" s="34" t="n">
        <x:f>IF('Course_Master'!M33="","",'Course_Master'!M33)</x:f>
        <x:v>5.5070426</x:v>
      </x:c>
      <x:c r="L33" s="28" t="n">
        <x:f>IF('Course_Master'!S33="","",'Course_Master'!S33)</x:f>
        <x:v>9</x:v>
      </x:c>
      <x:c r="M33" s="28" t="n">
        <x:f>IF('Course_Master'!T33="","",'Course_Master'!T33)</x:f>
        <x:v>36</x:v>
      </x:c>
      <x:c r="N33" s="28" t="n">
        <x:f>IF('Course_Master'!Q33="","",'Course_Master'!Q33)</x:f>
        <x:v>3414</x:v>
      </x:c>
      <x:c r="O33" s="28" t="n">
        <x:f>IF('Course_Master'!R33="","",'Course_Master'!R33)</x:f>
        <x:v>3122</x:v>
      </x:c>
      <x:c r="P33" s="28" t="str">
        <x:f>IF('Course_Master'!U33="","",'Course_Master'!U33)</x:f>
        <x:v>Full-length course</x:v>
      </x:c>
      <x:c r="Q33" s="28" t="str">
        <x:f>IF('Course_Master'!AD33="","",'Course_Master'!AD33)</x:f>
        <x:v>Public — handicap 54 or lower</x:v>
      </x:c>
      <x:c r="R33" s="28" t="str">
        <x:f>IF('Course_Master'!AC33="","",'Course_Master'!AC33)</x:f>
        <x:v>Open</x:v>
      </x:c>
      <x:c r="S33" s="28" t="str">
        <x:f>IF('Course_Master'!Y33="","",'Course_Master'!Y33)</x:f>
        <x:v>https://www.golfclub-zeewolde.nl/</x:v>
      </x:c>
      <x:c r="T33" s="28" t="b">
        <x:f>IF('Course_Master'!Z33="","",'Course_Master'!Z33)</x:f>
        <x:v>1</x:v>
      </x:c>
      <x:c r="U33" s="28" t="b">
        <x:f>IF('Course_Master'!AA33="","",'Course_Master'!AA33)</x:f>
        <x:v>1</x:v>
      </x:c>
      <x:c r="V33" s="28" t="str">
        <x:f>IF('Course_Master'!AL33="","",'Course_Master'!AL33)</x:f>
        <x:v>Verified — national register and exact BAG address</x:v>
      </x:c>
    </x:row>
    <x:row r="34">
      <x:c r="A34" s="28" t="str">
        <x:f>IF('Course_Master'!B34="","",'Course_Master'!B34)</x:f>
        <x:v>NL-0033</x:v>
      </x:c>
      <x:c r="B34" s="28" t="str">
        <x:f>IF('Course_Master'!C34="","",'Course_Master'!C34)</x:f>
        <x:v>Harderwold Golf &amp; Events</x:v>
      </x:c>
      <x:c r="C34" s="28" t="str">
        <x:f>IF('Course_Master'!D34="","",'Course_Master'!D34)</x:f>
        <x:v>Harderwold Golf &amp; Events</x:v>
      </x:c>
      <x:c r="D34" s="28" t="str">
        <x:f>IF('Course_Master'!E34="","",'Course_Master'!E34)</x:f>
        <x:v>Course</x:v>
      </x:c>
      <x:c r="E34" s="28" t="str">
        <x:f>IF('Course_Master'!F34="","",'Course_Master'!F34)</x:f>
        <x:v>Netherlands</x:v>
      </x:c>
      <x:c r="F34" s="28" t="str">
        <x:f>IF('Course_Master'!G34="","",'Course_Master'!G34)</x:f>
        <x:v>Flevoland</x:v>
      </x:c>
      <x:c r="G34" s="28" t="str">
        <x:f>IF('Course_Master'!H34="","",'Course_Master'!H34)</x:f>
        <x:v>Zeewolde</x:v>
      </x:c>
      <x:c r="H34" s="28" t="str">
        <x:f>IF('Course_Master'!I34="","",'Course_Master'!I34)</x:f>
        <x:v>Zeewolde</x:v>
      </x:c>
      <x:c r="I34" s="28" t="str">
        <x:f>IF('Course_Master'!K34="","",'Course_Master'!K34)</x:f>
        <x:v>3898 LL</x:v>
      </x:c>
      <x:c r="J34" s="34" t="n">
        <x:f>IF('Course_Master'!L34="","",'Course_Master'!L34)</x:f>
        <x:v>52.37818748</x:v>
      </x:c>
      <x:c r="K34" s="34" t="n">
        <x:f>IF('Course_Master'!M34="","",'Course_Master'!M34)</x:f>
        <x:v>5.60336316</x:v>
      </x:c>
      <x:c r="L34" s="28" t="n">
        <x:f>IF('Course_Master'!S34="","",'Course_Master'!S34)</x:f>
        <x:v>9</x:v>
      </x:c>
      <x:c r="M34" s="28" t="n">
        <x:f>IF('Course_Master'!T34="","",'Course_Master'!T34)</x:f>
        <x:v>31</x:v>
      </x:c>
      <x:c r="N34" s="28" t="n">
        <x:f>IF('Course_Master'!Q34="","",'Course_Master'!Q34)</x:f>
        <x:v>1574</x:v>
      </x:c>
      <x:c r="O34" s="28" t="n">
        <x:f>IF('Course_Master'!R34="","",'Course_Master'!R34)</x:f>
        <x:v>1439</x:v>
      </x:c>
      <x:c r="P34" s="28" t="str">
        <x:f>IF('Course_Master'!U34="","",'Course_Master'!U34)</x:f>
        <x:v>Par-3/4 course</x:v>
      </x:c>
      <x:c r="Q34" s="28" t="str">
        <x:f>IF('Course_Master'!AD34="","",'Course_Master'!AD34)</x:f>
        <x:v>Public — handicap 54 or lower</x:v>
      </x:c>
      <x:c r="R34" s="28" t="str">
        <x:f>IF('Course_Master'!AC34="","",'Course_Master'!AC34)</x:f>
        <x:v>Open</x:v>
      </x:c>
      <x:c r="S34" s="28" t="str">
        <x:f>IF('Course_Master'!Y34="","",'Course_Master'!Y34)</x:f>
        <x:v>https://harderwold.nl/</x:v>
      </x:c>
      <x:c r="T34" s="28" t="b">
        <x:f>IF('Course_Master'!Z34="","",'Course_Master'!Z34)</x:f>
        <x:v>1</x:v>
      </x:c>
      <x:c r="U34" s="28" t="b">
        <x:f>IF('Course_Master'!AA34="","",'Course_Master'!AA34)</x:f>
        <x:v>1</x:v>
      </x:c>
      <x:c r="V34" s="28" t="str">
        <x:f>IF('Course_Master'!AL34="","",'Course_Master'!AL34)</x:f>
        <x:v>Verified — national register and exact BAG address</x:v>
      </x:c>
    </x:row>
    <x:row r="35">
      <x:c r="A35" s="28" t="str">
        <x:f>IF('Course_Master'!B35="","",'Course_Master'!B35)</x:f>
        <x:v>NL-0034</x:v>
      </x:c>
      <x:c r="B35" s="28" t="str">
        <x:f>IF('Course_Master'!C35="","",'Course_Master'!C35)</x:f>
        <x:v>Openbare Golfclub Dronten</x:v>
      </x:c>
      <x:c r="C35" s="28" t="str">
        <x:f>IF('Course_Master'!D35="","",'Course_Master'!D35)</x:f>
        <x:v>Openbare Golfclub Dronten</x:v>
      </x:c>
      <x:c r="D35" s="28" t="str">
        <x:f>IF('Course_Master'!E35="","",'Course_Master'!E35)</x:f>
        <x:v>Course</x:v>
      </x:c>
      <x:c r="E35" s="28" t="str">
        <x:f>IF('Course_Master'!F35="","",'Course_Master'!F35)</x:f>
        <x:v>Netherlands</x:v>
      </x:c>
      <x:c r="F35" s="28" t="str">
        <x:f>IF('Course_Master'!G35="","",'Course_Master'!G35)</x:f>
        <x:v>Flevoland</x:v>
      </x:c>
      <x:c r="G35" s="28" t="str">
        <x:f>IF('Course_Master'!H35="","",'Course_Master'!H35)</x:f>
        <x:v>Dronten</x:v>
      </x:c>
      <x:c r="H35" s="28" t="str">
        <x:f>IF('Course_Master'!I35="","",'Course_Master'!I35)</x:f>
        <x:v>Dronten</x:v>
      </x:c>
      <x:c r="I35" s="28" t="str">
        <x:f>IF('Course_Master'!K35="","",'Course_Master'!K35)</x:f>
        <x:v>8252 LG</x:v>
      </x:c>
      <x:c r="J35" s="34" t="n">
        <x:f>IF('Course_Master'!L35="","",'Course_Master'!L35)</x:f>
        <x:v>52.49751865</x:v>
      </x:c>
      <x:c r="K35" s="34" t="n">
        <x:f>IF('Course_Master'!M35="","",'Course_Master'!M35)</x:f>
        <x:v>5.70899084</x:v>
      </x:c>
      <x:c r="L35" s="28" t="n">
        <x:f>IF('Course_Master'!S35="","",'Course_Master'!S35)</x:f>
        <x:v>9</x:v>
      </x:c>
      <x:c r="M35" s="28" t="n">
        <x:f>IF('Course_Master'!T35="","",'Course_Master'!T35)</x:f>
        <x:v>35</x:v>
      </x:c>
      <x:c r="N35" s="28" t="n">
        <x:f>IF('Course_Master'!Q35="","",'Course_Master'!Q35)</x:f>
        <x:v>2640</x:v>
      </x:c>
      <x:c r="O35" s="28" t="n">
        <x:f>IF('Course_Master'!R35="","",'Course_Master'!R35)</x:f>
        <x:v>2414</x:v>
      </x:c>
      <x:c r="P35" s="28" t="str">
        <x:f>IF('Course_Master'!U35="","",'Course_Master'!U35)</x:f>
        <x:v>Full-length course</x:v>
      </x:c>
      <x:c r="Q35" s="28" t="str">
        <x:f>IF('Course_Master'!AD35="","",'Course_Master'!AD35)</x:f>
        <x:v>Public — handicap 54 or lower</x:v>
      </x:c>
      <x:c r="R35" s="28" t="str">
        <x:f>IF('Course_Master'!AC35="","",'Course_Master'!AC35)</x:f>
        <x:v>Open</x:v>
      </x:c>
      <x:c r="S35" s="28" t="str">
        <x:f>IF('Course_Master'!Y35="","",'Course_Master'!Y35)</x:f>
        <x:v>https://www.openbaregolfclubdronten.nl/</x:v>
      </x:c>
      <x:c r="T35" s="28" t="b">
        <x:f>IF('Course_Master'!Z35="","",'Course_Master'!Z35)</x:f>
        <x:v>1</x:v>
      </x:c>
      <x:c r="U35" s="28" t="b">
        <x:f>IF('Course_Master'!AA35="","",'Course_Master'!AA35)</x:f>
        <x:v>1</x:v>
      </x:c>
      <x:c r="V35" s="28" t="str">
        <x:f>IF('Course_Master'!AL35="","",'Course_Master'!AL35)</x:f>
        <x:v>Verified — national register and exact BAG address</x:v>
      </x:c>
    </x:row>
    <x:row r="36">
      <x:c r="A36" s="28" t="str">
        <x:f>IF('Course_Master'!B36="","",'Course_Master'!B36)</x:f>
        <x:v>NL-0035</x:v>
      </x:c>
      <x:c r="B36" s="28" t="str">
        <x:f>IF('Course_Master'!C36="","",'Course_Master'!C36)</x:f>
        <x:v>Pitch &amp; Putt Strand Horst</x:v>
      </x:c>
      <x:c r="C36" s="28" t="str">
        <x:f>IF('Course_Master'!D36="","",'Course_Master'!D36)</x:f>
        <x:v>Pitch &amp; Putt Strand Horst</x:v>
      </x:c>
      <x:c r="D36" s="28" t="str">
        <x:f>IF('Course_Master'!E36="","",'Course_Master'!E36)</x:f>
        <x:v>Course</x:v>
      </x:c>
      <x:c r="E36" s="28" t="str">
        <x:f>IF('Course_Master'!F36="","",'Course_Master'!F36)</x:f>
        <x:v>Netherlands</x:v>
      </x:c>
      <x:c r="F36" s="28" t="str">
        <x:f>IF('Course_Master'!G36="","",'Course_Master'!G36)</x:f>
        <x:v>Flevoland</x:v>
      </x:c>
      <x:c r="G36" s="28" t="str">
        <x:f>IF('Course_Master'!H36="","",'Course_Master'!H36)</x:f>
        <x:v>Ermelo</x:v>
      </x:c>
      <x:c r="H36" s="28" t="str">
        <x:f>IF('Course_Master'!I36="","",'Course_Master'!I36)</x:f>
        <x:v>Ermelo</x:v>
      </x:c>
      <x:c r="I36" s="28" t="str">
        <x:f>IF('Course_Master'!K36="","",'Course_Master'!K36)</x:f>
        <x:v>3853 LB</x:v>
      </x:c>
      <x:c r="J36" s="34" t="n">
        <x:f>IF('Course_Master'!L36="","",'Course_Master'!L36)</x:f>
        <x:v>52.30227466</x:v>
      </x:c>
      <x:c r="K36" s="34" t="n">
        <x:f>IF('Course_Master'!M36="","",'Course_Master'!M36)</x:f>
        <x:v>5.55406021</x:v>
      </x:c>
      <x:c r="L36" s="28" t="n">
        <x:f>IF('Course_Master'!S36="","",'Course_Master'!S36)</x:f>
        <x:v>9</x:v>
      </x:c>
      <x:c r="M36" s="28" t="n">
        <x:f>IF('Course_Master'!T36="","",'Course_Master'!T36)</x:f>
        <x:v>27</x:v>
      </x:c>
      <x:c r="N36" s="28" t="n">
        <x:f>IF('Course_Master'!Q36="","",'Course_Master'!Q36)</x:f>
        <x:v>495</x:v>
      </x:c>
      <x:c r="O36" s="28" t="n">
        <x:f>IF('Course_Master'!R36="","",'Course_Master'!R36)</x:f>
        <x:v>453</x:v>
      </x:c>
      <x:c r="P36" s="28" t="str">
        <x:f>IF('Course_Master'!U36="","",'Course_Master'!U36)</x:f>
        <x:v>Shortgolf / Pitch &amp; Putt</x:v>
      </x:c>
      <x:c r="Q36" s="28" t="str">
        <x:f>IF('Course_Master'!AD36="","",'Course_Master'!AD36)</x:f>
        <x:v>Public — no playing requirement</x:v>
      </x:c>
      <x:c r="R36" s="28" t="str">
        <x:f>IF('Course_Master'!AC36="","",'Course_Master'!AC36)</x:f>
        <x:v>Open</x:v>
      </x:c>
      <x:c r="S36" s="28" t="str">
        <x:f>IF('Course_Master'!Y36="","",'Course_Master'!Y36)</x:f>
        <x:v>https://www.pitch-putt-strandhorst.nl/</x:v>
      </x:c>
      <x:c r="T36" s="28" t="b">
        <x:f>IF('Course_Master'!Z36="","",'Course_Master'!Z36)</x:f>
        <x:v>1</x:v>
      </x:c>
      <x:c r="U36" s="28" t="b">
        <x:f>IF('Course_Master'!AA36="","",'Course_Master'!AA36)</x:f>
        <x:v>1</x:v>
      </x:c>
      <x:c r="V36" s="28" t="str">
        <x:f>IF('Course_Master'!AL36="","",'Course_Master'!AL36)</x:f>
        <x:v>Verified — national register and exact BAG address</x:v>
      </x:c>
    </x:row>
    <x:row r="37">
      <x:c r="A37" s="28" t="str">
        <x:f>IF('Course_Master'!B37="","",'Course_Master'!B37)</x:f>
        <x:v>NL-0036</x:v>
      </x:c>
      <x:c r="B37" s="28" t="str">
        <x:f>IF('Course_Master'!C37="","",'Course_Master'!C37)</x:f>
        <x:v>Shortgolf Swifterbant/Flevoland — Par-3 Course</x:v>
      </x:c>
      <x:c r="C37" s="28" t="str">
        <x:f>IF('Course_Master'!D37="","",'Course_Master'!D37)</x:f>
        <x:v>Shortgolf Swifterbant/Flevoland</x:v>
      </x:c>
      <x:c r="D37" s="28" t="str">
        <x:f>IF('Course_Master'!E37="","",'Course_Master'!E37)</x:f>
        <x:v>Par-3 Course</x:v>
      </x:c>
      <x:c r="E37" s="28" t="str">
        <x:f>IF('Course_Master'!F37="","",'Course_Master'!F37)</x:f>
        <x:v>Netherlands</x:v>
      </x:c>
      <x:c r="F37" s="28" t="str">
        <x:f>IF('Course_Master'!G37="","",'Course_Master'!G37)</x:f>
        <x:v>Flevoland</x:v>
      </x:c>
      <x:c r="G37" s="28" t="str">
        <x:f>IF('Course_Master'!H37="","",'Course_Master'!H37)</x:f>
        <x:v>Dronten</x:v>
      </x:c>
      <x:c r="H37" s="28" t="str">
        <x:f>IF('Course_Master'!I37="","",'Course_Master'!I37)</x:f>
        <x:v>Swifterbant</x:v>
      </x:c>
      <x:c r="I37" s="28" t="str">
        <x:f>IF('Course_Master'!K37="","",'Course_Master'!K37)</x:f>
        <x:v>8255 PJ</x:v>
      </x:c>
      <x:c r="J37" s="34" t="n">
        <x:f>IF('Course_Master'!L37="","",'Course_Master'!L37)</x:f>
        <x:v>52.58169751</x:v>
      </x:c>
      <x:c r="K37" s="34" t="n">
        <x:f>IF('Course_Master'!M37="","",'Course_Master'!M37)</x:f>
        <x:v>5.62624926</x:v>
      </x:c>
      <x:c r="L37" s="28" t="n">
        <x:f>IF('Course_Master'!S37="","",'Course_Master'!S37)</x:f>
        <x:v>18</x:v>
      </x:c>
      <x:c r="M37" s="28" t="n">
        <x:f>IF('Course_Master'!T37="","",'Course_Master'!T37)</x:f>
        <x:v>54</x:v>
      </x:c>
      <x:c r="N37" s="28" t="n">
        <x:f>IF('Course_Master'!Q37="","",'Course_Master'!Q37)</x:f>
        <x:v>1506</x:v>
      </x:c>
      <x:c r="O37" s="28" t="n">
        <x:f>IF('Course_Master'!R37="","",'Course_Master'!R37)</x:f>
        <x:v>1377</x:v>
      </x:c>
      <x:c r="P37" s="28" t="str">
        <x:f>IF('Course_Master'!U37="","",'Course_Master'!U37)</x:f>
        <x:v>Par-3 course</x:v>
      </x:c>
      <x:c r="Q37" s="28" t="str">
        <x:f>IF('Course_Master'!AD37="","",'Course_Master'!AD37)</x:f>
        <x:v>Public — no playing requirement</x:v>
      </x:c>
      <x:c r="R37" s="28" t="str">
        <x:f>IF('Course_Master'!AC37="","",'Course_Master'!AC37)</x:f>
        <x:v>Open</x:v>
      </x:c>
      <x:c r="S37" s="28" t="str">
        <x:f>IF('Course_Master'!Y37="","",'Course_Master'!Y37)</x:f>
        <x:v>https://shortgolf.nl/</x:v>
      </x:c>
      <x:c r="T37" s="28" t="b">
        <x:f>IF('Course_Master'!Z37="","",'Course_Master'!Z37)</x:f>
        <x:v>1</x:v>
      </x:c>
      <x:c r="U37" s="28" t="b">
        <x:f>IF('Course_Master'!AA37="","",'Course_Master'!AA37)</x:f>
        <x:v>1</x:v>
      </x:c>
      <x:c r="V37" s="28" t="str">
        <x:f>IF('Course_Master'!AL37="","",'Course_Master'!AL37)</x:f>
        <x:v>Verified — national register and exact BAG address</x:v>
      </x:c>
    </x:row>
    <x:row r="38">
      <x:c r="A38" s="28" t="str">
        <x:f>IF('Course_Master'!B38="","",'Course_Master'!B38)</x:f>
        <x:v>NL-0037</x:v>
      </x:c>
      <x:c r="B38" s="28" t="str">
        <x:f>IF('Course_Master'!C38="","",'Course_Master'!C38)</x:f>
        <x:v>Buiten-Land Pitch &amp; Putt Leeuwarden — Shortgolf / Pitch &amp; Putt Course</x:v>
      </x:c>
      <x:c r="C38" s="28" t="str">
        <x:f>IF('Course_Master'!D38="","",'Course_Master'!D38)</x:f>
        <x:v>Buiten-Land Pitch &amp; Putt Leeuwarden</x:v>
      </x:c>
      <x:c r="D38" s="28" t="str">
        <x:f>IF('Course_Master'!E38="","",'Course_Master'!E38)</x:f>
        <x:v>Shortgolf / Pitch &amp; Putt Course</x:v>
      </x:c>
      <x:c r="E38" s="28" t="str">
        <x:f>IF('Course_Master'!F38="","",'Course_Master'!F38)</x:f>
        <x:v>Netherlands</x:v>
      </x:c>
      <x:c r="F38" s="28" t="str">
        <x:f>IF('Course_Master'!G38="","",'Course_Master'!G38)</x:f>
        <x:v>Friesland</x:v>
      </x:c>
      <x:c r="G38" s="28" t="str">
        <x:f>IF('Course_Master'!H38="","",'Course_Master'!H38)</x:f>
        <x:v>Leeuwarden</x:v>
      </x:c>
      <x:c r="H38" s="28" t="str">
        <x:f>IF('Course_Master'!I38="","",'Course_Master'!I38)</x:f>
        <x:v>Leeuwarden</x:v>
      </x:c>
      <x:c r="I38" s="28" t="str">
        <x:f>IF('Course_Master'!K38="","",'Course_Master'!K38)</x:f>
        <x:v>8939 DA</x:v>
      </x:c>
      <x:c r="J38" s="34" t="n">
        <x:f>IF('Course_Master'!L38="","",'Course_Master'!L38)</x:f>
        <x:v>53.18372174</x:v>
      </x:c>
      <x:c r="K38" s="34" t="n">
        <x:f>IF('Course_Master'!M38="","",'Course_Master'!M38)</x:f>
        <x:v>5.85405751</x:v>
      </x:c>
      <x:c r="L38" s="28" t="n">
        <x:f>IF('Course_Master'!S38="","",'Course_Master'!S38)</x:f>
        <x:v>18</x:v>
      </x:c>
      <x:c r="M38" s="28" t="n">
        <x:f>IF('Course_Master'!T38="","",'Course_Master'!T38)</x:f>
        <x:v>54</x:v>
      </x:c>
      <x:c r="N38" s="28" t="n">
        <x:f>IF('Course_Master'!Q38="","",'Course_Master'!Q38)</x:f>
        <x:v>1068</x:v>
      </x:c>
      <x:c r="O38" s="28" t="n">
        <x:f>IF('Course_Master'!R38="","",'Course_Master'!R38)</x:f>
        <x:v>977</x:v>
      </x:c>
      <x:c r="P38" s="28" t="str">
        <x:f>IF('Course_Master'!U38="","",'Course_Master'!U38)</x:f>
        <x:v>Shortgolf / Pitch &amp; Putt</x:v>
      </x:c>
      <x:c r="Q38" s="28" t="str">
        <x:f>IF('Course_Master'!AD38="","",'Course_Master'!AD38)</x:f>
        <x:v>Public — no playing requirement</x:v>
      </x:c>
      <x:c r="R38" s="28" t="str">
        <x:f>IF('Course_Master'!AC38="","",'Course_Master'!AC38)</x:f>
        <x:v>Open</x:v>
      </x:c>
      <x:c r="S38" s="28" t="str">
        <x:f>IF('Course_Master'!Y38="","",'Course_Master'!Y38)</x:f>
        <x:v>https://hetbuiten-land.nl/</x:v>
      </x:c>
      <x:c r="T38" s="28" t="b">
        <x:f>IF('Course_Master'!Z38="","",'Course_Master'!Z38)</x:f>
        <x:v>1</x:v>
      </x:c>
      <x:c r="U38" s="28" t="b">
        <x:f>IF('Course_Master'!AA38="","",'Course_Master'!AA38)</x:f>
        <x:v>1</x:v>
      </x:c>
      <x:c r="V38" s="28" t="str">
        <x:f>IF('Course_Master'!AL38="","",'Course_Master'!AL38)</x:f>
        <x:v>Verified — national register and exact BAG address</x:v>
      </x:c>
    </x:row>
    <x:row r="39">
      <x:c r="A39" s="28" t="str">
        <x:f>IF('Course_Master'!B39="","",'Course_Master'!B39)</x:f>
        <x:v>NL-0038</x:v>
      </x:c>
      <x:c r="B39" s="28" t="str">
        <x:f>IF('Course_Master'!C39="","",'Course_Master'!C39)</x:f>
        <x:v>Golfbaan Ameland — Main Course</x:v>
      </x:c>
      <x:c r="C39" s="28" t="str">
        <x:f>IF('Course_Master'!D39="","",'Course_Master'!D39)</x:f>
        <x:v>Golfbaan Ameland</x:v>
      </x:c>
      <x:c r="D39" s="28" t="str">
        <x:f>IF('Course_Master'!E39="","",'Course_Master'!E39)</x:f>
        <x:v>Main Course</x:v>
      </x:c>
      <x:c r="E39" s="28" t="str">
        <x:f>IF('Course_Master'!F39="","",'Course_Master'!F39)</x:f>
        <x:v>Netherlands</x:v>
      </x:c>
      <x:c r="F39" s="28" t="str">
        <x:f>IF('Course_Master'!G39="","",'Course_Master'!G39)</x:f>
        <x:v>Friesland</x:v>
      </x:c>
      <x:c r="G39" s="28" t="str">
        <x:f>IF('Course_Master'!H39="","",'Course_Master'!H39)</x:f>
        <x:v>Ameland</x:v>
      </x:c>
      <x:c r="H39" s="28" t="str">
        <x:f>IF('Course_Master'!I39="","",'Course_Master'!I39)</x:f>
        <x:v>Hollum</x:v>
      </x:c>
      <x:c r="I39" s="28" t="str">
        <x:f>IF('Course_Master'!K39="","",'Course_Master'!K39)</x:f>
        <x:v>9161 CZ</x:v>
      </x:c>
      <x:c r="J39" s="34" t="n">
        <x:f>IF('Course_Master'!L39="","",'Course_Master'!L39)</x:f>
        <x:v>53.44864163</x:v>
      </x:c>
      <x:c r="K39" s="34" t="n">
        <x:f>IF('Course_Master'!M39="","",'Course_Master'!M39)</x:f>
        <x:v>5.64299695</x:v>
      </x:c>
      <x:c r="L39" s="28" t="n">
        <x:f>IF('Course_Master'!S39="","",'Course_Master'!S39)</x:f>
        <x:v>9</x:v>
      </x:c>
      <x:c r="M39" s="28" t="n">
        <x:f>IF('Course_Master'!T39="","",'Course_Master'!T39)</x:f>
        <x:v>36</x:v>
      </x:c>
      <x:c r="N39" s="28" t="n">
        <x:f>IF('Course_Master'!Q39="","",'Course_Master'!Q39)</x:f>
        <x:v>3368</x:v>
      </x:c>
      <x:c r="O39" s="28" t="n">
        <x:f>IF('Course_Master'!R39="","",'Course_Master'!R39)</x:f>
        <x:v>3080</x:v>
      </x:c>
      <x:c r="P39" s="28" t="str">
        <x:f>IF('Course_Master'!U39="","",'Course_Master'!U39)</x:f>
        <x:v>Full-length course</x:v>
      </x:c>
      <x:c r="Q39" s="28" t="str">
        <x:f>IF('Course_Master'!AD39="","",'Course_Master'!AD39)</x:f>
        <x:v>Public — handicap 54 or lower</x:v>
      </x:c>
      <x:c r="R39" s="28" t="str">
        <x:f>IF('Course_Master'!AC39="","",'Course_Master'!AC39)</x:f>
        <x:v>Open</x:v>
      </x:c>
      <x:c r="S39" s="28" t="str">
        <x:f>IF('Course_Master'!Y39="","",'Course_Master'!Y39)</x:f>
        <x:v>https://golfbaanameland.nl/</x:v>
      </x:c>
      <x:c r="T39" s="28" t="b">
        <x:f>IF('Course_Master'!Z39="","",'Course_Master'!Z39)</x:f>
        <x:v>1</x:v>
      </x:c>
      <x:c r="U39" s="28" t="b">
        <x:f>IF('Course_Master'!AA39="","",'Course_Master'!AA39)</x:f>
        <x:v>1</x:v>
      </x:c>
      <x:c r="V39" s="28" t="str">
        <x:f>IF('Course_Master'!AL39="","",'Course_Master'!AL39)</x:f>
        <x:v>Verified — national register and exact BAG address</x:v>
      </x:c>
    </x:row>
    <x:row r="40">
      <x:c r="A40" s="28" t="str">
        <x:f>IF('Course_Master'!B40="","",'Course_Master'!B40)</x:f>
        <x:v>NL-0039</x:v>
      </x:c>
      <x:c r="B40" s="28" t="str">
        <x:f>IF('Course_Master'!C40="","",'Course_Master'!C40)</x:f>
        <x:v>Golfbaan Ameland — Par-3 Course</x:v>
      </x:c>
      <x:c r="C40" s="28" t="str">
        <x:f>IF('Course_Master'!D40="","",'Course_Master'!D40)</x:f>
        <x:v>Golfbaan Ameland</x:v>
      </x:c>
      <x:c r="D40" s="28" t="str">
        <x:f>IF('Course_Master'!E40="","",'Course_Master'!E40)</x:f>
        <x:v>Par-3 Course</x:v>
      </x:c>
      <x:c r="E40" s="28" t="str">
        <x:f>IF('Course_Master'!F40="","",'Course_Master'!F40)</x:f>
        <x:v>Netherlands</x:v>
      </x:c>
      <x:c r="F40" s="28" t="str">
        <x:f>IF('Course_Master'!G40="","",'Course_Master'!G40)</x:f>
        <x:v>Friesland</x:v>
      </x:c>
      <x:c r="G40" s="28" t="str">
        <x:f>IF('Course_Master'!H40="","",'Course_Master'!H40)</x:f>
        <x:v>Ameland</x:v>
      </x:c>
      <x:c r="H40" s="28" t="str">
        <x:f>IF('Course_Master'!I40="","",'Course_Master'!I40)</x:f>
        <x:v>Hollum</x:v>
      </x:c>
      <x:c r="I40" s="28" t="str">
        <x:f>IF('Course_Master'!K40="","",'Course_Master'!K40)</x:f>
        <x:v>9161 CZ</x:v>
      </x:c>
      <x:c r="J40" s="34" t="n">
        <x:f>IF('Course_Master'!L40="","",'Course_Master'!L40)</x:f>
        <x:v>53.44864163</x:v>
      </x:c>
      <x:c r="K40" s="34" t="n">
        <x:f>IF('Course_Master'!M40="","",'Course_Master'!M40)</x:f>
        <x:v>5.64299695</x:v>
      </x:c>
      <x:c r="L40" s="28" t="n">
        <x:f>IF('Course_Master'!S40="","",'Course_Master'!S40)</x:f>
        <x:v>9</x:v>
      </x:c>
      <x:c r="M40" s="28" t="n">
        <x:f>IF('Course_Master'!T40="","",'Course_Master'!T40)</x:f>
        <x:v>27</x:v>
      </x:c>
      <x:c r="N40" s="28" t="n">
        <x:f>IF('Course_Master'!Q40="","",'Course_Master'!Q40)</x:f>
        <x:v>1000</x:v>
      </x:c>
      <x:c r="O40" s="28" t="n">
        <x:f>IF('Course_Master'!R40="","",'Course_Master'!R40)</x:f>
        <x:v>914</x:v>
      </x:c>
      <x:c r="P40" s="28" t="str">
        <x:f>IF('Course_Master'!U40="","",'Course_Master'!U40)</x:f>
        <x:v>Par-3 course</x:v>
      </x:c>
      <x:c r="Q40" s="28" t="str">
        <x:f>IF('Course_Master'!AD40="","",'Course_Master'!AD40)</x:f>
        <x:v>Public — no playing requirement</x:v>
      </x:c>
      <x:c r="R40" s="28" t="str">
        <x:f>IF('Course_Master'!AC40="","",'Course_Master'!AC40)</x:f>
        <x:v>Open</x:v>
      </x:c>
      <x:c r="S40" s="28" t="str">
        <x:f>IF('Course_Master'!Y40="","",'Course_Master'!Y40)</x:f>
        <x:v>https://golfbaanameland.nl/</x:v>
      </x:c>
      <x:c r="T40" s="28" t="b">
        <x:f>IF('Course_Master'!Z40="","",'Course_Master'!Z40)</x:f>
        <x:v>1</x:v>
      </x:c>
      <x:c r="U40" s="28" t="b">
        <x:f>IF('Course_Master'!AA40="","",'Course_Master'!AA40)</x:f>
        <x:v>1</x:v>
      </x:c>
      <x:c r="V40" s="28" t="str">
        <x:f>IF('Course_Master'!AL40="","",'Course_Master'!AL40)</x:f>
        <x:v>Verified — national register and exact BAG address</x:v>
      </x:c>
    </x:row>
    <x:row r="41">
      <x:c r="A41" s="28" t="str">
        <x:f>IF('Course_Master'!B41="","",'Course_Master'!B41)</x:f>
        <x:v>NL-0040</x:v>
      </x:c>
      <x:c r="B41" s="28" t="str">
        <x:f>IF('Course_Master'!C41="","",'Course_Master'!C41)</x:f>
        <x:v>Golfbaan Terschelling</x:v>
      </x:c>
      <x:c r="C41" s="28" t="str">
        <x:f>IF('Course_Master'!D41="","",'Course_Master'!D41)</x:f>
        <x:v>Golfbaan Terschelling</x:v>
      </x:c>
      <x:c r="D41" s="28" t="str">
        <x:f>IF('Course_Master'!E41="","",'Course_Master'!E41)</x:f>
        <x:v>Course</x:v>
      </x:c>
      <x:c r="E41" s="28" t="str">
        <x:f>IF('Course_Master'!F41="","",'Course_Master'!F41)</x:f>
        <x:v>Netherlands</x:v>
      </x:c>
      <x:c r="F41" s="28" t="str">
        <x:f>IF('Course_Master'!G41="","",'Course_Master'!G41)</x:f>
        <x:v>Friesland</x:v>
      </x:c>
      <x:c r="G41" s="28" t="str">
        <x:f>IF('Course_Master'!H41="","",'Course_Master'!H41)</x:f>
        <x:v>Terschelling</x:v>
      </x:c>
      <x:c r="H41" s="28" t="str">
        <x:f>IF('Course_Master'!I41="","",'Course_Master'!I41)</x:f>
        <x:v>Hee</x:v>
      </x:c>
      <x:c r="I41" s="28" t="str">
        <x:f>IF('Course_Master'!K41="","",'Course_Master'!K41)</x:f>
        <x:v>8882 HE</x:v>
      </x:c>
      <x:c r="J41" s="34" t="n">
        <x:f>IF('Course_Master'!L41="","",'Course_Master'!L41)</x:f>
        <x:v>53.38234967</x:v>
      </x:c>
      <x:c r="K41" s="34" t="n">
        <x:f>IF('Course_Master'!M41="","",'Course_Master'!M41)</x:f>
        <x:v>5.2557194</x:v>
      </x:c>
      <x:c r="L41" s="28" t="n">
        <x:f>IF('Course_Master'!S41="","",'Course_Master'!S41)</x:f>
        <x:v>9</x:v>
      </x:c>
      <x:c r="M41" s="28" t="n">
        <x:f>IF('Course_Master'!T41="","",'Course_Master'!T41)</x:f>
        <x:v>27</x:v>
      </x:c>
      <x:c r="N41" s="28" t="n">
        <x:f>IF('Course_Master'!Q41="","",'Course_Master'!Q41)</x:f>
        <x:v>1233</x:v>
      </x:c>
      <x:c r="O41" s="28" t="n">
        <x:f>IF('Course_Master'!R41="","",'Course_Master'!R41)</x:f>
        <x:v>1127</x:v>
      </x:c>
      <x:c r="P41" s="28" t="str">
        <x:f>IF('Course_Master'!U41="","",'Course_Master'!U41)</x:f>
        <x:v>Par-3 course</x:v>
      </x:c>
      <x:c r="Q41" s="28" t="str">
        <x:f>IF('Course_Master'!AD41="","",'Course_Master'!AD41)</x:f>
        <x:v>Public — NGF course permission</x:v>
      </x:c>
      <x:c r="R41" s="28" t="str">
        <x:f>IF('Course_Master'!AC41="","",'Course_Master'!AC41)</x:f>
        <x:v>Open</x:v>
      </x:c>
      <x:c r="S41" s="28" t="str">
        <x:f>IF('Course_Master'!Y41="","",'Course_Master'!Y41)</x:f>
        <x:v>https://www.facebook.com/golfclubterschelling</x:v>
      </x:c>
      <x:c r="T41" s="28" t="b">
        <x:f>IF('Course_Master'!Z41="","",'Course_Master'!Z41)</x:f>
        <x:v>1</x:v>
      </x:c>
      <x:c r="U41" s="28" t="b">
        <x:f>IF('Course_Master'!AA41="","",'Course_Master'!AA41)</x:f>
        <x:v>1</x:v>
      </x:c>
      <x:c r="V41" s="28" t="str">
        <x:f>IF('Course_Master'!AL41="","",'Course_Master'!AL41)</x:f>
        <x:v>Verified — national register and exact BAG address</x:v>
      </x:c>
    </x:row>
    <x:row r="42">
      <x:c r="A42" s="28" t="str">
        <x:f>IF('Course_Master'!B42="","",'Course_Master'!B42)</x:f>
        <x:v>NL-0041</x:v>
      </x:c>
      <x:c r="B42" s="28" t="str">
        <x:f>IF('Course_Master'!C42="","",'Course_Master'!C42)</x:f>
        <x:v>Golfclub Gaasterland</x:v>
      </x:c>
      <x:c r="C42" s="28" t="str">
        <x:f>IF('Course_Master'!D42="","",'Course_Master'!D42)</x:f>
        <x:v>Golfclub Gaasterland</x:v>
      </x:c>
      <x:c r="D42" s="28" t="str">
        <x:f>IF('Course_Master'!E42="","",'Course_Master'!E42)</x:f>
        <x:v>Course</x:v>
      </x:c>
      <x:c r="E42" s="28" t="str">
        <x:f>IF('Course_Master'!F42="","",'Course_Master'!F42)</x:f>
        <x:v>Netherlands</x:v>
      </x:c>
      <x:c r="F42" s="28" t="str">
        <x:f>IF('Course_Master'!G42="","",'Course_Master'!G42)</x:f>
        <x:v>Friesland</x:v>
      </x:c>
      <x:c r="G42" s="28" t="str">
        <x:f>IF('Course_Master'!H42="","",'Course_Master'!H42)</x:f>
        <x:v>De Fryske Marren</x:v>
      </x:c>
      <x:c r="H42" s="28" t="str">
        <x:f>IF('Course_Master'!I42="","",'Course_Master'!I42)</x:f>
        <x:v>Oudemirdum</x:v>
      </x:c>
      <x:c r="I42" s="28" t="str">
        <x:f>IF('Course_Master'!K42="","",'Course_Master'!K42)</x:f>
        <x:v>8567 HB</x:v>
      </x:c>
      <x:c r="J42" s="34" t="n">
        <x:f>IF('Course_Master'!L42="","",'Course_Master'!L42)</x:f>
        <x:v>52.87074686</x:v>
      </x:c>
      <x:c r="K42" s="34" t="n">
        <x:f>IF('Course_Master'!M42="","",'Course_Master'!M42)</x:f>
        <x:v>5.54482867</x:v>
      </x:c>
      <x:c r="L42" s="28" t="n">
        <x:f>IF('Course_Master'!S42="","",'Course_Master'!S42)</x:f>
        <x:v>9</x:v>
      </x:c>
      <x:c r="M42" s="28" t="n">
        <x:f>IF('Course_Master'!T42="","",'Course_Master'!T42)</x:f>
        <x:v>35</x:v>
      </x:c>
      <x:c r="N42" s="28" t="n">
        <x:f>IF('Course_Master'!Q42="","",'Course_Master'!Q42)</x:f>
        <x:v>3076</x:v>
      </x:c>
      <x:c r="O42" s="28" t="n">
        <x:f>IF('Course_Master'!R42="","",'Course_Master'!R42)</x:f>
        <x:v>2813</x:v>
      </x:c>
      <x:c r="P42" s="28" t="str">
        <x:f>IF('Course_Master'!U42="","",'Course_Master'!U42)</x:f>
        <x:v>Full-length course</x:v>
      </x:c>
      <x:c r="Q42" s="28" t="str">
        <x:f>IF('Course_Master'!AD42="","",'Course_Master'!AD42)</x:f>
        <x:v>Public — handicap 54 or lower</x:v>
      </x:c>
      <x:c r="R42" s="28" t="str">
        <x:f>IF('Course_Master'!AC42="","",'Course_Master'!AC42)</x:f>
        <x:v>Open</x:v>
      </x:c>
      <x:c r="S42" s="28" t="str">
        <x:f>IF('Course_Master'!Y42="","",'Course_Master'!Y42)</x:f>
        <x:v>https://golfclubgaasterland.nl/</x:v>
      </x:c>
      <x:c r="T42" s="28" t="b">
        <x:f>IF('Course_Master'!Z42="","",'Course_Master'!Z42)</x:f>
        <x:v>1</x:v>
      </x:c>
      <x:c r="U42" s="28" t="b">
        <x:f>IF('Course_Master'!AA42="","",'Course_Master'!AA42)</x:f>
        <x:v>1</x:v>
      </x:c>
      <x:c r="V42" s="28" t="str">
        <x:f>IF('Course_Master'!AL42="","",'Course_Master'!AL42)</x:f>
        <x:v>Verified — national register and exact BAG address</x:v>
      </x:c>
    </x:row>
    <x:row r="43">
      <x:c r="A43" s="28" t="str">
        <x:f>IF('Course_Master'!B43="","",'Course_Master'!B43)</x:f>
        <x:v>NL-0042</x:v>
      </x:c>
      <x:c r="B43" s="28" t="str">
        <x:f>IF('Course_Master'!C43="","",'Course_Master'!C43)</x:f>
        <x:v>Golfclub Heidemeer</x:v>
      </x:c>
      <x:c r="C43" s="28" t="str">
        <x:f>IF('Course_Master'!D43="","",'Course_Master'!D43)</x:f>
        <x:v>Golfclub Heidemeer</x:v>
      </x:c>
      <x:c r="D43" s="28" t="str">
        <x:f>IF('Course_Master'!E43="","",'Course_Master'!E43)</x:f>
        <x:v>Course</x:v>
      </x:c>
      <x:c r="E43" s="28" t="str">
        <x:f>IF('Course_Master'!F43="","",'Course_Master'!F43)</x:f>
        <x:v>Netherlands</x:v>
      </x:c>
      <x:c r="F43" s="28" t="str">
        <x:f>IF('Course_Master'!G43="","",'Course_Master'!G43)</x:f>
        <x:v>Friesland</x:v>
      </x:c>
      <x:c r="G43" s="28" t="str">
        <x:f>IF('Course_Master'!H43="","",'Course_Master'!H43)</x:f>
        <x:v>Heerenveen</x:v>
      </x:c>
      <x:c r="H43" s="28" t="str">
        <x:f>IF('Course_Master'!I43="","",'Course_Master'!I43)</x:f>
        <x:v>Heerenveen</x:v>
      </x:c>
      <x:c r="I43" s="28" t="str">
        <x:f>IF('Course_Master'!K43="","",'Course_Master'!K43)</x:f>
        <x:v>8445 SB</x:v>
      </x:c>
      <x:c r="J43" s="34" t="n">
        <x:f>IF('Course_Master'!L43="","",'Course_Master'!L43)</x:f>
        <x:v>52.9376148</x:v>
      </x:c>
      <x:c r="K43" s="34" t="n">
        <x:f>IF('Course_Master'!M43="","",'Course_Master'!M43)</x:f>
        <x:v>5.93926164</x:v>
      </x:c>
      <x:c r="L43" s="28" t="n">
        <x:f>IF('Course_Master'!S43="","",'Course_Master'!S43)</x:f>
        <x:v>9</x:v>
      </x:c>
      <x:c r="M43" s="28" t="n">
        <x:f>IF('Course_Master'!T43="","",'Course_Master'!T43)</x:f>
        <x:v>35</x:v>
      </x:c>
      <x:c r="N43" s="28" t="n">
        <x:f>IF('Course_Master'!Q43="","",'Course_Master'!Q43)</x:f>
        <x:v>2860</x:v>
      </x:c>
      <x:c r="O43" s="28" t="n">
        <x:f>IF('Course_Master'!R43="","",'Course_Master'!R43)</x:f>
        <x:v>2615</x:v>
      </x:c>
      <x:c r="P43" s="28" t="str">
        <x:f>IF('Course_Master'!U43="","",'Course_Master'!U43)</x:f>
        <x:v>Full-length course</x:v>
      </x:c>
      <x:c r="Q43" s="28" t="str">
        <x:f>IF('Course_Master'!AD43="","",'Course_Master'!AD43)</x:f>
        <x:v>Public — handicap 54 or lower</x:v>
      </x:c>
      <x:c r="R43" s="28" t="str">
        <x:f>IF('Course_Master'!AC43="","",'Course_Master'!AC43)</x:f>
        <x:v>Open</x:v>
      </x:c>
      <x:c r="S43" s="28" t="str">
        <x:f>IF('Course_Master'!Y43="","",'Course_Master'!Y43)</x:f>
        <x:v>https://golfclubheidemeer.nl/</x:v>
      </x:c>
      <x:c r="T43" s="28" t="b">
        <x:f>IF('Course_Master'!Z43="","",'Course_Master'!Z43)</x:f>
        <x:v>1</x:v>
      </x:c>
      <x:c r="U43" s="28" t="b">
        <x:f>IF('Course_Master'!AA43="","",'Course_Master'!AA43)</x:f>
        <x:v>1</x:v>
      </x:c>
      <x:c r="V43" s="28" t="str">
        <x:f>IF('Course_Master'!AL43="","",'Course_Master'!AL43)</x:f>
        <x:v>Verified — national register and exact BAG address</x:v>
      </x:c>
    </x:row>
    <x:row r="44">
      <x:c r="A44" s="28" t="str">
        <x:f>IF('Course_Master'!B44="","",'Course_Master'!B44)</x:f>
        <x:v>NL-0043</x:v>
      </x:c>
      <x:c r="B44" s="28" t="str">
        <x:f>IF('Course_Master'!C44="","",'Course_Master'!C44)</x:f>
        <x:v>Golfclub Lauswolt — Main Course</x:v>
      </x:c>
      <x:c r="C44" s="28" t="str">
        <x:f>IF('Course_Master'!D44="","",'Course_Master'!D44)</x:f>
        <x:v>Golfclub Lauswolt</x:v>
      </x:c>
      <x:c r="D44" s="28" t="str">
        <x:f>IF('Course_Master'!E44="","",'Course_Master'!E44)</x:f>
        <x:v>Main Course</x:v>
      </x:c>
      <x:c r="E44" s="28" t="str">
        <x:f>IF('Course_Master'!F44="","",'Course_Master'!F44)</x:f>
        <x:v>Netherlands</x:v>
      </x:c>
      <x:c r="F44" s="28" t="str">
        <x:f>IF('Course_Master'!G44="","",'Course_Master'!G44)</x:f>
        <x:v>Friesland</x:v>
      </x:c>
      <x:c r="G44" s="28" t="str">
        <x:f>IF('Course_Master'!H44="","",'Course_Master'!H44)</x:f>
        <x:v>Opsterland</x:v>
      </x:c>
      <x:c r="H44" s="28" t="str">
        <x:f>IF('Course_Master'!I44="","",'Course_Master'!I44)</x:f>
        <x:v>Beetsterzwaag</x:v>
      </x:c>
      <x:c r="I44" s="28" t="str">
        <x:f>IF('Course_Master'!K44="","",'Course_Master'!K44)</x:f>
        <x:v>9244 CJ</x:v>
      </x:c>
      <x:c r="J44" s="34" t="n">
        <x:f>IF('Course_Master'!L44="","",'Course_Master'!L44)</x:f>
        <x:v>53.05641766</x:v>
      </x:c>
      <x:c r="K44" s="34" t="n">
        <x:f>IF('Course_Master'!M44="","",'Course_Master'!M44)</x:f>
        <x:v>6.08889319</x:v>
      </x:c>
      <x:c r="L44" s="28" t="n">
        <x:f>IF('Course_Master'!S44="","",'Course_Master'!S44)</x:f>
        <x:v>18</x:v>
      </x:c>
      <x:c r="M44" s="28" t="n">
        <x:f>IF('Course_Master'!T44="","",'Course_Master'!T44)</x:f>
        <x:v>73</x:v>
      </x:c>
      <x:c r="N44" s="28" t="n">
        <x:f>IF('Course_Master'!Q44="","",'Course_Master'!Q44)</x:f>
        <x:v>6823</x:v>
      </x:c>
      <x:c r="O44" s="28" t="n">
        <x:f>IF('Course_Master'!R44="","",'Course_Master'!R44)</x:f>
        <x:v>6239</x:v>
      </x:c>
      <x:c r="P44" s="28" t="str">
        <x:f>IF('Course_Master'!U44="","",'Course_Master'!U44)</x:f>
        <x:v>Full-length course</x:v>
      </x:c>
      <x:c r="Q44" s="28" t="str">
        <x:f>IF('Course_Master'!AD44="","",'Course_Master'!AD44)</x:f>
        <x:v>Public — handicap 54 or lower</x:v>
      </x:c>
      <x:c r="R44" s="28" t="str">
        <x:f>IF('Course_Master'!AC44="","",'Course_Master'!AC44)</x:f>
        <x:v>Open</x:v>
      </x:c>
      <x:c r="S44" s="28" t="str">
        <x:f>IF('Course_Master'!Y44="","",'Course_Master'!Y44)</x:f>
        <x:v>https://golfclublauswolt.nl/</x:v>
      </x:c>
      <x:c r="T44" s="28" t="b">
        <x:f>IF('Course_Master'!Z44="","",'Course_Master'!Z44)</x:f>
        <x:v>1</x:v>
      </x:c>
      <x:c r="U44" s="28" t="b">
        <x:f>IF('Course_Master'!AA44="","",'Course_Master'!AA44)</x:f>
        <x:v>1</x:v>
      </x:c>
      <x:c r="V44" s="28" t="str">
        <x:f>IF('Course_Master'!AL44="","",'Course_Master'!AL44)</x:f>
        <x:v>Verified — national register and exact BAG address</x:v>
      </x:c>
    </x:row>
    <x:row r="45">
      <x:c r="A45" s="28" t="str">
        <x:f>IF('Course_Master'!B45="","",'Course_Master'!B45)</x:f>
        <x:v>NL-0044</x:v>
      </x:c>
      <x:c r="B45" s="28" t="str">
        <x:f>IF('Course_Master'!C45="","",'Course_Master'!C45)</x:f>
        <x:v>Golfpark De Hildenberg — Main Course</x:v>
      </x:c>
      <x:c r="C45" s="28" t="str">
        <x:f>IF('Course_Master'!D45="","",'Course_Master'!D45)</x:f>
        <x:v>Golfpark De Hildenberg</x:v>
      </x:c>
      <x:c r="D45" s="28" t="str">
        <x:f>IF('Course_Master'!E45="","",'Course_Master'!E45)</x:f>
        <x:v>Main Course</x:v>
      </x:c>
      <x:c r="E45" s="28" t="str">
        <x:f>IF('Course_Master'!F45="","",'Course_Master'!F45)</x:f>
        <x:v>Netherlands</x:v>
      </x:c>
      <x:c r="F45" s="28" t="str">
        <x:f>IF('Course_Master'!G45="","",'Course_Master'!G45)</x:f>
        <x:v>Friesland</x:v>
      </x:c>
      <x:c r="G45" s="28" t="str">
        <x:f>IF('Course_Master'!H45="","",'Course_Master'!H45)</x:f>
        <x:v>Ooststellingwerf</x:v>
      </x:c>
      <x:c r="H45" s="28" t="str">
        <x:f>IF('Course_Master'!I45="","",'Course_Master'!I45)</x:f>
        <x:v>Appelscha</x:v>
      </x:c>
      <x:c r="I45" s="28" t="str">
        <x:f>IF('Course_Master'!K45="","",'Course_Master'!K45)</x:f>
        <x:v>8426 NA</x:v>
      </x:c>
      <x:c r="J45" s="34" t="n">
        <x:f>IF('Course_Master'!L45="","",'Course_Master'!L45)</x:f>
        <x:v>52.94230192</x:v>
      </x:c>
      <x:c r="K45" s="34" t="n">
        <x:f>IF('Course_Master'!M45="","",'Course_Master'!M45)</x:f>
        <x:v>6.35267516</x:v>
      </x:c>
      <x:c r="L45" s="28" t="n">
        <x:f>IF('Course_Master'!S45="","",'Course_Master'!S45)</x:f>
        <x:v>9</x:v>
      </x:c>
      <x:c r="M45" s="28" t="n">
        <x:f>IF('Course_Master'!T45="","",'Course_Master'!T45)</x:f>
        <x:v>35</x:v>
      </x:c>
      <x:c r="N45" s="28" t="n">
        <x:f>IF('Course_Master'!Q45="","",'Course_Master'!Q45)</x:f>
        <x:v>2682</x:v>
      </x:c>
      <x:c r="O45" s="28" t="n">
        <x:f>IF('Course_Master'!R45="","",'Course_Master'!R45)</x:f>
        <x:v>2452</x:v>
      </x:c>
      <x:c r="P45" s="28" t="str">
        <x:f>IF('Course_Master'!U45="","",'Course_Master'!U45)</x:f>
        <x:v>Full-length course</x:v>
      </x:c>
      <x:c r="Q45" s="28" t="str">
        <x:f>IF('Course_Master'!AD45="","",'Course_Master'!AD45)</x:f>
        <x:v>Public — NGF course permission</x:v>
      </x:c>
      <x:c r="R45" s="28" t="str">
        <x:f>IF('Course_Master'!AC45="","",'Course_Master'!AC45)</x:f>
        <x:v>Open</x:v>
      </x:c>
      <x:c r="S45" s="28" t="str">
        <x:f>IF('Course_Master'!Y45="","",'Course_Master'!Y45)</x:f>
        <x:v>https://golfparkdehildenberg.nl/</x:v>
      </x:c>
      <x:c r="T45" s="28" t="b">
        <x:f>IF('Course_Master'!Z45="","",'Course_Master'!Z45)</x:f>
        <x:v>1</x:v>
      </x:c>
      <x:c r="U45" s="28" t="b">
        <x:f>IF('Course_Master'!AA45="","",'Course_Master'!AA45)</x:f>
        <x:v>1</x:v>
      </x:c>
      <x:c r="V45" s="28" t="str">
        <x:f>IF('Course_Master'!AL45="","",'Course_Master'!AL45)</x:f>
        <x:v>Verified — national register and exact BAG address</x:v>
      </x:c>
    </x:row>
    <x:row r="46">
      <x:c r="A46" s="28" t="str">
        <x:f>IF('Course_Master'!B46="","",'Course_Master'!B46)</x:f>
        <x:v>NL-0045</x:v>
      </x:c>
      <x:c r="B46" s="28" t="str">
        <x:f>IF('Course_Master'!C46="","",'Course_Master'!C46)</x:f>
        <x:v>Golfpark De Hildenberg — Pitch en Put</x:v>
      </x:c>
      <x:c r="C46" s="28" t="str">
        <x:f>IF('Course_Master'!D46="","",'Course_Master'!D46)</x:f>
        <x:v>Golfpark De Hildenberg</x:v>
      </x:c>
      <x:c r="D46" s="28" t="str">
        <x:f>IF('Course_Master'!E46="","",'Course_Master'!E46)</x:f>
        <x:v>Pitch en Put</x:v>
      </x:c>
      <x:c r="E46" s="28" t="str">
        <x:f>IF('Course_Master'!F46="","",'Course_Master'!F46)</x:f>
        <x:v>Netherlands</x:v>
      </x:c>
      <x:c r="F46" s="28" t="str">
        <x:f>IF('Course_Master'!G46="","",'Course_Master'!G46)</x:f>
        <x:v>Friesland</x:v>
      </x:c>
      <x:c r="G46" s="28" t="str">
        <x:f>IF('Course_Master'!H46="","",'Course_Master'!H46)</x:f>
        <x:v>Ooststellingwerf</x:v>
      </x:c>
      <x:c r="H46" s="28" t="str">
        <x:f>IF('Course_Master'!I46="","",'Course_Master'!I46)</x:f>
        <x:v>Appelscha</x:v>
      </x:c>
      <x:c r="I46" s="28" t="str">
        <x:f>IF('Course_Master'!K46="","",'Course_Master'!K46)</x:f>
        <x:v>8426 NA</x:v>
      </x:c>
      <x:c r="J46" s="34" t="n">
        <x:f>IF('Course_Master'!L46="","",'Course_Master'!L46)</x:f>
        <x:v>52.94230192</x:v>
      </x:c>
      <x:c r="K46" s="34" t="n">
        <x:f>IF('Course_Master'!M46="","",'Course_Master'!M46)</x:f>
        <x:v>6.35267516</x:v>
      </x:c>
      <x:c r="L46" s="28" t="n">
        <x:f>IF('Course_Master'!S46="","",'Course_Master'!S46)</x:f>
        <x:v>9</x:v>
      </x:c>
      <x:c r="M46" s="28" t="n">
        <x:f>IF('Course_Master'!T46="","",'Course_Master'!T46)</x:f>
        <x:v>27</x:v>
      </x:c>
      <x:c r="N46" s="28" t="n">
        <x:f>IF('Course_Master'!Q46="","",'Course_Master'!Q46)</x:f>
        <x:v>273</x:v>
      </x:c>
      <x:c r="O46" s="28" t="n">
        <x:f>IF('Course_Master'!R46="","",'Course_Master'!R46)</x:f>
        <x:v>250</x:v>
      </x:c>
      <x:c r="P46" s="28" t="str">
        <x:f>IF('Course_Master'!U46="","",'Course_Master'!U46)</x:f>
        <x:v>Shortgolf / Pitch &amp; Putt</x:v>
      </x:c>
      <x:c r="Q46" s="28" t="str">
        <x:f>IF('Course_Master'!AD46="","",'Course_Master'!AD46)</x:f>
        <x:v>Public — no playing requirement</x:v>
      </x:c>
      <x:c r="R46" s="28" t="str">
        <x:f>IF('Course_Master'!AC46="","",'Course_Master'!AC46)</x:f>
        <x:v>Open</x:v>
      </x:c>
      <x:c r="S46" s="28" t="str">
        <x:f>IF('Course_Master'!Y46="","",'Course_Master'!Y46)</x:f>
        <x:v>https://golfparkdehildenberg.nl/</x:v>
      </x:c>
      <x:c r="T46" s="28" t="b">
        <x:f>IF('Course_Master'!Z46="","",'Course_Master'!Z46)</x:f>
        <x:v>1</x:v>
      </x:c>
      <x:c r="U46" s="28" t="b">
        <x:f>IF('Course_Master'!AA46="","",'Course_Master'!AA46)</x:f>
        <x:v>1</x:v>
      </x:c>
      <x:c r="V46" s="28" t="str">
        <x:f>IF('Course_Master'!AL46="","",'Course_Master'!AL46)</x:f>
        <x:v>Verified — national register and exact BAG address</x:v>
      </x:c>
    </x:row>
    <x:row r="47">
      <x:c r="A47" s="28" t="str">
        <x:f>IF('Course_Master'!B47="","",'Course_Master'!B47)</x:f>
        <x:v>NL-0046</x:v>
      </x:c>
      <x:c r="B47" s="28" t="str">
        <x:f>IF('Course_Master'!C47="","",'Course_Master'!C47)</x:f>
        <x:v>Golfpark Sint Nyk — Red</x:v>
      </x:c>
      <x:c r="C47" s="28" t="str">
        <x:f>IF('Course_Master'!D47="","",'Course_Master'!D47)</x:f>
        <x:v>Golfpark Sint Nyk</x:v>
      </x:c>
      <x:c r="D47" s="28" t="str">
        <x:f>IF('Course_Master'!E47="","",'Course_Master'!E47)</x:f>
        <x:v>Red</x:v>
      </x:c>
      <x:c r="E47" s="28" t="str">
        <x:f>IF('Course_Master'!F47="","",'Course_Master'!F47)</x:f>
        <x:v>Netherlands</x:v>
      </x:c>
      <x:c r="F47" s="28" t="str">
        <x:f>IF('Course_Master'!G47="","",'Course_Master'!G47)</x:f>
        <x:v>Friesland</x:v>
      </x:c>
      <x:c r="G47" s="28" t="str">
        <x:f>IF('Course_Master'!H47="","",'Course_Master'!H47)</x:f>
        <x:v>De Fryske Marren</x:v>
      </x:c>
      <x:c r="H47" s="28" t="str">
        <x:f>IF('Course_Master'!I47="","",'Course_Master'!I47)</x:f>
        <x:v>Legemeer</x:v>
      </x:c>
      <x:c r="I47" s="28" t="str">
        <x:f>IF('Course_Master'!K47="","",'Course_Master'!K47)</x:f>
        <x:v>8527 DS</x:v>
      </x:c>
      <x:c r="J47" s="34" t="n">
        <x:f>IF('Course_Master'!L47="","",'Course_Master'!L47)</x:f>
        <x:v>52.9395149</x:v>
      </x:c>
      <x:c r="K47" s="34" t="n">
        <x:f>IF('Course_Master'!M47="","",'Course_Master'!M47)</x:f>
        <x:v>5.72940042</x:v>
      </x:c>
      <x:c r="L47" s="28" t="n">
        <x:f>IF('Course_Master'!S47="","",'Course_Master'!S47)</x:f>
        <x:v>9</x:v>
      </x:c>
      <x:c r="M47" s="28" t="n">
        <x:f>IF('Course_Master'!T47="","",'Course_Master'!T47)</x:f>
        <x:v>36</x:v>
      </x:c>
      <x:c r="N47" s="28" t="n">
        <x:f>IF('Course_Master'!Q47="","",'Course_Master'!Q47)</x:f>
        <x:v>3323</x:v>
      </x:c>
      <x:c r="O47" s="28" t="n">
        <x:f>IF('Course_Master'!R47="","",'Course_Master'!R47)</x:f>
        <x:v>3039</x:v>
      </x:c>
      <x:c r="P47" s="28" t="str">
        <x:f>IF('Course_Master'!U47="","",'Course_Master'!U47)</x:f>
        <x:v>Full-length course</x:v>
      </x:c>
      <x:c r="Q47" s="28" t="str">
        <x:f>IF('Course_Master'!AD47="","",'Course_Master'!AD47)</x:f>
        <x:v>Public — handicap 54 or lower</x:v>
      </x:c>
      <x:c r="R47" s="28" t="str">
        <x:f>IF('Course_Master'!AC47="","",'Course_Master'!AC47)</x:f>
        <x:v>Open</x:v>
      </x:c>
      <x:c r="S47" s="28" t="str">
        <x:f>IF('Course_Master'!Y47="","",'Course_Master'!Y47)</x:f>
        <x:v>https://www.hollandschegolfclub.nl/golfpark/sint-nyk/</x:v>
      </x:c>
      <x:c r="T47" s="28" t="b">
        <x:f>IF('Course_Master'!Z47="","",'Course_Master'!Z47)</x:f>
        <x:v>1</x:v>
      </x:c>
      <x:c r="U47" s="28" t="b">
        <x:f>IF('Course_Master'!AA47="","",'Course_Master'!AA47)</x:f>
        <x:v>1</x:v>
      </x:c>
      <x:c r="V47" s="28" t="str">
        <x:f>IF('Course_Master'!AL47="","",'Course_Master'!AL47)</x:f>
        <x:v>Verified — national register and exact BAG address</x:v>
      </x:c>
    </x:row>
    <x:row r="48">
      <x:c r="A48" s="28" t="str">
        <x:f>IF('Course_Master'!B48="","",'Course_Master'!B48)</x:f>
        <x:v>NL-0047</x:v>
      </x:c>
      <x:c r="B48" s="28" t="str">
        <x:f>IF('Course_Master'!C48="","",'Course_Master'!C48)</x:f>
        <x:v>Golfpark Sint Nyk — Yellow</x:v>
      </x:c>
      <x:c r="C48" s="28" t="str">
        <x:f>IF('Course_Master'!D48="","",'Course_Master'!D48)</x:f>
        <x:v>Golfpark Sint Nyk</x:v>
      </x:c>
      <x:c r="D48" s="28" t="str">
        <x:f>IF('Course_Master'!E48="","",'Course_Master'!E48)</x:f>
        <x:v>Yellow</x:v>
      </x:c>
      <x:c r="E48" s="28" t="str">
        <x:f>IF('Course_Master'!F48="","",'Course_Master'!F48)</x:f>
        <x:v>Netherlands</x:v>
      </x:c>
      <x:c r="F48" s="28" t="str">
        <x:f>IF('Course_Master'!G48="","",'Course_Master'!G48)</x:f>
        <x:v>Friesland</x:v>
      </x:c>
      <x:c r="G48" s="28" t="str">
        <x:f>IF('Course_Master'!H48="","",'Course_Master'!H48)</x:f>
        <x:v>De Fryske Marren</x:v>
      </x:c>
      <x:c r="H48" s="28" t="str">
        <x:f>IF('Course_Master'!I48="","",'Course_Master'!I48)</x:f>
        <x:v>Legemeer</x:v>
      </x:c>
      <x:c r="I48" s="28" t="str">
        <x:f>IF('Course_Master'!K48="","",'Course_Master'!K48)</x:f>
        <x:v>8527 DS</x:v>
      </x:c>
      <x:c r="J48" s="34" t="n">
        <x:f>IF('Course_Master'!L48="","",'Course_Master'!L48)</x:f>
        <x:v>52.9395149</x:v>
      </x:c>
      <x:c r="K48" s="34" t="n">
        <x:f>IF('Course_Master'!M48="","",'Course_Master'!M48)</x:f>
        <x:v>5.72940042</x:v>
      </x:c>
      <x:c r="L48" s="28" t="n">
        <x:f>IF('Course_Master'!S48="","",'Course_Master'!S48)</x:f>
        <x:v>9</x:v>
      </x:c>
      <x:c r="M48" s="28" t="n">
        <x:f>IF('Course_Master'!T48="","",'Course_Master'!T48)</x:f>
        <x:v>36</x:v>
      </x:c>
      <x:c r="N48" s="28" t="n">
        <x:f>IF('Course_Master'!Q48="","",'Course_Master'!Q48)</x:f>
        <x:v>3280</x:v>
      </x:c>
      <x:c r="O48" s="28" t="n">
        <x:f>IF('Course_Master'!R48="","",'Course_Master'!R48)</x:f>
        <x:v>2999</x:v>
      </x:c>
      <x:c r="P48" s="28" t="str">
        <x:f>IF('Course_Master'!U48="","",'Course_Master'!U48)</x:f>
        <x:v>Full-length course</x:v>
      </x:c>
      <x:c r="Q48" s="28" t="str">
        <x:f>IF('Course_Master'!AD48="","",'Course_Master'!AD48)</x:f>
        <x:v>Public — handicap 54 or lower</x:v>
      </x:c>
      <x:c r="R48" s="28" t="str">
        <x:f>IF('Course_Master'!AC48="","",'Course_Master'!AC48)</x:f>
        <x:v>Open</x:v>
      </x:c>
      <x:c r="S48" s="28" t="str">
        <x:f>IF('Course_Master'!Y48="","",'Course_Master'!Y48)</x:f>
        <x:v>https://www.hollandschegolfclub.nl/golfpark/sint-nyk/</x:v>
      </x:c>
      <x:c r="T48" s="28" t="b">
        <x:f>IF('Course_Master'!Z48="","",'Course_Master'!Z48)</x:f>
        <x:v>1</x:v>
      </x:c>
      <x:c r="U48" s="28" t="b">
        <x:f>IF('Course_Master'!AA48="","",'Course_Master'!AA48)</x:f>
        <x:v>1</x:v>
      </x:c>
      <x:c r="V48" s="28" t="str">
        <x:f>IF('Course_Master'!AL48="","",'Course_Master'!AL48)</x:f>
        <x:v>Verified — national register and exact BAG address</x:v>
      </x:c>
    </x:row>
    <x:row r="49">
      <x:c r="A49" s="28" t="str">
        <x:f>IF('Course_Master'!B49="","",'Course_Master'!B49)</x:f>
        <x:v>NL-0048</x:v>
      </x:c>
      <x:c r="B49" s="28" t="str">
        <x:f>IF('Course_Master'!C49="","",'Course_Master'!C49)</x:f>
        <x:v>Leeuwarder Golfclub De Groene Ster — Main Course</x:v>
      </x:c>
      <x:c r="C49" s="28" t="str">
        <x:f>IF('Course_Master'!D49="","",'Course_Master'!D49)</x:f>
        <x:v>Leeuwarder Golfclub De Groene Ster</x:v>
      </x:c>
      <x:c r="D49" s="28" t="str">
        <x:f>IF('Course_Master'!E49="","",'Course_Master'!E49)</x:f>
        <x:v>Main Course</x:v>
      </x:c>
      <x:c r="E49" s="28" t="str">
        <x:f>IF('Course_Master'!F49="","",'Course_Master'!F49)</x:f>
        <x:v>Netherlands</x:v>
      </x:c>
      <x:c r="F49" s="28" t="str">
        <x:f>IF('Course_Master'!G49="","",'Course_Master'!G49)</x:f>
        <x:v>Friesland</x:v>
      </x:c>
      <x:c r="G49" s="28" t="str">
        <x:f>IF('Course_Master'!H49="","",'Course_Master'!H49)</x:f>
        <x:v>Leeuwarden</x:v>
      </x:c>
      <x:c r="H49" s="28" t="str">
        <x:f>IF('Course_Master'!I49="","",'Course_Master'!I49)</x:f>
        <x:v>Leeuwarden</x:v>
      </x:c>
      <x:c r="I49" s="28" t="str">
        <x:f>IF('Course_Master'!K49="","",'Course_Master'!K49)</x:f>
        <x:v>8926 XD</x:v>
      </x:c>
      <x:c r="J49" s="34" t="n">
        <x:f>IF('Course_Master'!L49="","",'Course_Master'!L49)</x:f>
        <x:v>53.21000584</x:v>
      </x:c>
      <x:c r="K49" s="34" t="n">
        <x:f>IF('Course_Master'!M49="","",'Course_Master'!M49)</x:f>
        <x:v>5.89129983</x:v>
      </x:c>
      <x:c r="L49" s="28" t="n">
        <x:f>IF('Course_Master'!S49="","",'Course_Master'!S49)</x:f>
        <x:v>18</x:v>
      </x:c>
      <x:c r="M49" s="28" t="n">
        <x:f>IF('Course_Master'!T49="","",'Course_Master'!T49)</x:f>
        <x:v>72</x:v>
      </x:c>
      <x:c r="N49" s="28" t="n">
        <x:f>IF('Course_Master'!Q49="","",'Course_Master'!Q49)</x:f>
        <x:v>6767</x:v>
      </x:c>
      <x:c r="O49" s="28" t="n">
        <x:f>IF('Course_Master'!R49="","",'Course_Master'!R49)</x:f>
        <x:v>6188</x:v>
      </x:c>
      <x:c r="P49" s="28" t="str">
        <x:f>IF('Course_Master'!U49="","",'Course_Master'!U49)</x:f>
        <x:v>Full-length course</x:v>
      </x:c>
      <x:c r="Q49" s="28" t="str">
        <x:f>IF('Course_Master'!AD49="","",'Course_Master'!AD49)</x:f>
        <x:v>Public — handicap 54 or lower</x:v>
      </x:c>
      <x:c r="R49" s="28" t="str">
        <x:f>IF('Course_Master'!AC49="","",'Course_Master'!AC49)</x:f>
        <x:v>Open</x:v>
      </x:c>
      <x:c r="S49" s="28" t="str">
        <x:f>IF('Course_Master'!Y49="","",'Course_Master'!Y49)</x:f>
        <x:v>https://www.leeuwardergolfclub.nl/</x:v>
      </x:c>
      <x:c r="T49" s="28" t="b">
        <x:f>IF('Course_Master'!Z49="","",'Course_Master'!Z49)</x:f>
        <x:v>1</x:v>
      </x:c>
      <x:c r="U49" s="28" t="b">
        <x:f>IF('Course_Master'!AA49="","",'Course_Master'!AA49)</x:f>
        <x:v>1</x:v>
      </x:c>
      <x:c r="V49" s="28" t="str">
        <x:f>IF('Course_Master'!AL49="","",'Course_Master'!AL49)</x:f>
        <x:v>Verified — national register and exact BAG address</x:v>
      </x:c>
    </x:row>
    <x:row r="50">
      <x:c r="A50" s="28" t="str">
        <x:f>IF('Course_Master'!B50="","",'Course_Master'!B50)</x:f>
        <x:v>NL-0049</x:v>
      </x:c>
      <x:c r="B50" s="28" t="str">
        <x:f>IF('Course_Master'!C50="","",'Course_Master'!C50)</x:f>
        <x:v>Pitch &amp; Putt Esonstad — Seedyk, 1ste negen</x:v>
      </x:c>
      <x:c r="C50" s="28" t="str">
        <x:f>IF('Course_Master'!D50="","",'Course_Master'!D50)</x:f>
        <x:v>Pitch &amp; Putt Esonstad</x:v>
      </x:c>
      <x:c r="D50" s="28" t="str">
        <x:f>IF('Course_Master'!E50="","",'Course_Master'!E50)</x:f>
        <x:v>Seedyk, 1ste negen</x:v>
      </x:c>
      <x:c r="E50" s="28" t="str">
        <x:f>IF('Course_Master'!F50="","",'Course_Master'!F50)</x:f>
        <x:v>Netherlands</x:v>
      </x:c>
      <x:c r="F50" s="28" t="str">
        <x:f>IF('Course_Master'!G50="","",'Course_Master'!G50)</x:f>
        <x:v>Friesland</x:v>
      </x:c>
      <x:c r="G50" s="28" t="str">
        <x:f>IF('Course_Master'!H50="","",'Course_Master'!H50)</x:f>
        <x:v>Noardeast-Fryslân</x:v>
      </x:c>
      <x:c r="H50" s="28" t="str">
        <x:f>IF('Course_Master'!I50="","",'Course_Master'!I50)</x:f>
        <x:v>Eanjum</x:v>
      </x:c>
      <x:c r="I50" s="28" t="str">
        <x:f>IF('Course_Master'!K50="","",'Course_Master'!K50)</x:f>
        <x:v>9133 DV</x:v>
      </x:c>
      <x:c r="J50" s="34" t="n">
        <x:f>IF('Course_Master'!L50="","",'Course_Master'!L50)</x:f>
        <x:v>53.37553131</x:v>
      </x:c>
      <x:c r="K50" s="34" t="n">
        <x:f>IF('Course_Master'!M50="","",'Course_Master'!M50)</x:f>
        <x:v>6.15808959</x:v>
      </x:c>
      <x:c r="L50" s="28" t="n">
        <x:f>IF('Course_Master'!S50="","",'Course_Master'!S50)</x:f>
        <x:v>9</x:v>
      </x:c>
      <x:c r="M50" s="28" t="n">
        <x:f>IF('Course_Master'!T50="","",'Course_Master'!T50)</x:f>
        <x:v>27</x:v>
      </x:c>
      <x:c r="N50" s="28" t="n">
        <x:f>IF('Course_Master'!Q50="","",'Course_Master'!Q50)</x:f>
        <x:v>492</x:v>
      </x:c>
      <x:c r="O50" s="28" t="n">
        <x:f>IF('Course_Master'!R50="","",'Course_Master'!R50)</x:f>
        <x:v>450</x:v>
      </x:c>
      <x:c r="P50" s="28" t="str">
        <x:f>IF('Course_Master'!U50="","",'Course_Master'!U50)</x:f>
        <x:v>Shortgolf / Pitch &amp; Putt</x:v>
      </x:c>
      <x:c r="Q50" s="28" t="str">
        <x:f>IF('Course_Master'!AD50="","",'Course_Master'!AD50)</x:f>
        <x:v>Public — no playing requirement</x:v>
      </x:c>
      <x:c r="R50" s="28" t="str">
        <x:f>IF('Course_Master'!AC50="","",'Course_Master'!AC50)</x:f>
        <x:v>Open</x:v>
      </x:c>
      <x:c r="S50" s="28" t="str">
        <x:f>IF('Course_Master'!Y50="","",'Course_Master'!Y50)</x:f>
        <x:v>https://www.esonstadevents.nl/</x:v>
      </x:c>
      <x:c r="T50" s="28" t="b">
        <x:f>IF('Course_Master'!Z50="","",'Course_Master'!Z50)</x:f>
        <x:v>1</x:v>
      </x:c>
      <x:c r="U50" s="28" t="b">
        <x:f>IF('Course_Master'!AA50="","",'Course_Master'!AA50)</x:f>
        <x:v>1</x:v>
      </x:c>
      <x:c r="V50" s="28" t="str">
        <x:f>IF('Course_Master'!AL50="","",'Course_Master'!AL50)</x:f>
        <x:v>Verified — national register and exact BAG address</x:v>
      </x:c>
    </x:row>
    <x:row r="51">
      <x:c r="A51" s="28" t="str">
        <x:f>IF('Course_Master'!B51="","",'Course_Master'!B51)</x:f>
        <x:v>NL-0050</x:v>
      </x:c>
      <x:c r="B51" s="28" t="str">
        <x:f>IF('Course_Master'!C51="","",'Course_Master'!C51)</x:f>
        <x:v>Pitch &amp; Putt Esonstad — Terpen, 2de negen</x:v>
      </x:c>
      <x:c r="C51" s="28" t="str">
        <x:f>IF('Course_Master'!D51="","",'Course_Master'!D51)</x:f>
        <x:v>Pitch &amp; Putt Esonstad</x:v>
      </x:c>
      <x:c r="D51" s="28" t="str">
        <x:f>IF('Course_Master'!E51="","",'Course_Master'!E51)</x:f>
        <x:v>Terpen, 2de negen</x:v>
      </x:c>
      <x:c r="E51" s="28" t="str">
        <x:f>IF('Course_Master'!F51="","",'Course_Master'!F51)</x:f>
        <x:v>Netherlands</x:v>
      </x:c>
      <x:c r="F51" s="28" t="str">
        <x:f>IF('Course_Master'!G51="","",'Course_Master'!G51)</x:f>
        <x:v>Friesland</x:v>
      </x:c>
      <x:c r="G51" s="28" t="str">
        <x:f>IF('Course_Master'!H51="","",'Course_Master'!H51)</x:f>
        <x:v>Noardeast-Fryslân</x:v>
      </x:c>
      <x:c r="H51" s="28" t="str">
        <x:f>IF('Course_Master'!I51="","",'Course_Master'!I51)</x:f>
        <x:v>Eanjum</x:v>
      </x:c>
      <x:c r="I51" s="28" t="str">
        <x:f>IF('Course_Master'!K51="","",'Course_Master'!K51)</x:f>
        <x:v>9133 DV</x:v>
      </x:c>
      <x:c r="J51" s="34" t="n">
        <x:f>IF('Course_Master'!L51="","",'Course_Master'!L51)</x:f>
        <x:v>53.37553131</x:v>
      </x:c>
      <x:c r="K51" s="34" t="n">
        <x:f>IF('Course_Master'!M51="","",'Course_Master'!M51)</x:f>
        <x:v>6.15808959</x:v>
      </x:c>
      <x:c r="L51" s="28" t="n">
        <x:f>IF('Course_Master'!S51="","",'Course_Master'!S51)</x:f>
        <x:v>9</x:v>
      </x:c>
      <x:c r="M51" s="28" t="n">
        <x:f>IF('Course_Master'!T51="","",'Course_Master'!T51)</x:f>
        <x:v>27</x:v>
      </x:c>
      <x:c r="N51" s="28" t="n">
        <x:f>IF('Course_Master'!Q51="","",'Course_Master'!Q51)</x:f>
        <x:v>492</x:v>
      </x:c>
      <x:c r="O51" s="28" t="n">
        <x:f>IF('Course_Master'!R51="","",'Course_Master'!R51)</x:f>
        <x:v>450</x:v>
      </x:c>
      <x:c r="P51" s="28" t="str">
        <x:f>IF('Course_Master'!U51="","",'Course_Master'!U51)</x:f>
        <x:v>Shortgolf / Pitch &amp; Putt</x:v>
      </x:c>
      <x:c r="Q51" s="28" t="str">
        <x:f>IF('Course_Master'!AD51="","",'Course_Master'!AD51)</x:f>
        <x:v>Public — no playing requirement</x:v>
      </x:c>
      <x:c r="R51" s="28" t="str">
        <x:f>IF('Course_Master'!AC51="","",'Course_Master'!AC51)</x:f>
        <x:v>Open</x:v>
      </x:c>
      <x:c r="S51" s="28" t="str">
        <x:f>IF('Course_Master'!Y51="","",'Course_Master'!Y51)</x:f>
        <x:v>https://www.esonstadevents.nl/</x:v>
      </x:c>
      <x:c r="T51" s="28" t="b">
        <x:f>IF('Course_Master'!Z51="","",'Course_Master'!Z51)</x:f>
        <x:v>1</x:v>
      </x:c>
      <x:c r="U51" s="28" t="b">
        <x:f>IF('Course_Master'!AA51="","",'Course_Master'!AA51)</x:f>
        <x:v>1</x:v>
      </x:c>
      <x:c r="V51" s="28" t="str">
        <x:f>IF('Course_Master'!AL51="","",'Course_Master'!AL51)</x:f>
        <x:v>Verified — national register and exact BAG address</x:v>
      </x:c>
    </x:row>
    <x:row r="52">
      <x:c r="A52" s="28" t="str">
        <x:f>IF('Course_Master'!B52="","",'Course_Master'!B52)</x:f>
        <x:v>NL-0051</x:v>
      </x:c>
      <x:c r="B52" s="28" t="str">
        <x:f>IF('Course_Master'!C52="","",'Course_Master'!C52)</x:f>
        <x:v>Pitch &amp; putt Koudum — Shortgolf / Pitch &amp; Putt Course</x:v>
      </x:c>
      <x:c r="C52" s="28" t="str">
        <x:f>IF('Course_Master'!D52="","",'Course_Master'!D52)</x:f>
        <x:v>Pitch &amp; putt Koudum</x:v>
      </x:c>
      <x:c r="D52" s="28" t="str">
        <x:f>IF('Course_Master'!E52="","",'Course_Master'!E52)</x:f>
        <x:v>Shortgolf / Pitch &amp; Putt Course</x:v>
      </x:c>
      <x:c r="E52" s="28" t="str">
        <x:f>IF('Course_Master'!F52="","",'Course_Master'!F52)</x:f>
        <x:v>Netherlands</x:v>
      </x:c>
      <x:c r="F52" s="28" t="str">
        <x:f>IF('Course_Master'!G52="","",'Course_Master'!G52)</x:f>
        <x:v>Friesland</x:v>
      </x:c>
      <x:c r="G52" s="28" t="str">
        <x:f>IF('Course_Master'!H52="","",'Course_Master'!H52)</x:f>
        <x:v>Súdwest-Fryslân</x:v>
      </x:c>
      <x:c r="H52" s="28" t="str">
        <x:f>IF('Course_Master'!I52="","",'Course_Master'!I52)</x:f>
        <x:v>Koudum</x:v>
      </x:c>
      <x:c r="I52" s="28" t="str">
        <x:f>IF('Course_Master'!K52="","",'Course_Master'!K52)</x:f>
        <x:v>8723 EB</x:v>
      </x:c>
      <x:c r="J52" s="34" t="n">
        <x:f>IF('Course_Master'!L52="","",'Course_Master'!L52)</x:f>
        <x:v>52.91960364</x:v>
      </x:c>
      <x:c r="K52" s="34" t="n">
        <x:f>IF('Course_Master'!M52="","",'Course_Master'!M52)</x:f>
        <x:v>5.46119135</x:v>
      </x:c>
      <x:c r="L52" s="28" t="n">
        <x:f>IF('Course_Master'!S52="","",'Course_Master'!S52)</x:f>
        <x:v>18</x:v>
      </x:c>
      <x:c r="M52" s="28" t="n">
        <x:f>IF('Course_Master'!T52="","",'Course_Master'!T52)</x:f>
        <x:v>54</x:v>
      </x:c>
      <x:c r="N52" s="28" t="n">
        <x:f>IF('Course_Master'!Q52="","",'Course_Master'!Q52)</x:f>
        <x:v>984</x:v>
      </x:c>
      <x:c r="O52" s="28" t="n">
        <x:f>IF('Course_Master'!R52="","",'Course_Master'!R52)</x:f>
        <x:v>900</x:v>
      </x:c>
      <x:c r="P52" s="28" t="str">
        <x:f>IF('Course_Master'!U52="","",'Course_Master'!U52)</x:f>
        <x:v>Shortgolf / Pitch &amp; Putt</x:v>
      </x:c>
      <x:c r="Q52" s="28" t="str">
        <x:f>IF('Course_Master'!AD52="","",'Course_Master'!AD52)</x:f>
        <x:v>Public — no playing requirement</x:v>
      </x:c>
      <x:c r="R52" s="28" t="str">
        <x:f>IF('Course_Master'!AC52="","",'Course_Master'!AC52)</x:f>
        <x:v>Open</x:v>
      </x:c>
      <x:c r="S52" s="28" t="str">
        <x:f>IF('Course_Master'!Y52="","",'Course_Master'!Y52)</x:f>
        <x:v>https://www.pitch-putt.nl/locaties/koudum/</x:v>
      </x:c>
      <x:c r="T52" s="28" t="b">
        <x:f>IF('Course_Master'!Z52="","",'Course_Master'!Z52)</x:f>
        <x:v>1</x:v>
      </x:c>
      <x:c r="U52" s="28" t="b">
        <x:f>IF('Course_Master'!AA52="","",'Course_Master'!AA52)</x:f>
        <x:v>1</x:v>
      </x:c>
      <x:c r="V52" s="28" t="str">
        <x:f>IF('Course_Master'!AL52="","",'Course_Master'!AL52)</x:f>
        <x:v>Verified — national register and exact BAG address</x:v>
      </x:c>
    </x:row>
    <x:row r="53">
      <x:c r="A53" s="28" t="str">
        <x:f>IF('Course_Master'!B53="","",'Course_Master'!B53)</x:f>
        <x:v>NL-0052</x:v>
      </x:c>
      <x:c r="B53" s="28" t="str">
        <x:f>IF('Course_Master'!C53="","",'Course_Master'!C53)</x:f>
        <x:v>Edese Golf Club Papendal — Main Course</x:v>
      </x:c>
      <x:c r="C53" s="28" t="str">
        <x:f>IF('Course_Master'!D53="","",'Course_Master'!D53)</x:f>
        <x:v>Edese Golf Club Papendal</x:v>
      </x:c>
      <x:c r="D53" s="28" t="str">
        <x:f>IF('Course_Master'!E53="","",'Course_Master'!E53)</x:f>
        <x:v>Main Course</x:v>
      </x:c>
      <x:c r="E53" s="28" t="str">
        <x:f>IF('Course_Master'!F53="","",'Course_Master'!F53)</x:f>
        <x:v>Netherlands</x:v>
      </x:c>
      <x:c r="F53" s="28" t="str">
        <x:f>IF('Course_Master'!G53="","",'Course_Master'!G53)</x:f>
        <x:v>Gelderland</x:v>
      </x:c>
      <x:c r="G53" s="28" t="str">
        <x:f>IF('Course_Master'!H53="","",'Course_Master'!H53)</x:f>
        <x:v>Arnhem</x:v>
      </x:c>
      <x:c r="H53" s="28" t="str">
        <x:f>IF('Course_Master'!I53="","",'Course_Master'!I53)</x:f>
        <x:v>Arnhem</x:v>
      </x:c>
      <x:c r="I53" s="28" t="str">
        <x:f>IF('Course_Master'!K53="","",'Course_Master'!K53)</x:f>
        <x:v>6816 VD</x:v>
      </x:c>
      <x:c r="J53" s="34" t="n">
        <x:f>IF('Course_Master'!L53="","",'Course_Master'!L53)</x:f>
        <x:v>52.01004975</x:v>
      </x:c>
      <x:c r="K53" s="34" t="n">
        <x:f>IF('Course_Master'!M53="","",'Course_Master'!M53)</x:f>
        <x:v>5.82836412</x:v>
      </x:c>
      <x:c r="L53" s="28" t="n">
        <x:f>IF('Course_Master'!S53="","",'Course_Master'!S53)</x:f>
        <x:v>18</x:v>
      </x:c>
      <x:c r="M53" s="28" t="n">
        <x:f>IF('Course_Master'!T53="","",'Course_Master'!T53)</x:f>
        <x:v>71</x:v>
      </x:c>
      <x:c r="N53" s="28" t="n">
        <x:f>IF('Course_Master'!Q53="","",'Course_Master'!Q53)</x:f>
        <x:v>6598</x:v>
      </x:c>
      <x:c r="O53" s="28" t="n">
        <x:f>IF('Course_Master'!R53="","",'Course_Master'!R53)</x:f>
        <x:v>6033</x:v>
      </x:c>
      <x:c r="P53" s="28" t="str">
        <x:f>IF('Course_Master'!U53="","",'Course_Master'!U53)</x:f>
        <x:v>Full-length course</x:v>
      </x:c>
      <x:c r="Q53" s="28" t="str">
        <x:f>IF('Course_Master'!AD53="","",'Course_Master'!AD53)</x:f>
        <x:v>Public — handicap 36 or lower</x:v>
      </x:c>
      <x:c r="R53" s="28" t="str">
        <x:f>IF('Course_Master'!AC53="","",'Course_Master'!AC53)</x:f>
        <x:v>Open</x:v>
      </x:c>
      <x:c r="S53" s="28" t="str">
        <x:f>IF('Course_Master'!Y53="","",'Course_Master'!Y53)</x:f>
        <x:v>https://www.edesegcpapendal.nl/</x:v>
      </x:c>
      <x:c r="T53" s="28" t="b">
        <x:f>IF('Course_Master'!Z53="","",'Course_Master'!Z53)</x:f>
        <x:v>1</x:v>
      </x:c>
      <x:c r="U53" s="28" t="b">
        <x:f>IF('Course_Master'!AA53="","",'Course_Master'!AA53)</x:f>
        <x:v>1</x:v>
      </x:c>
      <x:c r="V53" s="28" t="str">
        <x:f>IF('Course_Master'!AL53="","",'Course_Master'!AL53)</x:f>
        <x:v>Verified — national register and exact BAG address</x:v>
      </x:c>
    </x:row>
    <x:row r="54">
      <x:c r="A54" s="28" t="str">
        <x:f>IF('Course_Master'!B54="","",'Course_Master'!B54)</x:f>
        <x:v>NL-0053</x:v>
      </x:c>
      <x:c r="B54" s="28" t="str">
        <x:f>IF('Course_Master'!C54="","",'Course_Master'!C54)</x:f>
        <x:v>Golf &amp; Businessclub De Scherpenbergh — Berkenbaan</x:v>
      </x:c>
      <x:c r="C54" s="28" t="str">
        <x:f>IF('Course_Master'!D54="","",'Course_Master'!D54)</x:f>
        <x:v>Golf &amp; Businessclub De Scherpenbergh</x:v>
      </x:c>
      <x:c r="D54" s="28" t="str">
        <x:f>IF('Course_Master'!E54="","",'Course_Master'!E54)</x:f>
        <x:v>Berkenbaan</x:v>
      </x:c>
      <x:c r="E54" s="28" t="str">
        <x:f>IF('Course_Master'!F54="","",'Course_Master'!F54)</x:f>
        <x:v>Netherlands</x:v>
      </x:c>
      <x:c r="F54" s="28" t="str">
        <x:f>IF('Course_Master'!G54="","",'Course_Master'!G54)</x:f>
        <x:v>Gelderland</x:v>
      </x:c>
      <x:c r="G54" s="28" t="str">
        <x:f>IF('Course_Master'!H54="","",'Course_Master'!H54)</x:f>
        <x:v>Apeldoorn</x:v>
      </x:c>
      <x:c r="H54" s="28" t="str">
        <x:f>IF('Course_Master'!I54="","",'Course_Master'!I54)</x:f>
        <x:v>Lieren</x:v>
      </x:c>
      <x:c r="I54" s="28" t="str">
        <x:f>IF('Course_Master'!K54="","",'Course_Master'!K54)</x:f>
        <x:v>7364 CB</x:v>
      </x:c>
      <x:c r="J54" s="34" t="n">
        <x:f>IF('Course_Master'!L54="","",'Course_Master'!L54)</x:f>
        <x:v>52.14835113</x:v>
      </x:c>
      <x:c r="K54" s="34" t="n">
        <x:f>IF('Course_Master'!M54="","",'Course_Master'!M54)</x:f>
        <x:v>6.01891497</x:v>
      </x:c>
      <x:c r="L54" s="28" t="n">
        <x:f>IF('Course_Master'!S54="","",'Course_Master'!S54)</x:f>
        <x:v>9</x:v>
      </x:c>
      <x:c r="M54" s="28" t="n">
        <x:f>IF('Course_Master'!T54="","",'Course_Master'!T54)</x:f>
        <x:v>31</x:v>
      </x:c>
      <x:c r="N54" s="28" t="n">
        <x:f>IF('Course_Master'!Q54="","",'Course_Master'!Q54)</x:f>
        <x:v>1661</x:v>
      </x:c>
      <x:c r="O54" s="28" t="n">
        <x:f>IF('Course_Master'!R54="","",'Course_Master'!R54)</x:f>
        <x:v>1519</x:v>
      </x:c>
      <x:c r="P54" s="28" t="str">
        <x:f>IF('Course_Master'!U54="","",'Course_Master'!U54)</x:f>
        <x:v>Par-3/4 course</x:v>
      </x:c>
      <x:c r="Q54" s="28" t="str">
        <x:f>IF('Course_Master'!AD54="","",'Course_Master'!AD54)</x:f>
        <x:v>Public — no playing requirement</x:v>
      </x:c>
      <x:c r="R54" s="28" t="str">
        <x:f>IF('Course_Master'!AC54="","",'Course_Master'!AC54)</x:f>
        <x:v>Open</x:v>
      </x:c>
      <x:c r="S54" s="28" t="str">
        <x:f>IF('Course_Master'!Y54="","",'Course_Master'!Y54)</x:f>
        <x:v>https://www.descherpenbergh.nl/</x:v>
      </x:c>
      <x:c r="T54" s="28" t="b">
        <x:f>IF('Course_Master'!Z54="","",'Course_Master'!Z54)</x:f>
        <x:v>1</x:v>
      </x:c>
      <x:c r="U54" s="28" t="b">
        <x:f>IF('Course_Master'!AA54="","",'Course_Master'!AA54)</x:f>
        <x:v>1</x:v>
      </x:c>
      <x:c r="V54" s="28" t="str">
        <x:f>IF('Course_Master'!AL54="","",'Course_Master'!AL54)</x:f>
        <x:v>Verified — national register and exact BAG address</x:v>
      </x:c>
    </x:row>
    <x:row r="55">
      <x:c r="A55" s="28" t="str">
        <x:f>IF('Course_Master'!B55="","",'Course_Master'!B55)</x:f>
        <x:v>NL-0054</x:v>
      </x:c>
      <x:c r="B55" s="28" t="str">
        <x:f>IF('Course_Master'!C55="","",'Course_Master'!C55)</x:f>
        <x:v>Golf &amp; Businessclub De Scherpenbergh — Dassenbaan</x:v>
      </x:c>
      <x:c r="C55" s="28" t="str">
        <x:f>IF('Course_Master'!D55="","",'Course_Master'!D55)</x:f>
        <x:v>Golf &amp; Businessclub De Scherpenbergh</x:v>
      </x:c>
      <x:c r="D55" s="28" t="str">
        <x:f>IF('Course_Master'!E55="","",'Course_Master'!E55)</x:f>
        <x:v>Dassenbaan</x:v>
      </x:c>
      <x:c r="E55" s="28" t="str">
        <x:f>IF('Course_Master'!F55="","",'Course_Master'!F55)</x:f>
        <x:v>Netherlands</x:v>
      </x:c>
      <x:c r="F55" s="28" t="str">
        <x:f>IF('Course_Master'!G55="","",'Course_Master'!G55)</x:f>
        <x:v>Gelderland</x:v>
      </x:c>
      <x:c r="G55" s="28" t="str">
        <x:f>IF('Course_Master'!H55="","",'Course_Master'!H55)</x:f>
        <x:v>Apeldoorn</x:v>
      </x:c>
      <x:c r="H55" s="28" t="str">
        <x:f>IF('Course_Master'!I55="","",'Course_Master'!I55)</x:f>
        <x:v>Lieren</x:v>
      </x:c>
      <x:c r="I55" s="28" t="str">
        <x:f>IF('Course_Master'!K55="","",'Course_Master'!K55)</x:f>
        <x:v>7364 CB</x:v>
      </x:c>
      <x:c r="J55" s="34" t="n">
        <x:f>IF('Course_Master'!L55="","",'Course_Master'!L55)</x:f>
        <x:v>52.14835113</x:v>
      </x:c>
      <x:c r="K55" s="34" t="n">
        <x:f>IF('Course_Master'!M55="","",'Course_Master'!M55)</x:f>
        <x:v>6.01891497</x:v>
      </x:c>
      <x:c r="L55" s="28" t="n">
        <x:f>IF('Course_Master'!S55="","",'Course_Master'!S55)</x:f>
        <x:v>9</x:v>
      </x:c>
      <x:c r="M55" s="28" t="n">
        <x:f>IF('Course_Master'!T55="","",'Course_Master'!T55)</x:f>
        <x:v>36</x:v>
      </x:c>
      <x:c r="N55" s="28" t="n">
        <x:f>IF('Course_Master'!Q55="","",'Course_Master'!Q55)</x:f>
        <x:v>3025</x:v>
      </x:c>
      <x:c r="O55" s="28" t="n">
        <x:f>IF('Course_Master'!R55="","",'Course_Master'!R55)</x:f>
        <x:v>2766</x:v>
      </x:c>
      <x:c r="P55" s="28" t="str">
        <x:f>IF('Course_Master'!U55="","",'Course_Master'!U55)</x:f>
        <x:v>Full-length course</x:v>
      </x:c>
      <x:c r="Q55" s="28" t="str">
        <x:f>IF('Course_Master'!AD55="","",'Course_Master'!AD55)</x:f>
        <x:v>Public — handicap 54 or lower</x:v>
      </x:c>
      <x:c r="R55" s="28" t="str">
        <x:f>IF('Course_Master'!AC55="","",'Course_Master'!AC55)</x:f>
        <x:v>Open</x:v>
      </x:c>
      <x:c r="S55" s="28" t="str">
        <x:f>IF('Course_Master'!Y55="","",'Course_Master'!Y55)</x:f>
        <x:v>https://www.descherpenbergh.nl/</x:v>
      </x:c>
      <x:c r="T55" s="28" t="b">
        <x:f>IF('Course_Master'!Z55="","",'Course_Master'!Z55)</x:f>
        <x:v>1</x:v>
      </x:c>
      <x:c r="U55" s="28" t="b">
        <x:f>IF('Course_Master'!AA55="","",'Course_Master'!AA55)</x:f>
        <x:v>1</x:v>
      </x:c>
      <x:c r="V55" s="28" t="str">
        <x:f>IF('Course_Master'!AL55="","",'Course_Master'!AL55)</x:f>
        <x:v>Verified — national register and exact BAG address</x:v>
      </x:c>
    </x:row>
    <x:row r="56">
      <x:c r="A56" s="28" t="str">
        <x:f>IF('Course_Master'!B56="","",'Course_Master'!B56)</x:f>
        <x:v>NL-0055</x:v>
      </x:c>
      <x:c r="B56" s="28" t="str">
        <x:f>IF('Course_Master'!C56="","",'Course_Master'!C56)</x:f>
        <x:v>Golf &amp; Businessclub De Scherpenbergh — Zwaluwenbaan</x:v>
      </x:c>
      <x:c r="C56" s="28" t="str">
        <x:f>IF('Course_Master'!D56="","",'Course_Master'!D56)</x:f>
        <x:v>Golf &amp; Businessclub De Scherpenbergh</x:v>
      </x:c>
      <x:c r="D56" s="28" t="str">
        <x:f>IF('Course_Master'!E56="","",'Course_Master'!E56)</x:f>
        <x:v>Zwaluwenbaan</x:v>
      </x:c>
      <x:c r="E56" s="28" t="str">
        <x:f>IF('Course_Master'!F56="","",'Course_Master'!F56)</x:f>
        <x:v>Netherlands</x:v>
      </x:c>
      <x:c r="F56" s="28" t="str">
        <x:f>IF('Course_Master'!G56="","",'Course_Master'!G56)</x:f>
        <x:v>Gelderland</x:v>
      </x:c>
      <x:c r="G56" s="28" t="str">
        <x:f>IF('Course_Master'!H56="","",'Course_Master'!H56)</x:f>
        <x:v>Apeldoorn</x:v>
      </x:c>
      <x:c r="H56" s="28" t="str">
        <x:f>IF('Course_Master'!I56="","",'Course_Master'!I56)</x:f>
        <x:v>Lieren</x:v>
      </x:c>
      <x:c r="I56" s="28" t="str">
        <x:f>IF('Course_Master'!K56="","",'Course_Master'!K56)</x:f>
        <x:v>7364 CB</x:v>
      </x:c>
      <x:c r="J56" s="34" t="n">
        <x:f>IF('Course_Master'!L56="","",'Course_Master'!L56)</x:f>
        <x:v>52.14835113</x:v>
      </x:c>
      <x:c r="K56" s="34" t="n">
        <x:f>IF('Course_Master'!M56="","",'Course_Master'!M56)</x:f>
        <x:v>6.01891497</x:v>
      </x:c>
      <x:c r="L56" s="28" t="n">
        <x:f>IF('Course_Master'!S56="","",'Course_Master'!S56)</x:f>
        <x:v>9</x:v>
      </x:c>
      <x:c r="M56" s="28" t="n">
        <x:f>IF('Course_Master'!T56="","",'Course_Master'!T56)</x:f>
        <x:v>36</x:v>
      </x:c>
      <x:c r="N56" s="28" t="n">
        <x:f>IF('Course_Master'!Q56="","",'Course_Master'!Q56)</x:f>
        <x:v>3086</x:v>
      </x:c>
      <x:c r="O56" s="28" t="n">
        <x:f>IF('Course_Master'!R56="","",'Course_Master'!R56)</x:f>
        <x:v>2822</x:v>
      </x:c>
      <x:c r="P56" s="28" t="str">
        <x:f>IF('Course_Master'!U56="","",'Course_Master'!U56)</x:f>
        <x:v>Full-length course</x:v>
      </x:c>
      <x:c r="Q56" s="28" t="str">
        <x:f>IF('Course_Master'!AD56="","",'Course_Master'!AD56)</x:f>
        <x:v>Public — handicap 54 or lower</x:v>
      </x:c>
      <x:c r="R56" s="28" t="str">
        <x:f>IF('Course_Master'!AC56="","",'Course_Master'!AC56)</x:f>
        <x:v>Open</x:v>
      </x:c>
      <x:c r="S56" s="28" t="str">
        <x:f>IF('Course_Master'!Y56="","",'Course_Master'!Y56)</x:f>
        <x:v>https://www.descherpenbergh.nl/</x:v>
      </x:c>
      <x:c r="T56" s="28" t="b">
        <x:f>IF('Course_Master'!Z56="","",'Course_Master'!Z56)</x:f>
        <x:v>1</x:v>
      </x:c>
      <x:c r="U56" s="28" t="b">
        <x:f>IF('Course_Master'!AA56="","",'Course_Master'!AA56)</x:f>
        <x:v>1</x:v>
      </x:c>
      <x:c r="V56" s="28" t="str">
        <x:f>IF('Course_Master'!AL56="","",'Course_Master'!AL56)</x:f>
        <x:v>Verified — national register and exact BAG address</x:v>
      </x:c>
    </x:row>
    <x:row r="57">
      <x:c r="A57" s="28" t="str">
        <x:f>IF('Course_Master'!B57="","",'Course_Master'!B57)</x:f>
        <x:v>NL-0056</x:v>
      </x:c>
      <x:c r="B57" s="28" t="str">
        <x:f>IF('Course_Master'!C57="","",'Course_Master'!C57)</x:f>
        <x:v>Golfbaan De Voortwisch — Main Course</x:v>
      </x:c>
      <x:c r="C57" s="28" t="str">
        <x:f>IF('Course_Master'!D57="","",'Course_Master'!D57)</x:f>
        <x:v>Golfbaan De Voortwisch</x:v>
      </x:c>
      <x:c r="D57" s="28" t="str">
        <x:f>IF('Course_Master'!E57="","",'Course_Master'!E57)</x:f>
        <x:v>Main Course</x:v>
      </x:c>
      <x:c r="E57" s="28" t="str">
        <x:f>IF('Course_Master'!F57="","",'Course_Master'!F57)</x:f>
        <x:v>Netherlands</x:v>
      </x:c>
      <x:c r="F57" s="28" t="str">
        <x:f>IF('Course_Master'!G57="","",'Course_Master'!G57)</x:f>
        <x:v>Gelderland</x:v>
      </x:c>
      <x:c r="G57" s="28" t="str">
        <x:f>IF('Course_Master'!H57="","",'Course_Master'!H57)</x:f>
        <x:v>Winterswijk</x:v>
      </x:c>
      <x:c r="H57" s="28" t="str">
        <x:f>IF('Course_Master'!I57="","",'Course_Master'!I57)</x:f>
        <x:v>Winterswijk Henxel</x:v>
      </x:c>
      <x:c r="I57" s="28" t="str">
        <x:f>IF('Course_Master'!K57="","",'Course_Master'!K57)</x:f>
        <x:v>7113 AE</x:v>
      </x:c>
      <x:c r="J57" s="34" t="n">
        <x:f>IF('Course_Master'!L57="","",'Course_Master'!L57)</x:f>
        <x:v>51.98516011</x:v>
      </x:c>
      <x:c r="K57" s="34" t="n">
        <x:f>IF('Course_Master'!M57="","",'Course_Master'!M57)</x:f>
        <x:v>6.76845836</x:v>
      </x:c>
      <x:c r="L57" s="28" t="n">
        <x:f>IF('Course_Master'!S57="","",'Course_Master'!S57)</x:f>
        <x:v>18</x:v>
      </x:c>
      <x:c r="M57" s="28" t="n">
        <x:f>IF('Course_Master'!T57="","",'Course_Master'!T57)</x:f>
        <x:v>72</x:v>
      </x:c>
      <x:c r="N57" s="28" t="n">
        <x:f>IF('Course_Master'!Q57="","",'Course_Master'!Q57)</x:f>
        <x:v>6425</x:v>
      </x:c>
      <x:c r="O57" s="28" t="n">
        <x:f>IF('Course_Master'!R57="","",'Course_Master'!R57)</x:f>
        <x:v>5875</x:v>
      </x:c>
      <x:c r="P57" s="28" t="str">
        <x:f>IF('Course_Master'!U57="","",'Course_Master'!U57)</x:f>
        <x:v>Full-length course</x:v>
      </x:c>
      <x:c r="Q57" s="28" t="str">
        <x:f>IF('Course_Master'!AD57="","",'Course_Master'!AD57)</x:f>
        <x:v>Public — handicap 54 or lower</x:v>
      </x:c>
      <x:c r="R57" s="28" t="str">
        <x:f>IF('Course_Master'!AC57="","",'Course_Master'!AC57)</x:f>
        <x:v>Open</x:v>
      </x:c>
      <x:c r="S57" s="28" t="str">
        <x:f>IF('Course_Master'!Y57="","",'Course_Master'!Y57)</x:f>
        <x:v>https://www.golfclubwinterswijk.nl/</x:v>
      </x:c>
      <x:c r="T57" s="28" t="b">
        <x:f>IF('Course_Master'!Z57="","",'Course_Master'!Z57)</x:f>
        <x:v>1</x:v>
      </x:c>
      <x:c r="U57" s="28" t="b">
        <x:f>IF('Course_Master'!AA57="","",'Course_Master'!AA57)</x:f>
        <x:v>1</x:v>
      </x:c>
      <x:c r="V57" s="28" t="str">
        <x:f>IF('Course_Master'!AL57="","",'Course_Master'!AL57)</x:f>
        <x:v>Verified — national register and exact BAG address</x:v>
      </x:c>
    </x:row>
    <x:row r="58">
      <x:c r="A58" s="28" t="str">
        <x:f>IF('Course_Master'!B58="","",'Course_Master'!B58)</x:f>
        <x:v>NL-0057</x:v>
      </x:c>
      <x:c r="B58" s="28" t="str">
        <x:f>IF('Course_Master'!C58="","",'Course_Master'!C58)</x:f>
        <x:v>Golfbaan Engelenburg</x:v>
      </x:c>
      <x:c r="C58" s="28" t="str">
        <x:f>IF('Course_Master'!D58="","",'Course_Master'!D58)</x:f>
        <x:v>Golfbaan Engelenburg</x:v>
      </x:c>
      <x:c r="D58" s="28" t="str">
        <x:f>IF('Course_Master'!E58="","",'Course_Master'!E58)</x:f>
        <x:v>Course</x:v>
      </x:c>
      <x:c r="E58" s="28" t="str">
        <x:f>IF('Course_Master'!F58="","",'Course_Master'!F58)</x:f>
        <x:v>Netherlands</x:v>
      </x:c>
      <x:c r="F58" s="28" t="str">
        <x:f>IF('Course_Master'!G58="","",'Course_Master'!G58)</x:f>
        <x:v>Gelderland</x:v>
      </x:c>
      <x:c r="G58" s="28" t="str">
        <x:f>IF('Course_Master'!H58="","",'Course_Master'!H58)</x:f>
        <x:v>Brummen</x:v>
      </x:c>
      <x:c r="H58" s="28" t="str">
        <x:f>IF('Course_Master'!I58="","",'Course_Master'!I58)</x:f>
        <x:v>Brummen</x:v>
      </x:c>
      <x:c r="I58" s="28" t="str">
        <x:f>IF('Course_Master'!K58="","",'Course_Master'!K58)</x:f>
        <x:v>6971 LB</x:v>
      </x:c>
      <x:c r="J58" s="34" t="n">
        <x:f>IF('Course_Master'!L58="","",'Course_Master'!L58)</x:f>
        <x:v>52.09048198</x:v>
      </x:c>
      <x:c r="K58" s="34" t="n">
        <x:f>IF('Course_Master'!M58="","",'Course_Master'!M58)</x:f>
        <x:v>6.13459866</x:v>
      </x:c>
      <x:c r="L58" s="28" t="n">
        <x:f>IF('Course_Master'!S58="","",'Course_Master'!S58)</x:f>
        <x:v>9</x:v>
      </x:c>
      <x:c r="M58" s="28" t="n">
        <x:f>IF('Course_Master'!T58="","",'Course_Master'!T58)</x:f>
        <x:v>36</x:v>
      </x:c>
      <x:c r="N58" s="28" t="n">
        <x:f>IF('Course_Master'!Q58="","",'Course_Master'!Q58)</x:f>
        <x:v>3200</x:v>
      </x:c>
      <x:c r="O58" s="28" t="n">
        <x:f>IF('Course_Master'!R58="","",'Course_Master'!R58)</x:f>
        <x:v>2926</x:v>
      </x:c>
      <x:c r="P58" s="28" t="str">
        <x:f>IF('Course_Master'!U58="","",'Course_Master'!U58)</x:f>
        <x:v>Full-length course</x:v>
      </x:c>
      <x:c r="Q58" s="28" t="str">
        <x:f>IF('Course_Master'!AD58="","",'Course_Master'!AD58)</x:f>
        <x:v>Public — handicap 54 or lower</x:v>
      </x:c>
      <x:c r="R58" s="28" t="str">
        <x:f>IF('Course_Master'!AC58="","",'Course_Master'!AC58)</x:f>
        <x:v>Open</x:v>
      </x:c>
      <x:c r="S58" s="28" t="str">
        <x:f>IF('Course_Master'!Y58="","",'Course_Master'!Y58)</x:f>
        <x:v>https://engelenburg.com/</x:v>
      </x:c>
      <x:c r="T58" s="28" t="b">
        <x:f>IF('Course_Master'!Z58="","",'Course_Master'!Z58)</x:f>
        <x:v>1</x:v>
      </x:c>
      <x:c r="U58" s="28" t="b">
        <x:f>IF('Course_Master'!AA58="","",'Course_Master'!AA58)</x:f>
        <x:v>1</x:v>
      </x:c>
      <x:c r="V58" s="28" t="str">
        <x:f>IF('Course_Master'!AL58="","",'Course_Master'!AL58)</x:f>
        <x:v>Verified — national register and exact BAG address</x:v>
      </x:c>
    </x:row>
    <x:row r="59">
      <x:c r="A59" s="28" t="str">
        <x:f>IF('Course_Master'!B59="","",'Course_Master'!B59)</x:f>
        <x:v>NL-0058</x:v>
      </x:c>
      <x:c r="B59" s="28" t="str">
        <x:f>IF('Course_Master'!C59="","",'Course_Master'!C59)</x:f>
        <x:v>Golfbaan Het Rijk van Nijmegen — Groesbeekse baan Noord</x:v>
      </x:c>
      <x:c r="C59" s="28" t="str">
        <x:f>IF('Course_Master'!D59="","",'Course_Master'!D59)</x:f>
        <x:v>Golfbaan Het Rijk van Nijmegen</x:v>
      </x:c>
      <x:c r="D59" s="28" t="str">
        <x:f>IF('Course_Master'!E59="","",'Course_Master'!E59)</x:f>
        <x:v>Groesbeekse baan Noord</x:v>
      </x:c>
      <x:c r="E59" s="28" t="str">
        <x:f>IF('Course_Master'!F59="","",'Course_Master'!F59)</x:f>
        <x:v>Netherlands</x:v>
      </x:c>
      <x:c r="F59" s="28" t="str">
        <x:f>IF('Course_Master'!G59="","",'Course_Master'!G59)</x:f>
        <x:v>Gelderland</x:v>
      </x:c>
      <x:c r="G59" s="28" t="str">
        <x:f>IF('Course_Master'!H59="","",'Course_Master'!H59)</x:f>
        <x:v>Berg en Dal</x:v>
      </x:c>
      <x:c r="H59" s="28" t="str">
        <x:f>IF('Course_Master'!I59="","",'Course_Master'!I59)</x:f>
        <x:v>Groesbeek</x:v>
      </x:c>
      <x:c r="I59" s="28" t="str">
        <x:f>IF('Course_Master'!K59="","",'Course_Master'!K59)</x:f>
        <x:v>6561 KJ</x:v>
      </x:c>
      <x:c r="J59" s="34" t="n">
        <x:f>IF('Course_Master'!L59="","",'Course_Master'!L59)</x:f>
        <x:v>51.79028879</x:v>
      </x:c>
      <x:c r="K59" s="34" t="n">
        <x:f>IF('Course_Master'!M59="","",'Course_Master'!M59)</x:f>
        <x:v>5.92241917</x:v>
      </x:c>
      <x:c r="L59" s="28" t="n">
        <x:f>IF('Course_Master'!S59="","",'Course_Master'!S59)</x:f>
        <x:v>9</x:v>
      </x:c>
      <x:c r="M59" s="28" t="n">
        <x:f>IF('Course_Master'!T59="","",'Course_Master'!T59)</x:f>
        <x:v>36</x:v>
      </x:c>
      <x:c r="N59" s="28" t="n">
        <x:f>IF('Course_Master'!Q59="","",'Course_Master'!Q59)</x:f>
        <x:v>3036</x:v>
      </x:c>
      <x:c r="O59" s="28" t="n">
        <x:f>IF('Course_Master'!R59="","",'Course_Master'!R59)</x:f>
        <x:v>2776</x:v>
      </x:c>
      <x:c r="P59" s="28" t="str">
        <x:f>IF('Course_Master'!U59="","",'Course_Master'!U59)</x:f>
        <x:v>Full-length course</x:v>
      </x:c>
      <x:c r="Q59" s="28" t="str">
        <x:f>IF('Course_Master'!AD59="","",'Course_Master'!AD59)</x:f>
        <x:v>Public — handicap 54 or lower</x:v>
      </x:c>
      <x:c r="R59" s="28" t="str">
        <x:f>IF('Course_Master'!AC59="","",'Course_Master'!AC59)</x:f>
        <x:v>Open</x:v>
      </x:c>
      <x:c r="S59" s="28" t="str">
        <x:f>IF('Course_Master'!Y59="","",'Course_Master'!Y59)</x:f>
        <x:v>https://www.golfenophetrijk.nl/nijmegen.html</x:v>
      </x:c>
      <x:c r="T59" s="28" t="b">
        <x:f>IF('Course_Master'!Z59="","",'Course_Master'!Z59)</x:f>
        <x:v>1</x:v>
      </x:c>
      <x:c r="U59" s="28" t="b">
        <x:f>IF('Course_Master'!AA59="","",'Course_Master'!AA59)</x:f>
        <x:v>1</x:v>
      </x:c>
      <x:c r="V59" s="28" t="str">
        <x:f>IF('Course_Master'!AL59="","",'Course_Master'!AL59)</x:f>
        <x:v>Verified — national register and exact BAG address</x:v>
      </x:c>
    </x:row>
    <x:row r="60">
      <x:c r="A60" s="28" t="str">
        <x:f>IF('Course_Master'!B60="","",'Course_Master'!B60)</x:f>
        <x:v>NL-0059</x:v>
      </x:c>
      <x:c r="B60" s="28" t="str">
        <x:f>IF('Course_Master'!C60="","",'Course_Master'!C60)</x:f>
        <x:v>Golfbaan Het Rijk van Nijmegen — Groesbeekse baan Oost</x:v>
      </x:c>
      <x:c r="C60" s="28" t="str">
        <x:f>IF('Course_Master'!D60="","",'Course_Master'!D60)</x:f>
        <x:v>Golfbaan Het Rijk van Nijmegen</x:v>
      </x:c>
      <x:c r="D60" s="28" t="str">
        <x:f>IF('Course_Master'!E60="","",'Course_Master'!E60)</x:f>
        <x:v>Groesbeekse baan Oost</x:v>
      </x:c>
      <x:c r="E60" s="28" t="str">
        <x:f>IF('Course_Master'!F60="","",'Course_Master'!F60)</x:f>
        <x:v>Netherlands</x:v>
      </x:c>
      <x:c r="F60" s="28" t="str">
        <x:f>IF('Course_Master'!G60="","",'Course_Master'!G60)</x:f>
        <x:v>Gelderland</x:v>
      </x:c>
      <x:c r="G60" s="28" t="str">
        <x:f>IF('Course_Master'!H60="","",'Course_Master'!H60)</x:f>
        <x:v>Berg en Dal</x:v>
      </x:c>
      <x:c r="H60" s="28" t="str">
        <x:f>IF('Course_Master'!I60="","",'Course_Master'!I60)</x:f>
        <x:v>Groesbeek</x:v>
      </x:c>
      <x:c r="I60" s="28" t="str">
        <x:f>IF('Course_Master'!K60="","",'Course_Master'!K60)</x:f>
        <x:v>6561 KJ</x:v>
      </x:c>
      <x:c r="J60" s="34" t="n">
        <x:f>IF('Course_Master'!L60="","",'Course_Master'!L60)</x:f>
        <x:v>51.79028879</x:v>
      </x:c>
      <x:c r="K60" s="34" t="n">
        <x:f>IF('Course_Master'!M60="","",'Course_Master'!M60)</x:f>
        <x:v>5.92241917</x:v>
      </x:c>
      <x:c r="L60" s="28" t="n">
        <x:f>IF('Course_Master'!S60="","",'Course_Master'!S60)</x:f>
        <x:v>9</x:v>
      </x:c>
      <x:c r="M60" s="28" t="n">
        <x:f>IF('Course_Master'!T60="","",'Course_Master'!T60)</x:f>
        <x:v>35</x:v>
      </x:c>
      <x:c r="N60" s="28" t="n">
        <x:f>IF('Course_Master'!Q60="","",'Course_Master'!Q60)</x:f>
        <x:v>2883</x:v>
      </x:c>
      <x:c r="O60" s="28" t="n">
        <x:f>IF('Course_Master'!R60="","",'Course_Master'!R60)</x:f>
        <x:v>2636</x:v>
      </x:c>
      <x:c r="P60" s="28" t="str">
        <x:f>IF('Course_Master'!U60="","",'Course_Master'!U60)</x:f>
        <x:v>Full-length course</x:v>
      </x:c>
      <x:c r="Q60" s="28" t="str">
        <x:f>IF('Course_Master'!AD60="","",'Course_Master'!AD60)</x:f>
        <x:v>Public — handicap 54 or lower</x:v>
      </x:c>
      <x:c r="R60" s="28" t="str">
        <x:f>IF('Course_Master'!AC60="","",'Course_Master'!AC60)</x:f>
        <x:v>Open</x:v>
      </x:c>
      <x:c r="S60" s="28" t="str">
        <x:f>IF('Course_Master'!Y60="","",'Course_Master'!Y60)</x:f>
        <x:v>https://www.golfenophetrijk.nl/nijmegen.html</x:v>
      </x:c>
      <x:c r="T60" s="28" t="b">
        <x:f>IF('Course_Master'!Z60="","",'Course_Master'!Z60)</x:f>
        <x:v>1</x:v>
      </x:c>
      <x:c r="U60" s="28" t="b">
        <x:f>IF('Course_Master'!AA60="","",'Course_Master'!AA60)</x:f>
        <x:v>1</x:v>
      </x:c>
      <x:c r="V60" s="28" t="str">
        <x:f>IF('Course_Master'!AL60="","",'Course_Master'!AL60)</x:f>
        <x:v>Verified — national register and exact BAG address</x:v>
      </x:c>
    </x:row>
    <x:row r="61">
      <x:c r="A61" s="28" t="str">
        <x:f>IF('Course_Master'!B61="","",'Course_Master'!B61)</x:f>
        <x:v>NL-0060</x:v>
      </x:c>
      <x:c r="B61" s="28" t="str">
        <x:f>IF('Course_Master'!C61="","",'Course_Master'!C61)</x:f>
        <x:v>Golfbaan Het Rijk van Nijmegen — Groesbeekse baan Zuid</x:v>
      </x:c>
      <x:c r="C61" s="28" t="str">
        <x:f>IF('Course_Master'!D61="","",'Course_Master'!D61)</x:f>
        <x:v>Golfbaan Het Rijk van Nijmegen</x:v>
      </x:c>
      <x:c r="D61" s="28" t="str">
        <x:f>IF('Course_Master'!E61="","",'Course_Master'!E61)</x:f>
        <x:v>Groesbeekse baan Zuid</x:v>
      </x:c>
      <x:c r="E61" s="28" t="str">
        <x:f>IF('Course_Master'!F61="","",'Course_Master'!F61)</x:f>
        <x:v>Netherlands</x:v>
      </x:c>
      <x:c r="F61" s="28" t="str">
        <x:f>IF('Course_Master'!G61="","",'Course_Master'!G61)</x:f>
        <x:v>Gelderland</x:v>
      </x:c>
      <x:c r="G61" s="28" t="str">
        <x:f>IF('Course_Master'!H61="","",'Course_Master'!H61)</x:f>
        <x:v>Berg en Dal</x:v>
      </x:c>
      <x:c r="H61" s="28" t="str">
        <x:f>IF('Course_Master'!I61="","",'Course_Master'!I61)</x:f>
        <x:v>Groesbeek</x:v>
      </x:c>
      <x:c r="I61" s="28" t="str">
        <x:f>IF('Course_Master'!K61="","",'Course_Master'!K61)</x:f>
        <x:v>6561 KJ</x:v>
      </x:c>
      <x:c r="J61" s="34" t="n">
        <x:f>IF('Course_Master'!L61="","",'Course_Master'!L61)</x:f>
        <x:v>51.79028879</x:v>
      </x:c>
      <x:c r="K61" s="34" t="n">
        <x:f>IF('Course_Master'!M61="","",'Course_Master'!M61)</x:f>
        <x:v>5.92241917</x:v>
      </x:c>
      <x:c r="L61" s="28" t="n">
        <x:f>IF('Course_Master'!S61="","",'Course_Master'!S61)</x:f>
        <x:v>9</x:v>
      </x:c>
      <x:c r="M61" s="28" t="n">
        <x:f>IF('Course_Master'!T61="","",'Course_Master'!T61)</x:f>
        <x:v>36</x:v>
      </x:c>
      <x:c r="N61" s="28" t="n">
        <x:f>IF('Course_Master'!Q61="","",'Course_Master'!Q61)</x:f>
        <x:v>3395</x:v>
      </x:c>
      <x:c r="O61" s="28" t="n">
        <x:f>IF('Course_Master'!R61="","",'Course_Master'!R61)</x:f>
        <x:v>3104</x:v>
      </x:c>
      <x:c r="P61" s="28" t="str">
        <x:f>IF('Course_Master'!U61="","",'Course_Master'!U61)</x:f>
        <x:v>Full-length course</x:v>
      </x:c>
      <x:c r="Q61" s="28" t="str">
        <x:f>IF('Course_Master'!AD61="","",'Course_Master'!AD61)</x:f>
        <x:v>Public — handicap 54 or lower</x:v>
      </x:c>
      <x:c r="R61" s="28" t="str">
        <x:f>IF('Course_Master'!AC61="","",'Course_Master'!AC61)</x:f>
        <x:v>Open</x:v>
      </x:c>
      <x:c r="S61" s="28" t="str">
        <x:f>IF('Course_Master'!Y61="","",'Course_Master'!Y61)</x:f>
        <x:v>https://www.golfenophetrijk.nl/nijmegen.html</x:v>
      </x:c>
      <x:c r="T61" s="28" t="b">
        <x:f>IF('Course_Master'!Z61="","",'Course_Master'!Z61)</x:f>
        <x:v>1</x:v>
      </x:c>
      <x:c r="U61" s="28" t="b">
        <x:f>IF('Course_Master'!AA61="","",'Course_Master'!AA61)</x:f>
        <x:v>1</x:v>
      </x:c>
      <x:c r="V61" s="28" t="str">
        <x:f>IF('Course_Master'!AL61="","",'Course_Master'!AL61)</x:f>
        <x:v>Verified — national register and exact BAG address</x:v>
      </x:c>
    </x:row>
    <x:row r="62">
      <x:c r="A62" s="28" t="str">
        <x:f>IF('Course_Master'!B62="","",'Course_Master'!B62)</x:f>
        <x:v>NL-0061</x:v>
      </x:c>
      <x:c r="B62" s="28" t="str">
        <x:f>IF('Course_Master'!C62="","",'Course_Master'!C62)</x:f>
        <x:v>Golfbaan Het Rijk van Nijmegen — Nijmeegse baan</x:v>
      </x:c>
      <x:c r="C62" s="28" t="str">
        <x:f>IF('Course_Master'!D62="","",'Course_Master'!D62)</x:f>
        <x:v>Golfbaan Het Rijk van Nijmegen</x:v>
      </x:c>
      <x:c r="D62" s="28" t="str">
        <x:f>IF('Course_Master'!E62="","",'Course_Master'!E62)</x:f>
        <x:v>Nijmeegse baan</x:v>
      </x:c>
      <x:c r="E62" s="28" t="str">
        <x:f>IF('Course_Master'!F62="","",'Course_Master'!F62)</x:f>
        <x:v>Netherlands</x:v>
      </x:c>
      <x:c r="F62" s="28" t="str">
        <x:f>IF('Course_Master'!G62="","",'Course_Master'!G62)</x:f>
        <x:v>Gelderland</x:v>
      </x:c>
      <x:c r="G62" s="28" t="str">
        <x:f>IF('Course_Master'!H62="","",'Course_Master'!H62)</x:f>
        <x:v>Berg en Dal</x:v>
      </x:c>
      <x:c r="H62" s="28" t="str">
        <x:f>IF('Course_Master'!I62="","",'Course_Master'!I62)</x:f>
        <x:v>Groesbeek</x:v>
      </x:c>
      <x:c r="I62" s="28" t="str">
        <x:f>IF('Course_Master'!K62="","",'Course_Master'!K62)</x:f>
        <x:v>6561 KJ</x:v>
      </x:c>
      <x:c r="J62" s="34" t="n">
        <x:f>IF('Course_Master'!L62="","",'Course_Master'!L62)</x:f>
        <x:v>51.79028879</x:v>
      </x:c>
      <x:c r="K62" s="34" t="n">
        <x:f>IF('Course_Master'!M62="","",'Course_Master'!M62)</x:f>
        <x:v>5.92241917</x:v>
      </x:c>
      <x:c r="L62" s="28" t="n">
        <x:f>IF('Course_Master'!S62="","",'Course_Master'!S62)</x:f>
        <x:v>18</x:v>
      </x:c>
      <x:c r="M62" s="28" t="n">
        <x:f>IF('Course_Master'!T62="","",'Course_Master'!T62)</x:f>
        <x:v>72</x:v>
      </x:c>
      <x:c r="N62" s="28" t="n">
        <x:f>IF('Course_Master'!Q62="","",'Course_Master'!Q62)</x:f>
        <x:v>6602</x:v>
      </x:c>
      <x:c r="O62" s="28" t="n">
        <x:f>IF('Course_Master'!R62="","",'Course_Master'!R62)</x:f>
        <x:v>6037</x:v>
      </x:c>
      <x:c r="P62" s="28" t="str">
        <x:f>IF('Course_Master'!U62="","",'Course_Master'!U62)</x:f>
        <x:v>Full-length course</x:v>
      </x:c>
      <x:c r="Q62" s="28" t="str">
        <x:f>IF('Course_Master'!AD62="","",'Course_Master'!AD62)</x:f>
        <x:v>Public — handicap 54 or lower</x:v>
      </x:c>
      <x:c r="R62" s="28" t="str">
        <x:f>IF('Course_Master'!AC62="","",'Course_Master'!AC62)</x:f>
        <x:v>Open</x:v>
      </x:c>
      <x:c r="S62" s="28" t="str">
        <x:f>IF('Course_Master'!Y62="","",'Course_Master'!Y62)</x:f>
        <x:v>https://www.golfenophetrijk.nl/nijmegen.html</x:v>
      </x:c>
      <x:c r="T62" s="28" t="b">
        <x:f>IF('Course_Master'!Z62="","",'Course_Master'!Z62)</x:f>
        <x:v>1</x:v>
      </x:c>
      <x:c r="U62" s="28" t="b">
        <x:f>IF('Course_Master'!AA62="","",'Course_Master'!AA62)</x:f>
        <x:v>1</x:v>
      </x:c>
      <x:c r="V62" s="28" t="str">
        <x:f>IF('Course_Master'!AL62="","",'Course_Master'!AL62)</x:f>
        <x:v>Verified — national register and exact BAG address</x:v>
      </x:c>
    </x:row>
    <x:row r="63">
      <x:c r="A63" s="28" t="str">
        <x:f>IF('Course_Master'!B63="","",'Course_Master'!B63)</x:f>
        <x:v>NL-0062</x:v>
      </x:c>
      <x:c r="B63" s="28" t="str">
        <x:f>IF('Course_Master'!C63="","",'Course_Master'!C63)</x:f>
        <x:v>Golfbaan Het Rijk van Nunspeet — Noord</x:v>
      </x:c>
      <x:c r="C63" s="28" t="str">
        <x:f>IF('Course_Master'!D63="","",'Course_Master'!D63)</x:f>
        <x:v>Golfbaan Het Rijk van Nunspeet</x:v>
      </x:c>
      <x:c r="D63" s="28" t="str">
        <x:f>IF('Course_Master'!E63="","",'Course_Master'!E63)</x:f>
        <x:v>Noord</x:v>
      </x:c>
      <x:c r="E63" s="28" t="str">
        <x:f>IF('Course_Master'!F63="","",'Course_Master'!F63)</x:f>
        <x:v>Netherlands</x:v>
      </x:c>
      <x:c r="F63" s="28" t="str">
        <x:f>IF('Course_Master'!G63="","",'Course_Master'!G63)</x:f>
        <x:v>Gelderland</x:v>
      </x:c>
      <x:c r="G63" s="28" t="str">
        <x:f>IF('Course_Master'!H63="","",'Course_Master'!H63)</x:f>
        <x:v>Nunspeet</x:v>
      </x:c>
      <x:c r="H63" s="28" t="str">
        <x:f>IF('Course_Master'!I63="","",'Course_Master'!I63)</x:f>
        <x:v>Nunspeet</x:v>
      </x:c>
      <x:c r="I63" s="28" t="str">
        <x:f>IF('Course_Master'!K63="","",'Course_Master'!K63)</x:f>
        <x:v>8072 PT</x:v>
      </x:c>
      <x:c r="J63" s="34" t="n">
        <x:f>IF('Course_Master'!L63="","",'Course_Master'!L63)</x:f>
        <x:v>52.36770503</x:v>
      </x:c>
      <x:c r="K63" s="34" t="n">
        <x:f>IF('Course_Master'!M63="","",'Course_Master'!M63)</x:f>
        <x:v>5.79827164</x:v>
      </x:c>
      <x:c r="L63" s="28" t="n">
        <x:f>IF('Course_Master'!S63="","",'Course_Master'!S63)</x:f>
        <x:v>9</x:v>
      </x:c>
      <x:c r="M63" s="28" t="n">
        <x:f>IF('Course_Master'!T63="","",'Course_Master'!T63)</x:f>
        <x:v>36</x:v>
      </x:c>
      <x:c r="N63" s="28" t="n">
        <x:f>IF('Course_Master'!Q63="","",'Course_Master'!Q63)</x:f>
        <x:v>3317</x:v>
      </x:c>
      <x:c r="O63" s="28" t="n">
        <x:f>IF('Course_Master'!R63="","",'Course_Master'!R63)</x:f>
        <x:v>3033</x:v>
      </x:c>
      <x:c r="P63" s="28" t="str">
        <x:f>IF('Course_Master'!U63="","",'Course_Master'!U63)</x:f>
        <x:v>Full-length course</x:v>
      </x:c>
      <x:c r="Q63" s="28" t="str">
        <x:f>IF('Course_Master'!AD63="","",'Course_Master'!AD63)</x:f>
        <x:v>Public — handicap 54 or lower</x:v>
      </x:c>
      <x:c r="R63" s="28" t="str">
        <x:f>IF('Course_Master'!AC63="","",'Course_Master'!AC63)</x:f>
        <x:v>Open</x:v>
      </x:c>
      <x:c r="S63" s="28" t="str">
        <x:f>IF('Course_Master'!Y63="","",'Course_Master'!Y63)</x:f>
        <x:v>https://www.golfenophetrijk.nl/nunspeet.html</x:v>
      </x:c>
      <x:c r="T63" s="28" t="b">
        <x:f>IF('Course_Master'!Z63="","",'Course_Master'!Z63)</x:f>
        <x:v>1</x:v>
      </x:c>
      <x:c r="U63" s="28" t="b">
        <x:f>IF('Course_Master'!AA63="","",'Course_Master'!AA63)</x:f>
        <x:v>1</x:v>
      </x:c>
      <x:c r="V63" s="28" t="str">
        <x:f>IF('Course_Master'!AL63="","",'Course_Master'!AL63)</x:f>
        <x:v>Verified — national register and exact BAG address</x:v>
      </x:c>
    </x:row>
    <x:row r="64">
      <x:c r="A64" s="28" t="str">
        <x:f>IF('Course_Master'!B64="","",'Course_Master'!B64)</x:f>
        <x:v>NL-0063</x:v>
      </x:c>
      <x:c r="B64" s="28" t="str">
        <x:f>IF('Course_Master'!C64="","",'Course_Master'!C64)</x:f>
        <x:v>Golfbaan Het Rijk van Nunspeet — Oost</x:v>
      </x:c>
      <x:c r="C64" s="28" t="str">
        <x:f>IF('Course_Master'!D64="","",'Course_Master'!D64)</x:f>
        <x:v>Golfbaan Het Rijk van Nunspeet</x:v>
      </x:c>
      <x:c r="D64" s="28" t="str">
        <x:f>IF('Course_Master'!E64="","",'Course_Master'!E64)</x:f>
        <x:v>Oost</x:v>
      </x:c>
      <x:c r="E64" s="28" t="str">
        <x:f>IF('Course_Master'!F64="","",'Course_Master'!F64)</x:f>
        <x:v>Netherlands</x:v>
      </x:c>
      <x:c r="F64" s="28" t="str">
        <x:f>IF('Course_Master'!G64="","",'Course_Master'!G64)</x:f>
        <x:v>Gelderland</x:v>
      </x:c>
      <x:c r="G64" s="28" t="str">
        <x:f>IF('Course_Master'!H64="","",'Course_Master'!H64)</x:f>
        <x:v>Nunspeet</x:v>
      </x:c>
      <x:c r="H64" s="28" t="str">
        <x:f>IF('Course_Master'!I64="","",'Course_Master'!I64)</x:f>
        <x:v>Nunspeet</x:v>
      </x:c>
      <x:c r="I64" s="28" t="str">
        <x:f>IF('Course_Master'!K64="","",'Course_Master'!K64)</x:f>
        <x:v>8072 PT</x:v>
      </x:c>
      <x:c r="J64" s="34" t="n">
        <x:f>IF('Course_Master'!L64="","",'Course_Master'!L64)</x:f>
        <x:v>52.36770503</x:v>
      </x:c>
      <x:c r="K64" s="34" t="n">
        <x:f>IF('Course_Master'!M64="","",'Course_Master'!M64)</x:f>
        <x:v>5.79827164</x:v>
      </x:c>
      <x:c r="L64" s="28" t="n">
        <x:f>IF('Course_Master'!S64="","",'Course_Master'!S64)</x:f>
        <x:v>9</x:v>
      </x:c>
      <x:c r="M64" s="28" t="n">
        <x:f>IF('Course_Master'!T64="","",'Course_Master'!T64)</x:f>
        <x:v>36</x:v>
      </x:c>
      <x:c r="N64" s="28" t="n">
        <x:f>IF('Course_Master'!Q64="","",'Course_Master'!Q64)</x:f>
        <x:v>3258</x:v>
      </x:c>
      <x:c r="O64" s="28" t="n">
        <x:f>IF('Course_Master'!R64="","",'Course_Master'!R64)</x:f>
        <x:v>2979</x:v>
      </x:c>
      <x:c r="P64" s="28" t="str">
        <x:f>IF('Course_Master'!U64="","",'Course_Master'!U64)</x:f>
        <x:v>Full-length course</x:v>
      </x:c>
      <x:c r="Q64" s="28" t="str">
        <x:f>IF('Course_Master'!AD64="","",'Course_Master'!AD64)</x:f>
        <x:v>Public — handicap 54 or lower</x:v>
      </x:c>
      <x:c r="R64" s="28" t="str">
        <x:f>IF('Course_Master'!AC64="","",'Course_Master'!AC64)</x:f>
        <x:v>Open</x:v>
      </x:c>
      <x:c r="S64" s="28" t="str">
        <x:f>IF('Course_Master'!Y64="","",'Course_Master'!Y64)</x:f>
        <x:v>https://www.golfenophetrijk.nl/nunspeet.html</x:v>
      </x:c>
      <x:c r="T64" s="28" t="b">
        <x:f>IF('Course_Master'!Z64="","",'Course_Master'!Z64)</x:f>
        <x:v>1</x:v>
      </x:c>
      <x:c r="U64" s="28" t="b">
        <x:f>IF('Course_Master'!AA64="","",'Course_Master'!AA64)</x:f>
        <x:v>1</x:v>
      </x:c>
      <x:c r="V64" s="28" t="str">
        <x:f>IF('Course_Master'!AL64="","",'Course_Master'!AL64)</x:f>
        <x:v>Verified — national register and exact BAG address</x:v>
      </x:c>
    </x:row>
    <x:row r="65">
      <x:c r="A65" s="28" t="str">
        <x:f>IF('Course_Master'!B65="","",'Course_Master'!B65)</x:f>
        <x:v>NL-0064</x:v>
      </x:c>
      <x:c r="B65" s="28" t="str">
        <x:f>IF('Course_Master'!C65="","",'Course_Master'!C65)</x:f>
        <x:v>Golfbaan Het Rijk van Nunspeet — Zuid</x:v>
      </x:c>
      <x:c r="C65" s="28" t="str">
        <x:f>IF('Course_Master'!D65="","",'Course_Master'!D65)</x:f>
        <x:v>Golfbaan Het Rijk van Nunspeet</x:v>
      </x:c>
      <x:c r="D65" s="28" t="str">
        <x:f>IF('Course_Master'!E65="","",'Course_Master'!E65)</x:f>
        <x:v>Zuid</x:v>
      </x:c>
      <x:c r="E65" s="28" t="str">
        <x:f>IF('Course_Master'!F65="","",'Course_Master'!F65)</x:f>
        <x:v>Netherlands</x:v>
      </x:c>
      <x:c r="F65" s="28" t="str">
        <x:f>IF('Course_Master'!G65="","",'Course_Master'!G65)</x:f>
        <x:v>Gelderland</x:v>
      </x:c>
      <x:c r="G65" s="28" t="str">
        <x:f>IF('Course_Master'!H65="","",'Course_Master'!H65)</x:f>
        <x:v>Nunspeet</x:v>
      </x:c>
      <x:c r="H65" s="28" t="str">
        <x:f>IF('Course_Master'!I65="","",'Course_Master'!I65)</x:f>
        <x:v>Nunspeet</x:v>
      </x:c>
      <x:c r="I65" s="28" t="str">
        <x:f>IF('Course_Master'!K65="","",'Course_Master'!K65)</x:f>
        <x:v>8072 PT</x:v>
      </x:c>
      <x:c r="J65" s="34" t="n">
        <x:f>IF('Course_Master'!L65="","",'Course_Master'!L65)</x:f>
        <x:v>52.36770503</x:v>
      </x:c>
      <x:c r="K65" s="34" t="n">
        <x:f>IF('Course_Master'!M65="","",'Course_Master'!M65)</x:f>
        <x:v>5.79827164</x:v>
      </x:c>
      <x:c r="L65" s="28" t="n">
        <x:f>IF('Course_Master'!S65="","",'Course_Master'!S65)</x:f>
        <x:v>9</x:v>
      </x:c>
      <x:c r="M65" s="28" t="n">
        <x:f>IF('Course_Master'!T65="","",'Course_Master'!T65)</x:f>
        <x:v>36</x:v>
      </x:c>
      <x:c r="N65" s="28" t="n">
        <x:f>IF('Course_Master'!Q65="","",'Course_Master'!Q65)</x:f>
        <x:v>3247</x:v>
      </x:c>
      <x:c r="O65" s="28" t="n">
        <x:f>IF('Course_Master'!R65="","",'Course_Master'!R65)</x:f>
        <x:v>2969</x:v>
      </x:c>
      <x:c r="P65" s="28" t="str">
        <x:f>IF('Course_Master'!U65="","",'Course_Master'!U65)</x:f>
        <x:v>Full-length course</x:v>
      </x:c>
      <x:c r="Q65" s="28" t="str">
        <x:f>IF('Course_Master'!AD65="","",'Course_Master'!AD65)</x:f>
        <x:v>Public — handicap 54 or lower</x:v>
      </x:c>
      <x:c r="R65" s="28" t="str">
        <x:f>IF('Course_Master'!AC65="","",'Course_Master'!AC65)</x:f>
        <x:v>Open</x:v>
      </x:c>
      <x:c r="S65" s="28" t="str">
        <x:f>IF('Course_Master'!Y65="","",'Course_Master'!Y65)</x:f>
        <x:v>https://www.golfenophetrijk.nl/nunspeet.html</x:v>
      </x:c>
      <x:c r="T65" s="28" t="b">
        <x:f>IF('Course_Master'!Z65="","",'Course_Master'!Z65)</x:f>
        <x:v>1</x:v>
      </x:c>
      <x:c r="U65" s="28" t="b">
        <x:f>IF('Course_Master'!AA65="","",'Course_Master'!AA65)</x:f>
        <x:v>1</x:v>
      </x:c>
      <x:c r="V65" s="28" t="str">
        <x:f>IF('Course_Master'!AL65="","",'Course_Master'!AL65)</x:f>
        <x:v>Verified — national register and exact BAG address</x:v>
      </x:c>
    </x:row>
    <x:row r="66">
      <x:c r="A66" s="28" t="str">
        <x:f>IF('Course_Master'!B66="","",'Course_Master'!B66)</x:f>
        <x:v>NL-0065</x:v>
      </x:c>
      <x:c r="B66" s="28" t="str">
        <x:f>IF('Course_Master'!C66="","",'Course_Master'!C66)</x:f>
        <x:v>Golfbaan Landgoed Welderen — Main Course</x:v>
      </x:c>
      <x:c r="C66" s="28" t="str">
        <x:f>IF('Course_Master'!D66="","",'Course_Master'!D66)</x:f>
        <x:v>Golfbaan Landgoed Welderen</x:v>
      </x:c>
      <x:c r="D66" s="28" t="str">
        <x:f>IF('Course_Master'!E66="","",'Course_Master'!E66)</x:f>
        <x:v>Main Course</x:v>
      </x:c>
      <x:c r="E66" s="28" t="str">
        <x:f>IF('Course_Master'!F66="","",'Course_Master'!F66)</x:f>
        <x:v>Netherlands</x:v>
      </x:c>
      <x:c r="F66" s="28" t="str">
        <x:f>IF('Course_Master'!G66="","",'Course_Master'!G66)</x:f>
        <x:v>Gelderland</x:v>
      </x:c>
      <x:c r="G66" s="28" t="str">
        <x:f>IF('Course_Master'!H66="","",'Course_Master'!H66)</x:f>
        <x:v>Overbetuwe</x:v>
      </x:c>
      <x:c r="H66" s="28" t="str">
        <x:f>IF('Course_Master'!I66="","",'Course_Master'!I66)</x:f>
        <x:v>Elst</x:v>
      </x:c>
      <x:c r="I66" s="28" t="str">
        <x:f>IF('Course_Master'!K66="","",'Course_Master'!K66)</x:f>
        <x:v>6661 NH</x:v>
      </x:c>
      <x:c r="J66" s="34" t="n">
        <x:f>IF('Course_Master'!L66="","",'Course_Master'!L66)</x:f>
        <x:v>51.94234267</x:v>
      </x:c>
      <x:c r="K66" s="34" t="n">
        <x:f>IF('Course_Master'!M66="","",'Course_Master'!M66)</x:f>
        <x:v>5.82959052</x:v>
      </x:c>
      <x:c r="L66" s="28" t="n">
        <x:f>IF('Course_Master'!S66="","",'Course_Master'!S66)</x:f>
        <x:v>18</x:v>
      </x:c>
      <x:c r="M66" s="28" t="n">
        <x:f>IF('Course_Master'!T66="","",'Course_Master'!T66)</x:f>
        <x:v>72</x:v>
      </x:c>
      <x:c r="N66" s="28" t="n">
        <x:f>IF('Course_Master'!Q66="","",'Course_Master'!Q66)</x:f>
        <x:v>6716</x:v>
      </x:c>
      <x:c r="O66" s="28" t="n">
        <x:f>IF('Course_Master'!R66="","",'Course_Master'!R66)</x:f>
        <x:v>6141</x:v>
      </x:c>
      <x:c r="P66" s="28" t="str">
        <x:f>IF('Course_Master'!U66="","",'Course_Master'!U66)</x:f>
        <x:v>Full-length course</x:v>
      </x:c>
      <x:c r="Q66" s="28" t="str">
        <x:f>IF('Course_Master'!AD66="","",'Course_Master'!AD66)</x:f>
        <x:v>Public — handicap 54 or lower</x:v>
      </x:c>
      <x:c r="R66" s="28" t="str">
        <x:f>IF('Course_Master'!AC66="","",'Course_Master'!AC66)</x:f>
        <x:v>Open</x:v>
      </x:c>
      <x:c r="S66" s="28" t="str">
        <x:f>IF('Course_Master'!Y66="","",'Course_Master'!Y66)</x:f>
        <x:v>https://welderen.nl/</x:v>
      </x:c>
      <x:c r="T66" s="28" t="b">
        <x:f>IF('Course_Master'!Z66="","",'Course_Master'!Z66)</x:f>
        <x:v>1</x:v>
      </x:c>
      <x:c r="U66" s="28" t="b">
        <x:f>IF('Course_Master'!AA66="","",'Course_Master'!AA66)</x:f>
        <x:v>1</x:v>
      </x:c>
      <x:c r="V66" s="28" t="str">
        <x:f>IF('Course_Master'!AL66="","",'Course_Master'!AL66)</x:f>
        <x:v>Verified — national register and exact BAG address</x:v>
      </x:c>
    </x:row>
    <x:row r="67">
      <x:c r="A67" s="28" t="str">
        <x:f>IF('Course_Master'!B67="","",'Course_Master'!B67)</x:f>
        <x:v>NL-0066</x:v>
      </x:c>
      <x:c r="B67" s="28" t="str">
        <x:f>IF('Course_Master'!C67="","",'Course_Master'!C67)</x:f>
        <x:v>Golfbaan Landgoed Welderen — Par 3-4 baan</x:v>
      </x:c>
      <x:c r="C67" s="28" t="str">
        <x:f>IF('Course_Master'!D67="","",'Course_Master'!D67)</x:f>
        <x:v>Golfbaan Landgoed Welderen</x:v>
      </x:c>
      <x:c r="D67" s="28" t="str">
        <x:f>IF('Course_Master'!E67="","",'Course_Master'!E67)</x:f>
        <x:v>Par 3-4 baan</x:v>
      </x:c>
      <x:c r="E67" s="28" t="str">
        <x:f>IF('Course_Master'!F67="","",'Course_Master'!F67)</x:f>
        <x:v>Netherlands</x:v>
      </x:c>
      <x:c r="F67" s="28" t="str">
        <x:f>IF('Course_Master'!G67="","",'Course_Master'!G67)</x:f>
        <x:v>Gelderland</x:v>
      </x:c>
      <x:c r="G67" s="28" t="str">
        <x:f>IF('Course_Master'!H67="","",'Course_Master'!H67)</x:f>
        <x:v>Overbetuwe</x:v>
      </x:c>
      <x:c r="H67" s="28" t="str">
        <x:f>IF('Course_Master'!I67="","",'Course_Master'!I67)</x:f>
        <x:v>Elst</x:v>
      </x:c>
      <x:c r="I67" s="28" t="str">
        <x:f>IF('Course_Master'!K67="","",'Course_Master'!K67)</x:f>
        <x:v>6661 NH</x:v>
      </x:c>
      <x:c r="J67" s="34" t="n">
        <x:f>IF('Course_Master'!L67="","",'Course_Master'!L67)</x:f>
        <x:v>51.94234267</x:v>
      </x:c>
      <x:c r="K67" s="34" t="n">
        <x:f>IF('Course_Master'!M67="","",'Course_Master'!M67)</x:f>
        <x:v>5.82959052</x:v>
      </x:c>
      <x:c r="L67" s="28" t="n">
        <x:f>IF('Course_Master'!S67="","",'Course_Master'!S67)</x:f>
        <x:v>9</x:v>
      </x:c>
      <x:c r="M67" s="28" t="n">
        <x:f>IF('Course_Master'!T67="","",'Course_Master'!T67)</x:f>
        <x:v>29</x:v>
      </x:c>
      <x:c r="N67" s="28" t="n">
        <x:f>IF('Course_Master'!Q67="","",'Course_Master'!Q67)</x:f>
        <x:v>1331</x:v>
      </x:c>
      <x:c r="O67" s="28" t="n">
        <x:f>IF('Course_Master'!R67="","",'Course_Master'!R67)</x:f>
        <x:v>1217</x:v>
      </x:c>
      <x:c r="P67" s="28" t="str">
        <x:f>IF('Course_Master'!U67="","",'Course_Master'!U67)</x:f>
        <x:v>Par-3/4 course</x:v>
      </x:c>
      <x:c r="Q67" s="28" t="str">
        <x:f>IF('Course_Master'!AD67="","",'Course_Master'!AD67)</x:f>
        <x:v>Public — NGF course permission</x:v>
      </x:c>
      <x:c r="R67" s="28" t="str">
        <x:f>IF('Course_Master'!AC67="","",'Course_Master'!AC67)</x:f>
        <x:v>Open</x:v>
      </x:c>
      <x:c r="S67" s="28" t="str">
        <x:f>IF('Course_Master'!Y67="","",'Course_Master'!Y67)</x:f>
        <x:v>https://welderen.nl/</x:v>
      </x:c>
      <x:c r="T67" s="28" t="b">
        <x:f>IF('Course_Master'!Z67="","",'Course_Master'!Z67)</x:f>
        <x:v>1</x:v>
      </x:c>
      <x:c r="U67" s="28" t="b">
        <x:f>IF('Course_Master'!AA67="","",'Course_Master'!AA67)</x:f>
        <x:v>1</x:v>
      </x:c>
      <x:c r="V67" s="28" t="str">
        <x:f>IF('Course_Master'!AL67="","",'Course_Master'!AL67)</x:f>
        <x:v>Verified — national register and exact BAG address</x:v>
      </x:c>
    </x:row>
    <x:row r="68">
      <x:c r="A68" s="28" t="str">
        <x:f>IF('Course_Master'!B68="","",'Course_Master'!B68)</x:f>
        <x:v>NL-0067</x:v>
      </x:c>
      <x:c r="B68" s="28" t="str">
        <x:f>IF('Course_Master'!C68="","",'Course_Master'!C68)</x:f>
        <x:v>Golfcentrum De Batouwe — Appel</x:v>
      </x:c>
      <x:c r="C68" s="28" t="str">
        <x:f>IF('Course_Master'!D68="","",'Course_Master'!D68)</x:f>
        <x:v>Golfcentrum De Batouwe</x:v>
      </x:c>
      <x:c r="D68" s="28" t="str">
        <x:f>IF('Course_Master'!E68="","",'Course_Master'!E68)</x:f>
        <x:v>Appel</x:v>
      </x:c>
      <x:c r="E68" s="28" t="str">
        <x:f>IF('Course_Master'!F68="","",'Course_Master'!F68)</x:f>
        <x:v>Netherlands</x:v>
      </x:c>
      <x:c r="F68" s="28" t="str">
        <x:f>IF('Course_Master'!G68="","",'Course_Master'!G68)</x:f>
        <x:v>Gelderland</x:v>
      </x:c>
      <x:c r="G68" s="28" t="str">
        <x:f>IF('Course_Master'!H68="","",'Course_Master'!H68)</x:f>
        <x:v>Buren</x:v>
      </x:c>
      <x:c r="H68" s="28" t="str">
        <x:f>IF('Course_Master'!I68="","",'Course_Master'!I68)</x:f>
        <x:v>Zoelen</x:v>
      </x:c>
      <x:c r="I68" s="28" t="str">
        <x:f>IF('Course_Master'!K68="","",'Course_Master'!K68)</x:f>
        <x:v>4011 LA</x:v>
      </x:c>
      <x:c r="J68" s="34" t="n">
        <x:f>IF('Course_Master'!L68="","",'Course_Master'!L68)</x:f>
        <x:v>51.92764239</x:v>
      </x:c>
      <x:c r="K68" s="34" t="n">
        <x:f>IF('Course_Master'!M68="","",'Course_Master'!M68)</x:f>
        <x:v>5.42269119</x:v>
      </x:c>
      <x:c r="L68" s="28" t="n">
        <x:f>IF('Course_Master'!S68="","",'Course_Master'!S68)</x:f>
        <x:v>9</x:v>
      </x:c>
      <x:c r="M68" s="28" t="n">
        <x:f>IF('Course_Master'!T68="","",'Course_Master'!T68)</x:f>
        <x:v>35</x:v>
      </x:c>
      <x:c r="N68" s="28" t="n">
        <x:f>IF('Course_Master'!Q68="","",'Course_Master'!Q68)</x:f>
        <x:v>3064</x:v>
      </x:c>
      <x:c r="O68" s="28" t="n">
        <x:f>IF('Course_Master'!R68="","",'Course_Master'!R68)</x:f>
        <x:v>2802</x:v>
      </x:c>
      <x:c r="P68" s="28" t="str">
        <x:f>IF('Course_Master'!U68="","",'Course_Master'!U68)</x:f>
        <x:v>Full-length course</x:v>
      </x:c>
      <x:c r="Q68" s="28" t="str">
        <x:f>IF('Course_Master'!AD68="","",'Course_Master'!AD68)</x:f>
        <x:v>Public — handicap 54 or lower</x:v>
      </x:c>
      <x:c r="R68" s="28" t="str">
        <x:f>IF('Course_Master'!AC68="","",'Course_Master'!AC68)</x:f>
        <x:v>Open</x:v>
      </x:c>
      <x:c r="S68" s="28" t="str">
        <x:f>IF('Course_Master'!Y68="","",'Course_Master'!Y68)</x:f>
        <x:v>https://golfcentrumdebatouwe.nl/</x:v>
      </x:c>
      <x:c r="T68" s="28" t="b">
        <x:f>IF('Course_Master'!Z68="","",'Course_Master'!Z68)</x:f>
        <x:v>1</x:v>
      </x:c>
      <x:c r="U68" s="28" t="b">
        <x:f>IF('Course_Master'!AA68="","",'Course_Master'!AA68)</x:f>
        <x:v>1</x:v>
      </x:c>
      <x:c r="V68" s="28" t="str">
        <x:f>IF('Course_Master'!AL68="","",'Course_Master'!AL68)</x:f>
        <x:v>Verified — national register and exact BAG address</x:v>
      </x:c>
    </x:row>
    <x:row r="69">
      <x:c r="A69" s="28" t="str">
        <x:f>IF('Course_Master'!B69="","",'Course_Master'!B69)</x:f>
        <x:v>NL-0068</x:v>
      </x:c>
      <x:c r="B69" s="28" t="str">
        <x:f>IF('Course_Master'!C69="","",'Course_Master'!C69)</x:f>
        <x:v>Golfcentrum De Batouwe — Kers</x:v>
      </x:c>
      <x:c r="C69" s="28" t="str">
        <x:f>IF('Course_Master'!D69="","",'Course_Master'!D69)</x:f>
        <x:v>Golfcentrum De Batouwe</x:v>
      </x:c>
      <x:c r="D69" s="28" t="str">
        <x:f>IF('Course_Master'!E69="","",'Course_Master'!E69)</x:f>
        <x:v>Kers</x:v>
      </x:c>
      <x:c r="E69" s="28" t="str">
        <x:f>IF('Course_Master'!F69="","",'Course_Master'!F69)</x:f>
        <x:v>Netherlands</x:v>
      </x:c>
      <x:c r="F69" s="28" t="str">
        <x:f>IF('Course_Master'!G69="","",'Course_Master'!G69)</x:f>
        <x:v>Gelderland</x:v>
      </x:c>
      <x:c r="G69" s="28" t="str">
        <x:f>IF('Course_Master'!H69="","",'Course_Master'!H69)</x:f>
        <x:v>Buren</x:v>
      </x:c>
      <x:c r="H69" s="28" t="str">
        <x:f>IF('Course_Master'!I69="","",'Course_Master'!I69)</x:f>
        <x:v>Zoelen</x:v>
      </x:c>
      <x:c r="I69" s="28" t="str">
        <x:f>IF('Course_Master'!K69="","",'Course_Master'!K69)</x:f>
        <x:v>4011 LA</x:v>
      </x:c>
      <x:c r="J69" s="34" t="n">
        <x:f>IF('Course_Master'!L69="","",'Course_Master'!L69)</x:f>
        <x:v>51.92764239</x:v>
      </x:c>
      <x:c r="K69" s="34" t="n">
        <x:f>IF('Course_Master'!M69="","",'Course_Master'!M69)</x:f>
        <x:v>5.42269119</x:v>
      </x:c>
      <x:c r="L69" s="28" t="n">
        <x:f>IF('Course_Master'!S69="","",'Course_Master'!S69)</x:f>
        <x:v>9</x:v>
      </x:c>
      <x:c r="M69" s="28" t="n">
        <x:f>IF('Course_Master'!T69="","",'Course_Master'!T69)</x:f>
        <x:v>36</x:v>
      </x:c>
      <x:c r="N69" s="28" t="n">
        <x:f>IF('Course_Master'!Q69="","",'Course_Master'!Q69)</x:f>
        <x:v>3073</x:v>
      </x:c>
      <x:c r="O69" s="28" t="n">
        <x:f>IF('Course_Master'!R69="","",'Course_Master'!R69)</x:f>
        <x:v>2810</x:v>
      </x:c>
      <x:c r="P69" s="28" t="str">
        <x:f>IF('Course_Master'!U69="","",'Course_Master'!U69)</x:f>
        <x:v>Full-length course</x:v>
      </x:c>
      <x:c r="Q69" s="28" t="str">
        <x:f>IF('Course_Master'!AD69="","",'Course_Master'!AD69)</x:f>
        <x:v>Public — handicap 54 or lower</x:v>
      </x:c>
      <x:c r="R69" s="28" t="str">
        <x:f>IF('Course_Master'!AC69="","",'Course_Master'!AC69)</x:f>
        <x:v>Open</x:v>
      </x:c>
      <x:c r="S69" s="28" t="str">
        <x:f>IF('Course_Master'!Y69="","",'Course_Master'!Y69)</x:f>
        <x:v>https://golfcentrumdebatouwe.nl/</x:v>
      </x:c>
      <x:c r="T69" s="28" t="b">
        <x:f>IF('Course_Master'!Z69="","",'Course_Master'!Z69)</x:f>
        <x:v>1</x:v>
      </x:c>
      <x:c r="U69" s="28" t="b">
        <x:f>IF('Course_Master'!AA69="","",'Course_Master'!AA69)</x:f>
        <x:v>1</x:v>
      </x:c>
      <x:c r="V69" s="28" t="str">
        <x:f>IF('Course_Master'!AL69="","",'Course_Master'!AL69)</x:f>
        <x:v>Verified — national register and exact BAG address</x:v>
      </x:c>
    </x:row>
    <x:row r="70">
      <x:c r="A70" s="28" t="str">
        <x:f>IF('Course_Master'!B70="","",'Course_Master'!B70)</x:f>
        <x:v>NL-0069</x:v>
      </x:c>
      <x:c r="B70" s="28" t="str">
        <x:f>IF('Course_Master'!C70="","",'Course_Master'!C70)</x:f>
        <x:v>Golfcentrum De Batouwe — Peer</x:v>
      </x:c>
      <x:c r="C70" s="28" t="str">
        <x:f>IF('Course_Master'!D70="","",'Course_Master'!D70)</x:f>
        <x:v>Golfcentrum De Batouwe</x:v>
      </x:c>
      <x:c r="D70" s="28" t="str">
        <x:f>IF('Course_Master'!E70="","",'Course_Master'!E70)</x:f>
        <x:v>Peer</x:v>
      </x:c>
      <x:c r="E70" s="28" t="str">
        <x:f>IF('Course_Master'!F70="","",'Course_Master'!F70)</x:f>
        <x:v>Netherlands</x:v>
      </x:c>
      <x:c r="F70" s="28" t="str">
        <x:f>IF('Course_Master'!G70="","",'Course_Master'!G70)</x:f>
        <x:v>Gelderland</x:v>
      </x:c>
      <x:c r="G70" s="28" t="str">
        <x:f>IF('Course_Master'!H70="","",'Course_Master'!H70)</x:f>
        <x:v>Buren</x:v>
      </x:c>
      <x:c r="H70" s="28" t="str">
        <x:f>IF('Course_Master'!I70="","",'Course_Master'!I70)</x:f>
        <x:v>Zoelen</x:v>
      </x:c>
      <x:c r="I70" s="28" t="str">
        <x:f>IF('Course_Master'!K70="","",'Course_Master'!K70)</x:f>
        <x:v>4011 LA</x:v>
      </x:c>
      <x:c r="J70" s="34" t="n">
        <x:f>IF('Course_Master'!L70="","",'Course_Master'!L70)</x:f>
        <x:v>51.92764239</x:v>
      </x:c>
      <x:c r="K70" s="34" t="n">
        <x:f>IF('Course_Master'!M70="","",'Course_Master'!M70)</x:f>
        <x:v>5.42269119</x:v>
      </x:c>
      <x:c r="L70" s="28" t="n">
        <x:f>IF('Course_Master'!S70="","",'Course_Master'!S70)</x:f>
        <x:v>9</x:v>
      </x:c>
      <x:c r="M70" s="28" t="n">
        <x:f>IF('Course_Master'!T70="","",'Course_Master'!T70)</x:f>
        <x:v>36</x:v>
      </x:c>
      <x:c r="N70" s="28" t="n">
        <x:f>IF('Course_Master'!Q70="","",'Course_Master'!Q70)</x:f>
        <x:v>3257</x:v>
      </x:c>
      <x:c r="O70" s="28" t="n">
        <x:f>IF('Course_Master'!R70="","",'Course_Master'!R70)</x:f>
        <x:v>2978</x:v>
      </x:c>
      <x:c r="P70" s="28" t="str">
        <x:f>IF('Course_Master'!U70="","",'Course_Master'!U70)</x:f>
        <x:v>Full-length course</x:v>
      </x:c>
      <x:c r="Q70" s="28" t="str">
        <x:f>IF('Course_Master'!AD70="","",'Course_Master'!AD70)</x:f>
        <x:v>Public — handicap 54 or lower</x:v>
      </x:c>
      <x:c r="R70" s="28" t="str">
        <x:f>IF('Course_Master'!AC70="","",'Course_Master'!AC70)</x:f>
        <x:v>Open</x:v>
      </x:c>
      <x:c r="S70" s="28" t="str">
        <x:f>IF('Course_Master'!Y70="","",'Course_Master'!Y70)</x:f>
        <x:v>https://golfcentrumdebatouwe.nl/</x:v>
      </x:c>
      <x:c r="T70" s="28" t="b">
        <x:f>IF('Course_Master'!Z70="","",'Course_Master'!Z70)</x:f>
        <x:v>1</x:v>
      </x:c>
      <x:c r="U70" s="28" t="b">
        <x:f>IF('Course_Master'!AA70="","",'Course_Master'!AA70)</x:f>
        <x:v>1</x:v>
      </x:c>
      <x:c r="V70" s="28" t="str">
        <x:f>IF('Course_Master'!AL70="","",'Course_Master'!AL70)</x:f>
        <x:v>Verified — national register and exact BAG address</x:v>
      </x:c>
    </x:row>
    <x:row r="71">
      <x:c r="A71" s="28" t="str">
        <x:f>IF('Course_Master'!B71="","",'Course_Master'!B71)</x:f>
        <x:v>NL-0070</x:v>
      </x:c>
      <x:c r="B71" s="28" t="str">
        <x:f>IF('Course_Master'!C71="","",'Course_Master'!C71)</x:f>
        <x:v>Golfclub 't Lohr — Par-3 Course</x:v>
      </x:c>
      <x:c r="C71" s="28" t="str">
        <x:f>IF('Course_Master'!D71="","",'Course_Master'!D71)</x:f>
        <x:v>Golfclub 't Lohr</x:v>
      </x:c>
      <x:c r="D71" s="28" t="str">
        <x:f>IF('Course_Master'!E71="","",'Course_Master'!E71)</x:f>
        <x:v>Par-3 Course</x:v>
      </x:c>
      <x:c r="E71" s="28" t="str">
        <x:f>IF('Course_Master'!F71="","",'Course_Master'!F71)</x:f>
        <x:v>Netherlands</x:v>
      </x:c>
      <x:c r="F71" s="28" t="str">
        <x:f>IF('Course_Master'!G71="","",'Course_Master'!G71)</x:f>
        <x:v>Gelderland</x:v>
      </x:c>
      <x:c r="G71" s="28" t="str">
        <x:f>IF('Course_Master'!H71="","",'Course_Master'!H71)</x:f>
        <x:v>Oude IJsselstreek</x:v>
      </x:c>
      <x:c r="H71" s="28" t="str">
        <x:f>IF('Course_Master'!I71="","",'Course_Master'!I71)</x:f>
        <x:v>Voorst</x:v>
      </x:c>
      <x:c r="I71" s="28" t="str">
        <x:f>IF('Course_Master'!K71="","",'Course_Master'!K71)</x:f>
        <x:v>7083 AX</x:v>
      </x:c>
      <x:c r="J71" s="34" t="n">
        <x:f>IF('Course_Master'!L71="","",'Course_Master'!L71)</x:f>
        <x:v>51.86960994</x:v>
      </x:c>
      <x:c r="K71" s="34" t="n">
        <x:f>IF('Course_Master'!M71="","",'Course_Master'!M71)</x:f>
        <x:v>6.41651087</x:v>
      </x:c>
      <x:c r="L71" s="28" t="n">
        <x:f>IF('Course_Master'!S71="","",'Course_Master'!S71)</x:f>
        <x:v>9</x:v>
      </x:c>
      <x:c r="M71" s="28" t="n">
        <x:f>IF('Course_Master'!T71="","",'Course_Master'!T71)</x:f>
        <x:v>27</x:v>
      </x:c>
      <x:c r="N71" s="28" t="n">
        <x:f>IF('Course_Master'!Q71="","",'Course_Master'!Q71)</x:f>
        <x:v>784</x:v>
      </x:c>
      <x:c r="O71" s="28" t="n">
        <x:f>IF('Course_Master'!R71="","",'Course_Master'!R71)</x:f>
        <x:v>717</x:v>
      </x:c>
      <x:c r="P71" s="28" t="str">
        <x:f>IF('Course_Master'!U71="","",'Course_Master'!U71)</x:f>
        <x:v>Par-3 course</x:v>
      </x:c>
      <x:c r="Q71" s="28" t="str">
        <x:f>IF('Course_Master'!AD71="","",'Course_Master'!AD71)</x:f>
        <x:v>Public — no playing requirement</x:v>
      </x:c>
      <x:c r="R71" s="28" t="str">
        <x:f>IF('Course_Master'!AC71="","",'Course_Master'!AC71)</x:f>
        <x:v>Open</x:v>
      </x:c>
      <x:c r="S71" s="28" t="str">
        <x:f>IF('Course_Master'!Y71="","",'Course_Master'!Y71)</x:f>
        <x:v>https://golfinvoorst.nl/</x:v>
      </x:c>
      <x:c r="T71" s="28" t="b">
        <x:f>IF('Course_Master'!Z71="","",'Course_Master'!Z71)</x:f>
        <x:v>1</x:v>
      </x:c>
      <x:c r="U71" s="28" t="b">
        <x:f>IF('Course_Master'!AA71="","",'Course_Master'!AA71)</x:f>
        <x:v>1</x:v>
      </x:c>
      <x:c r="V71" s="28" t="str">
        <x:f>IF('Course_Master'!AL71="","",'Course_Master'!AL71)</x:f>
        <x:v>Verified — national register and exact BAG address</x:v>
      </x:c>
    </x:row>
    <x:row r="72">
      <x:c r="A72" s="28" t="str">
        <x:f>IF('Course_Master'!B72="","",'Course_Master'!B72)</x:f>
        <x:v>NL-0071</x:v>
      </x:c>
      <x:c r="B72" s="28" t="str">
        <x:f>IF('Course_Master'!C72="","",'Course_Master'!C72)</x:f>
        <x:v>Golfclub 't Lohr — Shortgolf / Pitch &amp; Putt Course</x:v>
      </x:c>
      <x:c r="C72" s="28" t="str">
        <x:f>IF('Course_Master'!D72="","",'Course_Master'!D72)</x:f>
        <x:v>Golfclub 't Lohr</x:v>
      </x:c>
      <x:c r="D72" s="28" t="str">
        <x:f>IF('Course_Master'!E72="","",'Course_Master'!E72)</x:f>
        <x:v>Shortgolf / Pitch &amp; Putt Course</x:v>
      </x:c>
      <x:c r="E72" s="28" t="str">
        <x:f>IF('Course_Master'!F72="","",'Course_Master'!F72)</x:f>
        <x:v>Netherlands</x:v>
      </x:c>
      <x:c r="F72" s="28" t="str">
        <x:f>IF('Course_Master'!G72="","",'Course_Master'!G72)</x:f>
        <x:v>Gelderland</x:v>
      </x:c>
      <x:c r="G72" s="28" t="str">
        <x:f>IF('Course_Master'!H72="","",'Course_Master'!H72)</x:f>
        <x:v>Oude IJsselstreek</x:v>
      </x:c>
      <x:c r="H72" s="28" t="str">
        <x:f>IF('Course_Master'!I72="","",'Course_Master'!I72)</x:f>
        <x:v>Voorst</x:v>
      </x:c>
      <x:c r="I72" s="28" t="str">
        <x:f>IF('Course_Master'!K72="","",'Course_Master'!K72)</x:f>
        <x:v>7083 AX</x:v>
      </x:c>
      <x:c r="J72" s="34" t="n">
        <x:f>IF('Course_Master'!L72="","",'Course_Master'!L72)</x:f>
        <x:v>51.86960994</x:v>
      </x:c>
      <x:c r="K72" s="34" t="n">
        <x:f>IF('Course_Master'!M72="","",'Course_Master'!M72)</x:f>
        <x:v>6.41651087</x:v>
      </x:c>
      <x:c r="L72" s="28" t="n">
        <x:f>IF('Course_Master'!S72="","",'Course_Master'!S72)</x:f>
        <x:v>18</x:v>
      </x:c>
      <x:c r="M72" s="28" t="n">
        <x:f>IF('Course_Master'!T72="","",'Course_Master'!T72)</x:f>
        <x:v>54</x:v>
      </x:c>
      <x:c r="N72" s="28" t="n">
        <x:f>IF('Course_Master'!Q72="","",'Course_Master'!Q72)</x:f>
        <x:v>1035</x:v>
      </x:c>
      <x:c r="O72" s="28" t="n">
        <x:f>IF('Course_Master'!R72="","",'Course_Master'!R72)</x:f>
        <x:v>946</x:v>
      </x:c>
      <x:c r="P72" s="28" t="str">
        <x:f>IF('Course_Master'!U72="","",'Course_Master'!U72)</x:f>
        <x:v>Shortgolf / Pitch &amp; Putt</x:v>
      </x:c>
      <x:c r="Q72" s="28" t="str">
        <x:f>IF('Course_Master'!AD72="","",'Course_Master'!AD72)</x:f>
        <x:v>Public — no playing requirement</x:v>
      </x:c>
      <x:c r="R72" s="28" t="str">
        <x:f>IF('Course_Master'!AC72="","",'Course_Master'!AC72)</x:f>
        <x:v>Open</x:v>
      </x:c>
      <x:c r="S72" s="28" t="str">
        <x:f>IF('Course_Master'!Y72="","",'Course_Master'!Y72)</x:f>
        <x:v>https://golfinvoorst.nl/</x:v>
      </x:c>
      <x:c r="T72" s="28" t="b">
        <x:f>IF('Course_Master'!Z72="","",'Course_Master'!Z72)</x:f>
        <x:v>1</x:v>
      </x:c>
      <x:c r="U72" s="28" t="b">
        <x:f>IF('Course_Master'!AA72="","",'Course_Master'!AA72)</x:f>
        <x:v>1</x:v>
      </x:c>
      <x:c r="V72" s="28" t="str">
        <x:f>IF('Course_Master'!AL72="","",'Course_Master'!AL72)</x:f>
        <x:v>Verified — national register and exact BAG address</x:v>
      </x:c>
    </x:row>
    <x:row r="73">
      <x:c r="A73" s="28" t="str">
        <x:f>IF('Course_Master'!B73="","",'Course_Master'!B73)</x:f>
        <x:v>NL-0072</x:v>
      </x:c>
      <x:c r="B73" s="28" t="str">
        <x:f>IF('Course_Master'!C73="","",'Course_Master'!C73)</x:f>
        <x:v>Golfclub 't Zelle — Bosrijk</x:v>
      </x:c>
      <x:c r="C73" s="28" t="str">
        <x:f>IF('Course_Master'!D73="","",'Course_Master'!D73)</x:f>
        <x:v>Golfclub 't Zelle</x:v>
      </x:c>
      <x:c r="D73" s="28" t="str">
        <x:f>IF('Course_Master'!E73="","",'Course_Master'!E73)</x:f>
        <x:v>Bosrijk</x:v>
      </x:c>
      <x:c r="E73" s="28" t="str">
        <x:f>IF('Course_Master'!F73="","",'Course_Master'!F73)</x:f>
        <x:v>Netherlands</x:v>
      </x:c>
      <x:c r="F73" s="28" t="str">
        <x:f>IF('Course_Master'!G73="","",'Course_Master'!G73)</x:f>
        <x:v>Gelderland</x:v>
      </x:c>
      <x:c r="G73" s="28" t="str">
        <x:f>IF('Course_Master'!H73="","",'Course_Master'!H73)</x:f>
        <x:v>Bronckhorst</x:v>
      </x:c>
      <x:c r="H73" s="28" t="str">
        <x:f>IF('Course_Master'!I73="","",'Course_Master'!I73)</x:f>
        <x:v>Hengelo (Gld)</x:v>
      </x:c>
      <x:c r="I73" s="28" t="str">
        <x:f>IF('Course_Master'!K73="","",'Course_Master'!K73)</x:f>
        <x:v>7255 NR</x:v>
      </x:c>
      <x:c r="J73" s="34" t="n">
        <x:f>IF('Course_Master'!L73="","",'Course_Master'!L73)</x:f>
        <x:v>52.05473048</x:v>
      </x:c>
      <x:c r="K73" s="34" t="n">
        <x:f>IF('Course_Master'!M73="","",'Course_Master'!M73)</x:f>
        <x:v>6.38801901</x:v>
      </x:c>
      <x:c r="L73" s="28" t="n">
        <x:f>IF('Course_Master'!S73="","",'Course_Master'!S73)</x:f>
        <x:v>9</x:v>
      </x:c>
      <x:c r="M73" s="28" t="n">
        <x:f>IF('Course_Master'!T73="","",'Course_Master'!T73)</x:f>
        <x:v>36</x:v>
      </x:c>
      <x:c r="N73" s="28" t="n">
        <x:f>IF('Course_Master'!Q73="","",'Course_Master'!Q73)</x:f>
        <x:v>3283</x:v>
      </x:c>
      <x:c r="O73" s="28" t="n">
        <x:f>IF('Course_Master'!R73="","",'Course_Master'!R73)</x:f>
        <x:v>3002</x:v>
      </x:c>
      <x:c r="P73" s="28" t="str">
        <x:f>IF('Course_Master'!U73="","",'Course_Master'!U73)</x:f>
        <x:v>Full-length course</x:v>
      </x:c>
      <x:c r="Q73" s="28" t="str">
        <x:f>IF('Course_Master'!AD73="","",'Course_Master'!AD73)</x:f>
        <x:v>Public — handicap 54 or lower</x:v>
      </x:c>
      <x:c r="R73" s="28" t="str">
        <x:f>IF('Course_Master'!AC73="","",'Course_Master'!AC73)</x:f>
        <x:v>Open</x:v>
      </x:c>
      <x:c r="S73" s="28" t="str">
        <x:f>IF('Course_Master'!Y73="","",'Course_Master'!Y73)</x:f>
        <x:v>https://www.gczelle.nl/</x:v>
      </x:c>
      <x:c r="T73" s="28" t="b">
        <x:f>IF('Course_Master'!Z73="","",'Course_Master'!Z73)</x:f>
        <x:v>1</x:v>
      </x:c>
      <x:c r="U73" s="28" t="b">
        <x:f>IF('Course_Master'!AA73="","",'Course_Master'!AA73)</x:f>
        <x:v>1</x:v>
      </x:c>
      <x:c r="V73" s="28" t="str">
        <x:f>IF('Course_Master'!AL73="","",'Course_Master'!AL73)</x:f>
        <x:v>Verified — national register and exact BAG address</x:v>
      </x:c>
    </x:row>
    <x:row r="74">
      <x:c r="A74" s="28" t="str">
        <x:f>IF('Course_Master'!B74="","",'Course_Master'!B74)</x:f>
        <x:v>NL-0073</x:v>
      </x:c>
      <x:c r="B74" s="28" t="str">
        <x:f>IF('Course_Master'!C74="","",'Course_Master'!C74)</x:f>
        <x:v>Golfclub 't Zelle — Veldrijk</x:v>
      </x:c>
      <x:c r="C74" s="28" t="str">
        <x:f>IF('Course_Master'!D74="","",'Course_Master'!D74)</x:f>
        <x:v>Golfclub 't Zelle</x:v>
      </x:c>
      <x:c r="D74" s="28" t="str">
        <x:f>IF('Course_Master'!E74="","",'Course_Master'!E74)</x:f>
        <x:v>Veldrijk</x:v>
      </x:c>
      <x:c r="E74" s="28" t="str">
        <x:f>IF('Course_Master'!F74="","",'Course_Master'!F74)</x:f>
        <x:v>Netherlands</x:v>
      </x:c>
      <x:c r="F74" s="28" t="str">
        <x:f>IF('Course_Master'!G74="","",'Course_Master'!G74)</x:f>
        <x:v>Gelderland</x:v>
      </x:c>
      <x:c r="G74" s="28" t="str">
        <x:f>IF('Course_Master'!H74="","",'Course_Master'!H74)</x:f>
        <x:v>Bronckhorst</x:v>
      </x:c>
      <x:c r="H74" s="28" t="str">
        <x:f>IF('Course_Master'!I74="","",'Course_Master'!I74)</x:f>
        <x:v>Hengelo (Gld)</x:v>
      </x:c>
      <x:c r="I74" s="28" t="str">
        <x:f>IF('Course_Master'!K74="","",'Course_Master'!K74)</x:f>
        <x:v>7255 NR</x:v>
      </x:c>
      <x:c r="J74" s="34" t="n">
        <x:f>IF('Course_Master'!L74="","",'Course_Master'!L74)</x:f>
        <x:v>52.05473048</x:v>
      </x:c>
      <x:c r="K74" s="34" t="n">
        <x:f>IF('Course_Master'!M74="","",'Course_Master'!M74)</x:f>
        <x:v>6.38801901</x:v>
      </x:c>
      <x:c r="L74" s="28" t="n">
        <x:f>IF('Course_Master'!S74="","",'Course_Master'!S74)</x:f>
        <x:v>9</x:v>
      </x:c>
      <x:c r="M74" s="28" t="n">
        <x:f>IF('Course_Master'!T74="","",'Course_Master'!T74)</x:f>
        <x:v>27</x:v>
      </x:c>
      <x:c r="N74" s="28" t="n">
        <x:f>IF('Course_Master'!Q74="","",'Course_Master'!Q74)</x:f>
        <x:v>934</x:v>
      </x:c>
      <x:c r="O74" s="28" t="n">
        <x:f>IF('Course_Master'!R74="","",'Course_Master'!R74)</x:f>
        <x:v>854</x:v>
      </x:c>
      <x:c r="P74" s="28" t="str">
        <x:f>IF('Course_Master'!U74="","",'Course_Master'!U74)</x:f>
        <x:v>Par-3 course</x:v>
      </x:c>
      <x:c r="Q74" s="28" t="str">
        <x:f>IF('Course_Master'!AD74="","",'Course_Master'!AD74)</x:f>
        <x:v>Public — NGF course permission</x:v>
      </x:c>
      <x:c r="R74" s="28" t="str">
        <x:f>IF('Course_Master'!AC74="","",'Course_Master'!AC74)</x:f>
        <x:v>Open</x:v>
      </x:c>
      <x:c r="S74" s="28" t="str">
        <x:f>IF('Course_Master'!Y74="","",'Course_Master'!Y74)</x:f>
        <x:v>https://www.gczelle.nl/</x:v>
      </x:c>
      <x:c r="T74" s="28" t="b">
        <x:f>IF('Course_Master'!Z74="","",'Course_Master'!Z74)</x:f>
        <x:v>1</x:v>
      </x:c>
      <x:c r="U74" s="28" t="b">
        <x:f>IF('Course_Master'!AA74="","",'Course_Master'!AA74)</x:f>
        <x:v>1</x:v>
      </x:c>
      <x:c r="V74" s="28" t="str">
        <x:f>IF('Course_Master'!AL74="","",'Course_Master'!AL74)</x:f>
        <x:v>Verified — national register and exact BAG address</x:v>
      </x:c>
    </x:row>
    <x:row r="75">
      <x:c r="A75" s="28" t="str">
        <x:f>IF('Course_Master'!B75="","",'Course_Master'!B75)</x:f>
        <x:v>NL-0074</x:v>
      </x:c>
      <x:c r="B75" s="28" t="str">
        <x:f>IF('Course_Master'!C75="","",'Course_Master'!C75)</x:f>
        <x:v>Golfclub 't Zelle — Waterrijk</x:v>
      </x:c>
      <x:c r="C75" s="28" t="str">
        <x:f>IF('Course_Master'!D75="","",'Course_Master'!D75)</x:f>
        <x:v>Golfclub 't Zelle</x:v>
      </x:c>
      <x:c r="D75" s="28" t="str">
        <x:f>IF('Course_Master'!E75="","",'Course_Master'!E75)</x:f>
        <x:v>Waterrijk</x:v>
      </x:c>
      <x:c r="E75" s="28" t="str">
        <x:f>IF('Course_Master'!F75="","",'Course_Master'!F75)</x:f>
        <x:v>Netherlands</x:v>
      </x:c>
      <x:c r="F75" s="28" t="str">
        <x:f>IF('Course_Master'!G75="","",'Course_Master'!G75)</x:f>
        <x:v>Gelderland</x:v>
      </x:c>
      <x:c r="G75" s="28" t="str">
        <x:f>IF('Course_Master'!H75="","",'Course_Master'!H75)</x:f>
        <x:v>Bronckhorst</x:v>
      </x:c>
      <x:c r="H75" s="28" t="str">
        <x:f>IF('Course_Master'!I75="","",'Course_Master'!I75)</x:f>
        <x:v>Hengelo (Gld)</x:v>
      </x:c>
      <x:c r="I75" s="28" t="str">
        <x:f>IF('Course_Master'!K75="","",'Course_Master'!K75)</x:f>
        <x:v>7255 NR</x:v>
      </x:c>
      <x:c r="J75" s="34" t="n">
        <x:f>IF('Course_Master'!L75="","",'Course_Master'!L75)</x:f>
        <x:v>52.05473048</x:v>
      </x:c>
      <x:c r="K75" s="34" t="n">
        <x:f>IF('Course_Master'!M75="","",'Course_Master'!M75)</x:f>
        <x:v>6.38801901</x:v>
      </x:c>
      <x:c r="L75" s="28" t="n">
        <x:f>IF('Course_Master'!S75="","",'Course_Master'!S75)</x:f>
        <x:v>9</x:v>
      </x:c>
      <x:c r="M75" s="28" t="n">
        <x:f>IF('Course_Master'!T75="","",'Course_Master'!T75)</x:f>
        <x:v>37</x:v>
      </x:c>
      <x:c r="N75" s="28" t="n">
        <x:f>IF('Course_Master'!Q75="","",'Course_Master'!Q75)</x:f>
        <x:v>3309</x:v>
      </x:c>
      <x:c r="O75" s="28" t="n">
        <x:f>IF('Course_Master'!R75="","",'Course_Master'!R75)</x:f>
        <x:v>3026</x:v>
      </x:c>
      <x:c r="P75" s="28" t="str">
        <x:f>IF('Course_Master'!U75="","",'Course_Master'!U75)</x:f>
        <x:v>Full-length course</x:v>
      </x:c>
      <x:c r="Q75" s="28" t="str">
        <x:f>IF('Course_Master'!AD75="","",'Course_Master'!AD75)</x:f>
        <x:v>Public — handicap 54 or lower</x:v>
      </x:c>
      <x:c r="R75" s="28" t="str">
        <x:f>IF('Course_Master'!AC75="","",'Course_Master'!AC75)</x:f>
        <x:v>Open</x:v>
      </x:c>
      <x:c r="S75" s="28" t="str">
        <x:f>IF('Course_Master'!Y75="","",'Course_Master'!Y75)</x:f>
        <x:v>https://www.gczelle.nl/</x:v>
      </x:c>
      <x:c r="T75" s="28" t="b">
        <x:f>IF('Course_Master'!Z75="","",'Course_Master'!Z75)</x:f>
        <x:v>1</x:v>
      </x:c>
      <x:c r="U75" s="28" t="b">
        <x:f>IF('Course_Master'!AA75="","",'Course_Master'!AA75)</x:f>
        <x:v>1</x:v>
      </x:c>
      <x:c r="V75" s="28" t="str">
        <x:f>IF('Course_Master'!AL75="","",'Course_Master'!AL75)</x:f>
        <x:v>Verified — national register and exact BAG address</x:v>
      </x:c>
    </x:row>
    <x:row r="76">
      <x:c r="A76" s="28" t="str">
        <x:f>IF('Course_Master'!B76="","",'Course_Master'!B76)</x:f>
        <x:v>NL-0075</x:v>
      </x:c>
      <x:c r="B76" s="28" t="str">
        <x:f>IF('Course_Master'!C76="","",'Course_Master'!C76)</x:f>
        <x:v>Golfclub De Dorpswaard</x:v>
      </x:c>
      <x:c r="C76" s="28" t="str">
        <x:f>IF('Course_Master'!D76="","",'Course_Master'!D76)</x:f>
        <x:v>Golfclub De Dorpswaard</x:v>
      </x:c>
      <x:c r="D76" s="28" t="str">
        <x:f>IF('Course_Master'!E76="","",'Course_Master'!E76)</x:f>
        <x:v>Course</x:v>
      </x:c>
      <x:c r="E76" s="28" t="str">
        <x:f>IF('Course_Master'!F76="","",'Course_Master'!F76)</x:f>
        <x:v>Netherlands</x:v>
      </x:c>
      <x:c r="F76" s="28" t="str">
        <x:f>IF('Course_Master'!G76="","",'Course_Master'!G76)</x:f>
        <x:v>Gelderland</x:v>
      </x:c>
      <x:c r="G76" s="28" t="str">
        <x:f>IF('Course_Master'!H76="","",'Course_Master'!H76)</x:f>
        <x:v>Maasdriel</x:v>
      </x:c>
      <x:c r="H76" s="28" t="str">
        <x:f>IF('Course_Master'!I76="","",'Course_Master'!I76)</x:f>
        <x:v>Kerkdriel</x:v>
      </x:c>
      <x:c r="I76" s="28" t="str">
        <x:f>IF('Course_Master'!K76="","",'Course_Master'!K76)</x:f>
        <x:v>5331 PD</x:v>
      </x:c>
      <x:c r="J76" s="34" t="n">
        <x:f>IF('Course_Master'!L76="","",'Course_Master'!L76)</x:f>
        <x:v>51.78011554</x:v>
      </x:c>
      <x:c r="K76" s="34" t="n">
        <x:f>IF('Course_Master'!M76="","",'Course_Master'!M76)</x:f>
        <x:v>5.3301139</x:v>
      </x:c>
      <x:c r="L76" s="28" t="n">
        <x:f>IF('Course_Master'!S76="","",'Course_Master'!S76)</x:f>
        <x:v>9</x:v>
      </x:c>
      <x:c r="M76" s="28" t="n">
        <x:f>IF('Course_Master'!T76="","",'Course_Master'!T76)</x:f>
        <x:v>37</x:v>
      </x:c>
      <x:c r="N76" s="28" t="n">
        <x:f>IF('Course_Master'!Q76="","",'Course_Master'!Q76)</x:f>
        <x:v>3296</x:v>
      </x:c>
      <x:c r="O76" s="28" t="n">
        <x:f>IF('Course_Master'!R76="","",'Course_Master'!R76)</x:f>
        <x:v>3014</x:v>
      </x:c>
      <x:c r="P76" s="28" t="str">
        <x:f>IF('Course_Master'!U76="","",'Course_Master'!U76)</x:f>
        <x:v>Full-length course</x:v>
      </x:c>
      <x:c r="Q76" s="28" t="str">
        <x:f>IF('Course_Master'!AD76="","",'Course_Master'!AD76)</x:f>
        <x:v>Public — handicap 54 or lower</x:v>
      </x:c>
      <x:c r="R76" s="28" t="str">
        <x:f>IF('Course_Master'!AC76="","",'Course_Master'!AC76)</x:f>
        <x:v>Open</x:v>
      </x:c>
      <x:c r="S76" s="28" t="str">
        <x:f>IF('Course_Master'!Y76="","",'Course_Master'!Y76)</x:f>
        <x:v>https://dorpswaard.com/</x:v>
      </x:c>
      <x:c r="T76" s="28" t="b">
        <x:f>IF('Course_Master'!Z76="","",'Course_Master'!Z76)</x:f>
        <x:v>1</x:v>
      </x:c>
      <x:c r="U76" s="28" t="b">
        <x:f>IF('Course_Master'!AA76="","",'Course_Master'!AA76)</x:f>
        <x:v>1</x:v>
      </x:c>
      <x:c r="V76" s="28" t="str">
        <x:f>IF('Course_Master'!AL76="","",'Course_Master'!AL76)</x:f>
        <x:v>Verified — national register and exact BAG address</x:v>
      </x:c>
    </x:row>
    <x:row r="77">
      <x:c r="A77" s="28" t="str">
        <x:f>IF('Course_Master'!B77="","",'Course_Master'!B77)</x:f>
        <x:v>NL-0076</x:v>
      </x:c>
      <x:c r="B77" s="28" t="str">
        <x:f>IF('Course_Master'!C77="","",'Course_Master'!C77)</x:f>
        <x:v>Golfclub Putten</x:v>
      </x:c>
      <x:c r="C77" s="28" t="str">
        <x:f>IF('Course_Master'!D77="","",'Course_Master'!D77)</x:f>
        <x:v>Golfclub Putten</x:v>
      </x:c>
      <x:c r="D77" s="28" t="str">
        <x:f>IF('Course_Master'!E77="","",'Course_Master'!E77)</x:f>
        <x:v>Course</x:v>
      </x:c>
      <x:c r="E77" s="28" t="str">
        <x:f>IF('Course_Master'!F77="","",'Course_Master'!F77)</x:f>
        <x:v>Netherlands</x:v>
      </x:c>
      <x:c r="F77" s="28" t="str">
        <x:f>IF('Course_Master'!G77="","",'Course_Master'!G77)</x:f>
        <x:v>Gelderland</x:v>
      </x:c>
      <x:c r="G77" s="28" t="str">
        <x:f>IF('Course_Master'!H77="","",'Course_Master'!H77)</x:f>
        <x:v>Putten</x:v>
      </x:c>
      <x:c r="H77" s="28" t="str">
        <x:f>IF('Course_Master'!I77="","",'Course_Master'!I77)</x:f>
        <x:v>Putten</x:v>
      </x:c>
      <x:c r="I77" s="28" t="str">
        <x:f>IF('Course_Master'!K77="","",'Course_Master'!K77)</x:f>
        <x:v>3882 PE</x:v>
      </x:c>
      <x:c r="J77" s="34" t="n">
        <x:f>IF('Course_Master'!L77="","",'Course_Master'!L77)</x:f>
        <x:v>52.23716874</x:v>
      </x:c>
      <x:c r="K77" s="34" t="n">
        <x:f>IF('Course_Master'!M77="","",'Course_Master'!M77)</x:f>
        <x:v>5.51313959</x:v>
      </x:c>
      <x:c r="L77" s="28" t="n">
        <x:f>IF('Course_Master'!S77="","",'Course_Master'!S77)</x:f>
        <x:v>9</x:v>
      </x:c>
      <x:c r="M77" s="28" t="n">
        <x:f>IF('Course_Master'!T77="","",'Course_Master'!T77)</x:f>
        <x:v>32</x:v>
      </x:c>
      <x:c r="N77" s="28" t="n">
        <x:f>IF('Course_Master'!Q77="","",'Course_Master'!Q77)</x:f>
        <x:v>1969</x:v>
      </x:c>
      <x:c r="O77" s="28" t="n">
        <x:f>IF('Course_Master'!R77="","",'Course_Master'!R77)</x:f>
        <x:v>1800</x:v>
      </x:c>
      <x:c r="P77" s="28" t="str">
        <x:f>IF('Course_Master'!U77="","",'Course_Master'!U77)</x:f>
        <x:v>Par-3/4 course</x:v>
      </x:c>
      <x:c r="Q77" s="28" t="str">
        <x:f>IF('Course_Master'!AD77="","",'Course_Master'!AD77)</x:f>
        <x:v>Public — NGF course permission</x:v>
      </x:c>
      <x:c r="R77" s="28" t="str">
        <x:f>IF('Course_Master'!AC77="","",'Course_Master'!AC77)</x:f>
        <x:v>Open</x:v>
      </x:c>
      <x:c r="S77" s="28" t="str">
        <x:f>IF('Course_Master'!Y77="","",'Course_Master'!Y77)</x:f>
        <x:v>https://www.golfclubputten.com/</x:v>
      </x:c>
      <x:c r="T77" s="28" t="b">
        <x:f>IF('Course_Master'!Z77="","",'Course_Master'!Z77)</x:f>
        <x:v>1</x:v>
      </x:c>
      <x:c r="U77" s="28" t="b">
        <x:f>IF('Course_Master'!AA77="","",'Course_Master'!AA77)</x:f>
        <x:v>1</x:v>
      </x:c>
      <x:c r="V77" s="28" t="str">
        <x:f>IF('Course_Master'!AL77="","",'Course_Master'!AL77)</x:f>
        <x:v>Verified — national register and exact BAG address</x:v>
      </x:c>
    </x:row>
    <x:row r="78">
      <x:c r="A78" s="28" t="str">
        <x:f>IF('Course_Master'!B78="","",'Course_Master'!B78)</x:f>
        <x:v>NL-0077</x:v>
      </x:c>
      <x:c r="B78" s="28" t="str">
        <x:f>IF('Course_Master'!C78="","",'Course_Master'!C78)</x:f>
        <x:v>Golflub Heelsum — Airborne</x:v>
      </x:c>
      <x:c r="C78" s="28" t="str">
        <x:f>IF('Course_Master'!D78="","",'Course_Master'!D78)</x:f>
        <x:v>Golflub Heelsum</x:v>
      </x:c>
      <x:c r="D78" s="28" t="str">
        <x:f>IF('Course_Master'!E78="","",'Course_Master'!E78)</x:f>
        <x:v>Airborne</x:v>
      </x:c>
      <x:c r="E78" s="28" t="str">
        <x:f>IF('Course_Master'!F78="","",'Course_Master'!F78)</x:f>
        <x:v>Netherlands</x:v>
      </x:c>
      <x:c r="F78" s="28" t="str">
        <x:f>IF('Course_Master'!G78="","",'Course_Master'!G78)</x:f>
        <x:v>Gelderland</x:v>
      </x:c>
      <x:c r="G78" s="28" t="str">
        <x:f>IF('Course_Master'!H78="","",'Course_Master'!H78)</x:f>
        <x:v>Renkum</x:v>
      </x:c>
      <x:c r="H78" s="28" t="str">
        <x:f>IF('Course_Master'!I78="","",'Course_Master'!I78)</x:f>
        <x:v>Heelsum</x:v>
      </x:c>
      <x:c r="I78" s="28" t="str">
        <x:f>IF('Course_Master'!K78="","",'Course_Master'!K78)</x:f>
        <x:v>6866 DZ</x:v>
      </x:c>
      <x:c r="J78" s="34" t="n">
        <x:f>IF('Course_Master'!L78="","",'Course_Master'!L78)</x:f>
        <x:v>51.98789377</x:v>
      </x:c>
      <x:c r="K78" s="34" t="n">
        <x:f>IF('Course_Master'!M78="","",'Course_Master'!M78)</x:f>
        <x:v>5.75637707</x:v>
      </x:c>
      <x:c r="L78" s="28" t="n">
        <x:f>IF('Course_Master'!S78="","",'Course_Master'!S78)</x:f>
        <x:v>9</x:v>
      </x:c>
      <x:c r="M78" s="28" t="n">
        <x:f>IF('Course_Master'!T78="","",'Course_Master'!T78)</x:f>
        <x:v>36</x:v>
      </x:c>
      <x:c r="N78" s="28" t="n">
        <x:f>IF('Course_Master'!Q78="","",'Course_Master'!Q78)</x:f>
        <x:v>3488</x:v>
      </x:c>
      <x:c r="O78" s="28" t="n">
        <x:f>IF('Course_Master'!R78="","",'Course_Master'!R78)</x:f>
        <x:v>3189</x:v>
      </x:c>
      <x:c r="P78" s="28" t="str">
        <x:f>IF('Course_Master'!U78="","",'Course_Master'!U78)</x:f>
        <x:v>Full-length course</x:v>
      </x:c>
      <x:c r="Q78" s="28" t="str">
        <x:f>IF('Course_Master'!AD78="","",'Course_Master'!AD78)</x:f>
        <x:v>Public — handicap 54 or lower</x:v>
      </x:c>
      <x:c r="R78" s="28" t="str">
        <x:f>IF('Course_Master'!AC78="","",'Course_Master'!AC78)</x:f>
        <x:v>Open</x:v>
      </x:c>
      <x:c r="S78" s="28" t="str">
        <x:f>IF('Course_Master'!Y78="","",'Course_Master'!Y78)</x:f>
        <x:v>https://gcheelsum.nl/</x:v>
      </x:c>
      <x:c r="T78" s="28" t="b">
        <x:f>IF('Course_Master'!Z78="","",'Course_Master'!Z78)</x:f>
        <x:v>1</x:v>
      </x:c>
      <x:c r="U78" s="28" t="b">
        <x:f>IF('Course_Master'!AA78="","",'Course_Master'!AA78)</x:f>
        <x:v>1</x:v>
      </x:c>
      <x:c r="V78" s="28" t="str">
        <x:f>IF('Course_Master'!AL78="","",'Course_Master'!AL78)</x:f>
        <x:v>Verified — national register and exact BAG address</x:v>
      </x:c>
    </x:row>
    <x:row r="79">
      <x:c r="A79" s="28" t="str">
        <x:f>IF('Course_Master'!B79="","",'Course_Master'!B79)</x:f>
        <x:v>NL-0078</x:v>
      </x:c>
      <x:c r="B79" s="28" t="str">
        <x:f>IF('Course_Master'!C79="","",'Course_Master'!C79)</x:f>
        <x:v>Golflub Heelsum — Helsum</x:v>
      </x:c>
      <x:c r="C79" s="28" t="str">
        <x:f>IF('Course_Master'!D79="","",'Course_Master'!D79)</x:f>
        <x:v>Golflub Heelsum</x:v>
      </x:c>
      <x:c r="D79" s="28" t="str">
        <x:f>IF('Course_Master'!E79="","",'Course_Master'!E79)</x:f>
        <x:v>Helsum</x:v>
      </x:c>
      <x:c r="E79" s="28" t="str">
        <x:f>IF('Course_Master'!F79="","",'Course_Master'!F79)</x:f>
        <x:v>Netherlands</x:v>
      </x:c>
      <x:c r="F79" s="28" t="str">
        <x:f>IF('Course_Master'!G79="","",'Course_Master'!G79)</x:f>
        <x:v>Gelderland</x:v>
      </x:c>
      <x:c r="G79" s="28" t="str">
        <x:f>IF('Course_Master'!H79="","",'Course_Master'!H79)</x:f>
        <x:v>Renkum</x:v>
      </x:c>
      <x:c r="H79" s="28" t="str">
        <x:f>IF('Course_Master'!I79="","",'Course_Master'!I79)</x:f>
        <x:v>Heelsum</x:v>
      </x:c>
      <x:c r="I79" s="28" t="str">
        <x:f>IF('Course_Master'!K79="","",'Course_Master'!K79)</x:f>
        <x:v>6866 DZ</x:v>
      </x:c>
      <x:c r="J79" s="34" t="n">
        <x:f>IF('Course_Master'!L79="","",'Course_Master'!L79)</x:f>
        <x:v>51.98789377</x:v>
      </x:c>
      <x:c r="K79" s="34" t="n">
        <x:f>IF('Course_Master'!M79="","",'Course_Master'!M79)</x:f>
        <x:v>5.75637707</x:v>
      </x:c>
      <x:c r="L79" s="28" t="n">
        <x:f>IF('Course_Master'!S79="","",'Course_Master'!S79)</x:f>
        <x:v>9</x:v>
      </x:c>
      <x:c r="M79" s="28" t="n">
        <x:f>IF('Course_Master'!T79="","",'Course_Master'!T79)</x:f>
        <x:v>35</x:v>
      </x:c>
      <x:c r="N79" s="28" t="n">
        <x:f>IF('Course_Master'!Q79="","",'Course_Master'!Q79)</x:f>
        <x:v>3083</x:v>
      </x:c>
      <x:c r="O79" s="28" t="n">
        <x:f>IF('Course_Master'!R79="","",'Course_Master'!R79)</x:f>
        <x:v>2819</x:v>
      </x:c>
      <x:c r="P79" s="28" t="str">
        <x:f>IF('Course_Master'!U79="","",'Course_Master'!U79)</x:f>
        <x:v>Full-length course</x:v>
      </x:c>
      <x:c r="Q79" s="28" t="str">
        <x:f>IF('Course_Master'!AD79="","",'Course_Master'!AD79)</x:f>
        <x:v>Public — handicap 54 or lower</x:v>
      </x:c>
      <x:c r="R79" s="28" t="str">
        <x:f>IF('Course_Master'!AC79="","",'Course_Master'!AC79)</x:f>
        <x:v>Open</x:v>
      </x:c>
      <x:c r="S79" s="28" t="str">
        <x:f>IF('Course_Master'!Y79="","",'Course_Master'!Y79)</x:f>
        <x:v>https://gcheelsum.nl/</x:v>
      </x:c>
      <x:c r="T79" s="28" t="b">
        <x:f>IF('Course_Master'!Z79="","",'Course_Master'!Z79)</x:f>
        <x:v>1</x:v>
      </x:c>
      <x:c r="U79" s="28" t="b">
        <x:f>IF('Course_Master'!AA79="","",'Course_Master'!AA79)</x:f>
        <x:v>1</x:v>
      </x:c>
      <x:c r="V79" s="28" t="str">
        <x:f>IF('Course_Master'!AL79="","",'Course_Master'!AL79)</x:f>
        <x:v>Verified — national register and exact BAG address</x:v>
      </x:c>
    </x:row>
    <x:row r="80">
      <x:c r="A80" s="28" t="str">
        <x:f>IF('Course_Master'!B80="","",'Course_Master'!B80)</x:f>
        <x:v>NL-0079</x:v>
      </x:c>
      <x:c r="B80" s="28" t="str">
        <x:f>IF('Course_Master'!C80="","",'Course_Master'!C80)</x:f>
        <x:v>Golflub Heelsum — Sandr</x:v>
      </x:c>
      <x:c r="C80" s="28" t="str">
        <x:f>IF('Course_Master'!D80="","",'Course_Master'!D80)</x:f>
        <x:v>Golflub Heelsum</x:v>
      </x:c>
      <x:c r="D80" s="28" t="str">
        <x:f>IF('Course_Master'!E80="","",'Course_Master'!E80)</x:f>
        <x:v>Sandr</x:v>
      </x:c>
      <x:c r="E80" s="28" t="str">
        <x:f>IF('Course_Master'!F80="","",'Course_Master'!F80)</x:f>
        <x:v>Netherlands</x:v>
      </x:c>
      <x:c r="F80" s="28" t="str">
        <x:f>IF('Course_Master'!G80="","",'Course_Master'!G80)</x:f>
        <x:v>Gelderland</x:v>
      </x:c>
      <x:c r="G80" s="28" t="str">
        <x:f>IF('Course_Master'!H80="","",'Course_Master'!H80)</x:f>
        <x:v>Renkum</x:v>
      </x:c>
      <x:c r="H80" s="28" t="str">
        <x:f>IF('Course_Master'!I80="","",'Course_Master'!I80)</x:f>
        <x:v>Heelsum</x:v>
      </x:c>
      <x:c r="I80" s="28" t="str">
        <x:f>IF('Course_Master'!K80="","",'Course_Master'!K80)</x:f>
        <x:v>6866 DZ</x:v>
      </x:c>
      <x:c r="J80" s="34" t="n">
        <x:f>IF('Course_Master'!L80="","",'Course_Master'!L80)</x:f>
        <x:v>51.98789377</x:v>
      </x:c>
      <x:c r="K80" s="34" t="n">
        <x:f>IF('Course_Master'!M80="","",'Course_Master'!M80)</x:f>
        <x:v>5.75637707</x:v>
      </x:c>
      <x:c r="L80" s="28" t="n">
        <x:f>IF('Course_Master'!S80="","",'Course_Master'!S80)</x:f>
        <x:v>9</x:v>
      </x:c>
      <x:c r="M80" s="28" t="n">
        <x:f>IF('Course_Master'!T80="","",'Course_Master'!T80)</x:f>
        <x:v>36</x:v>
      </x:c>
      <x:c r="N80" s="28" t="n">
        <x:f>IF('Course_Master'!Q80="","",'Course_Master'!Q80)</x:f>
        <x:v>3384</x:v>
      </x:c>
      <x:c r="O80" s="28" t="n">
        <x:f>IF('Course_Master'!R80="","",'Course_Master'!R80)</x:f>
        <x:v>3094</x:v>
      </x:c>
      <x:c r="P80" s="28" t="str">
        <x:f>IF('Course_Master'!U80="","",'Course_Master'!U80)</x:f>
        <x:v>Full-length course</x:v>
      </x:c>
      <x:c r="Q80" s="28" t="str">
        <x:f>IF('Course_Master'!AD80="","",'Course_Master'!AD80)</x:f>
        <x:v>Public — handicap 54 or lower</x:v>
      </x:c>
      <x:c r="R80" s="28" t="str">
        <x:f>IF('Course_Master'!AC80="","",'Course_Master'!AC80)</x:f>
        <x:v>Open</x:v>
      </x:c>
      <x:c r="S80" s="28" t="str">
        <x:f>IF('Course_Master'!Y80="","",'Course_Master'!Y80)</x:f>
        <x:v>https://gcheelsum.nl/</x:v>
      </x:c>
      <x:c r="T80" s="28" t="b">
        <x:f>IF('Course_Master'!Z80="","",'Course_Master'!Z80)</x:f>
        <x:v>1</x:v>
      </x:c>
      <x:c r="U80" s="28" t="b">
        <x:f>IF('Course_Master'!AA80="","",'Course_Master'!AA80)</x:f>
        <x:v>1</x:v>
      </x:c>
      <x:c r="V80" s="28" t="str">
        <x:f>IF('Course_Master'!AL80="","",'Course_Master'!AL80)</x:f>
        <x:v>Verified — national register and exact BAG address</x:v>
      </x:c>
    </x:row>
    <x:row r="81">
      <x:c r="A81" s="28" t="str">
        <x:f>IF('Course_Master'!B81="","",'Course_Master'!B81)</x:f>
        <x:v>NL-0080</x:v>
      </x:c>
      <x:c r="B81" s="28" t="str">
        <x:f>IF('Course_Master'!C81="","",'Course_Master'!C81)</x:f>
        <x:v>Golfpark De Berendonck — Par-3 Course</x:v>
      </x:c>
      <x:c r="C81" s="28" t="str">
        <x:f>IF('Course_Master'!D81="","",'Course_Master'!D81)</x:f>
        <x:v>Golfpark De Berendonck</x:v>
      </x:c>
      <x:c r="D81" s="28" t="str">
        <x:f>IF('Course_Master'!E81="","",'Course_Master'!E81)</x:f>
        <x:v>Par-3 Course</x:v>
      </x:c>
      <x:c r="E81" s="28" t="str">
        <x:f>IF('Course_Master'!F81="","",'Course_Master'!F81)</x:f>
        <x:v>Netherlands</x:v>
      </x:c>
      <x:c r="F81" s="28" t="str">
        <x:f>IF('Course_Master'!G81="","",'Course_Master'!G81)</x:f>
        <x:v>Gelderland</x:v>
      </x:c>
      <x:c r="G81" s="28" t="str">
        <x:f>IF('Course_Master'!H81="","",'Course_Master'!H81)</x:f>
        <x:v>Wijchen</x:v>
      </x:c>
      <x:c r="H81" s="28" t="str">
        <x:f>IF('Course_Master'!I81="","",'Course_Master'!I81)</x:f>
        <x:v>Wijchen</x:v>
      </x:c>
      <x:c r="I81" s="28" t="str">
        <x:f>IF('Course_Master'!K81="","",'Course_Master'!K81)</x:f>
        <x:v>6603 LP</x:v>
      </x:c>
      <x:c r="J81" s="34" t="n">
        <x:f>IF('Course_Master'!L81="","",'Course_Master'!L81)</x:f>
        <x:v>51.81024859</x:v>
      </x:c>
      <x:c r="K81" s="34" t="n">
        <x:f>IF('Course_Master'!M81="","",'Course_Master'!M81)</x:f>
        <x:v>5.76941132</x:v>
      </x:c>
      <x:c r="L81" s="28" t="n">
        <x:f>IF('Course_Master'!S81="","",'Course_Master'!S81)</x:f>
        <x:v>9</x:v>
      </x:c>
      <x:c r="M81" s="28" t="n">
        <x:f>IF('Course_Master'!T81="","",'Course_Master'!T81)</x:f>
        <x:v>27</x:v>
      </x:c>
      <x:c r="N81" s="28" t="n">
        <x:f>IF('Course_Master'!Q81="","",'Course_Master'!Q81)</x:f>
        <x:v>650</x:v>
      </x:c>
      <x:c r="O81" s="28" t="n">
        <x:f>IF('Course_Master'!R81="","",'Course_Master'!R81)</x:f>
        <x:v>594</x:v>
      </x:c>
      <x:c r="P81" s="28" t="str">
        <x:f>IF('Course_Master'!U81="","",'Course_Master'!U81)</x:f>
        <x:v>Par-3 course</x:v>
      </x:c>
      <x:c r="Q81" s="28" t="str">
        <x:f>IF('Course_Master'!AD81="","",'Course_Master'!AD81)</x:f>
        <x:v>Public — no playing requirement</x:v>
      </x:c>
      <x:c r="R81" s="28" t="str">
        <x:f>IF('Course_Master'!AC81="","",'Course_Master'!AC81)</x:f>
        <x:v>Open</x:v>
      </x:c>
      <x:c r="S81" s="28" t="str">
        <x:f>IF('Course_Master'!Y81="","",'Course_Master'!Y81)</x:f>
        <x:v>https://www.hollandschegolfclub.nl/golfpark/de-berendonck/</x:v>
      </x:c>
      <x:c r="T81" s="28" t="b">
        <x:f>IF('Course_Master'!Z81="","",'Course_Master'!Z81)</x:f>
        <x:v>1</x:v>
      </x:c>
      <x:c r="U81" s="28" t="b">
        <x:f>IF('Course_Master'!AA81="","",'Course_Master'!AA81)</x:f>
        <x:v>1</x:v>
      </x:c>
      <x:c r="V81" s="28" t="str">
        <x:f>IF('Course_Master'!AL81="","",'Course_Master'!AL81)</x:f>
        <x:v>Verified — national register and exact BAG address</x:v>
      </x:c>
    </x:row>
    <x:row r="82">
      <x:c r="A82" s="28" t="str">
        <x:f>IF('Course_Master'!B82="","",'Course_Master'!B82)</x:f>
        <x:v>NL-0081</x:v>
      </x:c>
      <x:c r="B82" s="28" t="str">
        <x:f>IF('Course_Master'!C82="","",'Course_Master'!C82)</x:f>
        <x:v>Golfpark De Berendonck — Red</x:v>
      </x:c>
      <x:c r="C82" s="28" t="str">
        <x:f>IF('Course_Master'!D82="","",'Course_Master'!D82)</x:f>
        <x:v>Golfpark De Berendonck</x:v>
      </x:c>
      <x:c r="D82" s="28" t="str">
        <x:f>IF('Course_Master'!E82="","",'Course_Master'!E82)</x:f>
        <x:v>Red</x:v>
      </x:c>
      <x:c r="E82" s="28" t="str">
        <x:f>IF('Course_Master'!F82="","",'Course_Master'!F82)</x:f>
        <x:v>Netherlands</x:v>
      </x:c>
      <x:c r="F82" s="28" t="str">
        <x:f>IF('Course_Master'!G82="","",'Course_Master'!G82)</x:f>
        <x:v>Gelderland</x:v>
      </x:c>
      <x:c r="G82" s="28" t="str">
        <x:f>IF('Course_Master'!H82="","",'Course_Master'!H82)</x:f>
        <x:v>Wijchen</x:v>
      </x:c>
      <x:c r="H82" s="28" t="str">
        <x:f>IF('Course_Master'!I82="","",'Course_Master'!I82)</x:f>
        <x:v>Wijchen</x:v>
      </x:c>
      <x:c r="I82" s="28" t="str">
        <x:f>IF('Course_Master'!K82="","",'Course_Master'!K82)</x:f>
        <x:v>6603 LP</x:v>
      </x:c>
      <x:c r="J82" s="34" t="n">
        <x:f>IF('Course_Master'!L82="","",'Course_Master'!L82)</x:f>
        <x:v>51.81024859</x:v>
      </x:c>
      <x:c r="K82" s="34" t="n">
        <x:f>IF('Course_Master'!M82="","",'Course_Master'!M82)</x:f>
        <x:v>5.76941132</x:v>
      </x:c>
      <x:c r="L82" s="28" t="n">
        <x:f>IF('Course_Master'!S82="","",'Course_Master'!S82)</x:f>
        <x:v>9</x:v>
      </x:c>
      <x:c r="M82" s="28" t="n">
        <x:f>IF('Course_Master'!T82="","",'Course_Master'!T82)</x:f>
        <x:v>36</x:v>
      </x:c>
      <x:c r="N82" s="28" t="n">
        <x:f>IF('Course_Master'!Q82="","",'Course_Master'!Q82)</x:f>
        <x:v>3407</x:v>
      </x:c>
      <x:c r="O82" s="28" t="n">
        <x:f>IF('Course_Master'!R82="","",'Course_Master'!R82)</x:f>
        <x:v>3115</x:v>
      </x:c>
      <x:c r="P82" s="28" t="str">
        <x:f>IF('Course_Master'!U82="","",'Course_Master'!U82)</x:f>
        <x:v>Full-length course</x:v>
      </x:c>
      <x:c r="Q82" s="28" t="str">
        <x:f>IF('Course_Master'!AD82="","",'Course_Master'!AD82)</x:f>
        <x:v>Public — handicap 54 or lower</x:v>
      </x:c>
      <x:c r="R82" s="28" t="str">
        <x:f>IF('Course_Master'!AC82="","",'Course_Master'!AC82)</x:f>
        <x:v>Open</x:v>
      </x:c>
      <x:c r="S82" s="28" t="str">
        <x:f>IF('Course_Master'!Y82="","",'Course_Master'!Y82)</x:f>
        <x:v>https://www.hollandschegolfclub.nl/golfpark/de-berendonck/</x:v>
      </x:c>
      <x:c r="T82" s="28" t="b">
        <x:f>IF('Course_Master'!Z82="","",'Course_Master'!Z82)</x:f>
        <x:v>1</x:v>
      </x:c>
      <x:c r="U82" s="28" t="b">
        <x:f>IF('Course_Master'!AA82="","",'Course_Master'!AA82)</x:f>
        <x:v>1</x:v>
      </x:c>
      <x:c r="V82" s="28" t="str">
        <x:f>IF('Course_Master'!AL82="","",'Course_Master'!AL82)</x:f>
        <x:v>Verified — national register and exact BAG address</x:v>
      </x:c>
    </x:row>
    <x:row r="83">
      <x:c r="A83" s="28" t="str">
        <x:f>IF('Course_Master'!B83="","",'Course_Master'!B83)</x:f>
        <x:v>NL-0082</x:v>
      </x:c>
      <x:c r="B83" s="28" t="str">
        <x:f>IF('Course_Master'!C83="","",'Course_Master'!C83)</x:f>
        <x:v>Golfpark De Berendonck — Yellow</x:v>
      </x:c>
      <x:c r="C83" s="28" t="str">
        <x:f>IF('Course_Master'!D83="","",'Course_Master'!D83)</x:f>
        <x:v>Golfpark De Berendonck</x:v>
      </x:c>
      <x:c r="D83" s="28" t="str">
        <x:f>IF('Course_Master'!E83="","",'Course_Master'!E83)</x:f>
        <x:v>Yellow</x:v>
      </x:c>
      <x:c r="E83" s="28" t="str">
        <x:f>IF('Course_Master'!F83="","",'Course_Master'!F83)</x:f>
        <x:v>Netherlands</x:v>
      </x:c>
      <x:c r="F83" s="28" t="str">
        <x:f>IF('Course_Master'!G83="","",'Course_Master'!G83)</x:f>
        <x:v>Gelderland</x:v>
      </x:c>
      <x:c r="G83" s="28" t="str">
        <x:f>IF('Course_Master'!H83="","",'Course_Master'!H83)</x:f>
        <x:v>Wijchen</x:v>
      </x:c>
      <x:c r="H83" s="28" t="str">
        <x:f>IF('Course_Master'!I83="","",'Course_Master'!I83)</x:f>
        <x:v>Wijchen</x:v>
      </x:c>
      <x:c r="I83" s="28" t="str">
        <x:f>IF('Course_Master'!K83="","",'Course_Master'!K83)</x:f>
        <x:v>6603 LP</x:v>
      </x:c>
      <x:c r="J83" s="34" t="n">
        <x:f>IF('Course_Master'!L83="","",'Course_Master'!L83)</x:f>
        <x:v>51.81024859</x:v>
      </x:c>
      <x:c r="K83" s="34" t="n">
        <x:f>IF('Course_Master'!M83="","",'Course_Master'!M83)</x:f>
        <x:v>5.76941132</x:v>
      </x:c>
      <x:c r="L83" s="28" t="n">
        <x:f>IF('Course_Master'!S83="","",'Course_Master'!S83)</x:f>
        <x:v>9</x:v>
      </x:c>
      <x:c r="M83" s="28" t="n">
        <x:f>IF('Course_Master'!T83="","",'Course_Master'!T83)</x:f>
        <x:v>35</x:v>
      </x:c>
      <x:c r="N83" s="28" t="n">
        <x:f>IF('Course_Master'!Q83="","",'Course_Master'!Q83)</x:f>
        <x:v>3023</x:v>
      </x:c>
      <x:c r="O83" s="28" t="n">
        <x:f>IF('Course_Master'!R83="","",'Course_Master'!R83)</x:f>
        <x:v>2764</x:v>
      </x:c>
      <x:c r="P83" s="28" t="str">
        <x:f>IF('Course_Master'!U83="","",'Course_Master'!U83)</x:f>
        <x:v>Full-length course</x:v>
      </x:c>
      <x:c r="Q83" s="28" t="str">
        <x:f>IF('Course_Master'!AD83="","",'Course_Master'!AD83)</x:f>
        <x:v>Public — handicap 54 or lower</x:v>
      </x:c>
      <x:c r="R83" s="28" t="str">
        <x:f>IF('Course_Master'!AC83="","",'Course_Master'!AC83)</x:f>
        <x:v>Open</x:v>
      </x:c>
      <x:c r="S83" s="28" t="str">
        <x:f>IF('Course_Master'!Y83="","",'Course_Master'!Y83)</x:f>
        <x:v>https://www.hollandschegolfclub.nl/golfpark/de-berendonck/</x:v>
      </x:c>
      <x:c r="T83" s="28" t="b">
        <x:f>IF('Course_Master'!Z83="","",'Course_Master'!Z83)</x:f>
        <x:v>1</x:v>
      </x:c>
      <x:c r="U83" s="28" t="b">
        <x:f>IF('Course_Master'!AA83="","",'Course_Master'!AA83)</x:f>
        <x:v>1</x:v>
      </x:c>
      <x:c r="V83" s="28" t="str">
        <x:f>IF('Course_Master'!AL83="","",'Course_Master'!AL83)</x:f>
        <x:v>Verified — national register and exact BAG address</x:v>
      </x:c>
    </x:row>
    <x:row r="84">
      <x:c r="A84" s="28" t="str">
        <x:f>IF('Course_Master'!B84="","",'Course_Master'!B84)</x:f>
        <x:v>NL-0083</x:v>
      </x:c>
      <x:c r="B84" s="28" t="str">
        <x:f>IF('Course_Master'!C84="","",'Course_Master'!C84)</x:f>
        <x:v>Golfpark De Breuninkhof — Main Course</x:v>
      </x:c>
      <x:c r="C84" s="28" t="str">
        <x:f>IF('Course_Master'!D84="","",'Course_Master'!D84)</x:f>
        <x:v>Golfpark De Breuninkhof</x:v>
      </x:c>
      <x:c r="D84" s="28" t="str">
        <x:f>IF('Course_Master'!E84="","",'Course_Master'!E84)</x:f>
        <x:v>Main Course</x:v>
      </x:c>
      <x:c r="E84" s="28" t="str">
        <x:f>IF('Course_Master'!F84="","",'Course_Master'!F84)</x:f>
        <x:v>Netherlands</x:v>
      </x:c>
      <x:c r="F84" s="28" t="str">
        <x:f>IF('Course_Master'!G84="","",'Course_Master'!G84)</x:f>
        <x:v>Gelderland</x:v>
      </x:c>
      <x:c r="G84" s="28" t="str">
        <x:f>IF('Course_Master'!H84="","",'Course_Master'!H84)</x:f>
        <x:v>Voorst</x:v>
      </x:c>
      <x:c r="H84" s="28" t="str">
        <x:f>IF('Course_Master'!I84="","",'Course_Master'!I84)</x:f>
        <x:v>Voorst</x:v>
      </x:c>
      <x:c r="I84" s="28" t="str">
        <x:f>IF('Course_Master'!K84="","",'Course_Master'!K84)</x:f>
        <x:v>7383 RP</x:v>
      </x:c>
      <x:c r="J84" s="34" t="n">
        <x:f>IF('Course_Master'!L84="","",'Course_Master'!L84)</x:f>
        <x:v>52.1990305</x:v>
      </x:c>
      <x:c r="K84" s="34" t="n">
        <x:f>IF('Course_Master'!M84="","",'Course_Master'!M84)</x:f>
        <x:v>6.12452028</x:v>
      </x:c>
      <x:c r="L84" s="28" t="n">
        <x:f>IF('Course_Master'!S84="","",'Course_Master'!S84)</x:f>
        <x:v>9</x:v>
      </x:c>
      <x:c r="M84" s="28" t="n">
        <x:f>IF('Course_Master'!T84="","",'Course_Master'!T84)</x:f>
        <x:v>36</x:v>
      </x:c>
      <x:c r="N84" s="28" t="n">
        <x:f>IF('Course_Master'!Q84="","",'Course_Master'!Q84)</x:f>
        <x:v>3217</x:v>
      </x:c>
      <x:c r="O84" s="28" t="n">
        <x:f>IF('Course_Master'!R84="","",'Course_Master'!R84)</x:f>
        <x:v>2942</x:v>
      </x:c>
      <x:c r="P84" s="28" t="str">
        <x:f>IF('Course_Master'!U84="","",'Course_Master'!U84)</x:f>
        <x:v>Full-length course</x:v>
      </x:c>
      <x:c r="Q84" s="28" t="str">
        <x:f>IF('Course_Master'!AD84="","",'Course_Master'!AD84)</x:f>
        <x:v>Public — NGF course permission</x:v>
      </x:c>
      <x:c r="R84" s="28" t="str">
        <x:f>IF('Course_Master'!AC84="","",'Course_Master'!AC84)</x:f>
        <x:v>Open</x:v>
      </x:c>
      <x:c r="S84" s="28" t="str">
        <x:f>IF('Course_Master'!Y84="","",'Course_Master'!Y84)</x:f>
        <x:v>https://www.hollandschegolfclub.nl/golfpark/de-breuninkhof/</x:v>
      </x:c>
      <x:c r="T84" s="28" t="b">
        <x:f>IF('Course_Master'!Z84="","",'Course_Master'!Z84)</x:f>
        <x:v>1</x:v>
      </x:c>
      <x:c r="U84" s="28" t="b">
        <x:f>IF('Course_Master'!AA84="","",'Course_Master'!AA84)</x:f>
        <x:v>1</x:v>
      </x:c>
      <x:c r="V84" s="28" t="str">
        <x:f>IF('Course_Master'!AL84="","",'Course_Master'!AL84)</x:f>
        <x:v>Verified — national register and exact BAG address</x:v>
      </x:c>
    </x:row>
    <x:row r="85">
      <x:c r="A85" s="28" t="str">
        <x:f>IF('Course_Master'!B85="","",'Course_Master'!B85)</x:f>
        <x:v>NL-0084</x:v>
      </x:c>
      <x:c r="B85" s="28" t="str">
        <x:f>IF('Course_Master'!C85="","",'Course_Master'!C85)</x:f>
        <x:v>Golfpark De Breuninkhof — Par-3 Course</x:v>
      </x:c>
      <x:c r="C85" s="28" t="str">
        <x:f>IF('Course_Master'!D85="","",'Course_Master'!D85)</x:f>
        <x:v>Golfpark De Breuninkhof</x:v>
      </x:c>
      <x:c r="D85" s="28" t="str">
        <x:f>IF('Course_Master'!E85="","",'Course_Master'!E85)</x:f>
        <x:v>Par-3 Course</x:v>
      </x:c>
      <x:c r="E85" s="28" t="str">
        <x:f>IF('Course_Master'!F85="","",'Course_Master'!F85)</x:f>
        <x:v>Netherlands</x:v>
      </x:c>
      <x:c r="F85" s="28" t="str">
        <x:f>IF('Course_Master'!G85="","",'Course_Master'!G85)</x:f>
        <x:v>Gelderland</x:v>
      </x:c>
      <x:c r="G85" s="28" t="str">
        <x:f>IF('Course_Master'!H85="","",'Course_Master'!H85)</x:f>
        <x:v>Voorst</x:v>
      </x:c>
      <x:c r="H85" s="28" t="str">
        <x:f>IF('Course_Master'!I85="","",'Course_Master'!I85)</x:f>
        <x:v>Voorst</x:v>
      </x:c>
      <x:c r="I85" s="28" t="str">
        <x:f>IF('Course_Master'!K85="","",'Course_Master'!K85)</x:f>
        <x:v>7383 RP</x:v>
      </x:c>
      <x:c r="J85" s="34" t="n">
        <x:f>IF('Course_Master'!L85="","",'Course_Master'!L85)</x:f>
        <x:v>52.1990305</x:v>
      </x:c>
      <x:c r="K85" s="34" t="n">
        <x:f>IF('Course_Master'!M85="","",'Course_Master'!M85)</x:f>
        <x:v>6.12452028</x:v>
      </x:c>
      <x:c r="L85" s="28" t="n">
        <x:f>IF('Course_Master'!S85="","",'Course_Master'!S85)</x:f>
        <x:v>9</x:v>
      </x:c>
      <x:c r="M85" s="28" t="n">
        <x:f>IF('Course_Master'!T85="","",'Course_Master'!T85)</x:f>
        <x:v>27</x:v>
      </x:c>
      <x:c r="N85" s="28" t="n">
        <x:f>IF('Course_Master'!Q85="","",'Course_Master'!Q85)</x:f>
        <x:v>1052</x:v>
      </x:c>
      <x:c r="O85" s="28" t="n">
        <x:f>IF('Course_Master'!R85="","",'Course_Master'!R85)</x:f>
        <x:v>962</x:v>
      </x:c>
      <x:c r="P85" s="28" t="str">
        <x:f>IF('Course_Master'!U85="","",'Course_Master'!U85)</x:f>
        <x:v>Par-3 course</x:v>
      </x:c>
      <x:c r="Q85" s="28" t="str">
        <x:f>IF('Course_Master'!AD85="","",'Course_Master'!AD85)</x:f>
        <x:v>Public — no playing requirement</x:v>
      </x:c>
      <x:c r="R85" s="28" t="str">
        <x:f>IF('Course_Master'!AC85="","",'Course_Master'!AC85)</x:f>
        <x:v>Open</x:v>
      </x:c>
      <x:c r="S85" s="28" t="str">
        <x:f>IF('Course_Master'!Y85="","",'Course_Master'!Y85)</x:f>
        <x:v>https://www.hollandschegolfclub.nl/golfpark/de-breuninkhof/</x:v>
      </x:c>
      <x:c r="T85" s="28" t="b">
        <x:f>IF('Course_Master'!Z85="","",'Course_Master'!Z85)</x:f>
        <x:v>1</x:v>
      </x:c>
      <x:c r="U85" s="28" t="b">
        <x:f>IF('Course_Master'!AA85="","",'Course_Master'!AA85)</x:f>
        <x:v>1</x:v>
      </x:c>
      <x:c r="V85" s="28" t="str">
        <x:f>IF('Course_Master'!AL85="","",'Course_Master'!AL85)</x:f>
        <x:v>Verified — national register and exact BAG address</x:v>
      </x:c>
    </x:row>
    <x:row r="86">
      <x:c r="A86" s="28" t="str">
        <x:f>IF('Course_Master'!B86="","",'Course_Master'!B86)</x:f>
        <x:v>NL-0085</x:v>
      </x:c>
      <x:c r="B86" s="28" t="str">
        <x:f>IF('Course_Master'!C86="","",'Course_Master'!C86)</x:f>
        <x:v>Keppelse Golfclub — Keppelbaan</x:v>
      </x:c>
      <x:c r="C86" s="28" t="str">
        <x:f>IF('Course_Master'!D86="","",'Course_Master'!D86)</x:f>
        <x:v>Keppelse Golfclub</x:v>
      </x:c>
      <x:c r="D86" s="28" t="str">
        <x:f>IF('Course_Master'!E86="","",'Course_Master'!E86)</x:f>
        <x:v>Keppelbaan</x:v>
      </x:c>
      <x:c r="E86" s="28" t="str">
        <x:f>IF('Course_Master'!F86="","",'Course_Master'!F86)</x:f>
        <x:v>Netherlands</x:v>
      </x:c>
      <x:c r="F86" s="28" t="str">
        <x:f>IF('Course_Master'!G86="","",'Course_Master'!G86)</x:f>
        <x:v>Gelderland</x:v>
      </x:c>
      <x:c r="G86" s="28" t="str">
        <x:f>IF('Course_Master'!H86="","",'Course_Master'!H86)</x:f>
        <x:v>Bronckhorst</x:v>
      </x:c>
      <x:c r="H86" s="28" t="str">
        <x:f>IF('Course_Master'!I86="","",'Course_Master'!I86)</x:f>
        <x:v>Hoog-Keppel</x:v>
      </x:c>
      <x:c r="I86" s="28" t="str">
        <x:f>IF('Course_Master'!K86="","",'Course_Master'!K86)</x:f>
        <x:v>6997 AB</x:v>
      </x:c>
      <x:c r="J86" s="34" t="n">
        <x:f>IF('Course_Master'!L86="","",'Course_Master'!L86)</x:f>
        <x:v>52.00662794</x:v>
      </x:c>
      <x:c r="K86" s="34" t="n">
        <x:f>IF('Course_Master'!M86="","",'Course_Master'!M86)</x:f>
        <x:v>6.2007565</x:v>
      </x:c>
      <x:c r="L86" s="28" t="n">
        <x:f>IF('Course_Master'!S86="","",'Course_Master'!S86)</x:f>
        <x:v>9</x:v>
      </x:c>
      <x:c r="M86" s="28" t="n">
        <x:f>IF('Course_Master'!T86="","",'Course_Master'!T86)</x:f>
        <x:v>35</x:v>
      </x:c>
      <x:c r="N86" s="28" t="n">
        <x:f>IF('Course_Master'!Q86="","",'Course_Master'!Q86)</x:f>
        <x:v>2939</x:v>
      </x:c>
      <x:c r="O86" s="28" t="n">
        <x:f>IF('Course_Master'!R86="","",'Course_Master'!R86)</x:f>
        <x:v>2687</x:v>
      </x:c>
      <x:c r="P86" s="28" t="str">
        <x:f>IF('Course_Master'!U86="","",'Course_Master'!U86)</x:f>
        <x:v>Full-length course</x:v>
      </x:c>
      <x:c r="Q86" s="28" t="str">
        <x:f>IF('Course_Master'!AD86="","",'Course_Master'!AD86)</x:f>
        <x:v>Public — handicap 54 or lower</x:v>
      </x:c>
      <x:c r="R86" s="28" t="str">
        <x:f>IF('Course_Master'!AC86="","",'Course_Master'!AC86)</x:f>
        <x:v>Open</x:v>
      </x:c>
      <x:c r="S86" s="28" t="str">
        <x:f>IF('Course_Master'!Y86="","",'Course_Master'!Y86)</x:f>
        <x:v>https://keppelse.nl/</x:v>
      </x:c>
      <x:c r="T86" s="28" t="b">
        <x:f>IF('Course_Master'!Z86="","",'Course_Master'!Z86)</x:f>
        <x:v>1</x:v>
      </x:c>
      <x:c r="U86" s="28" t="b">
        <x:f>IF('Course_Master'!AA86="","",'Course_Master'!AA86)</x:f>
        <x:v>1</x:v>
      </x:c>
      <x:c r="V86" s="28" t="str">
        <x:f>IF('Course_Master'!AL86="","",'Course_Master'!AL86)</x:f>
        <x:v>Verified — national register and exact BAG address</x:v>
      </x:c>
    </x:row>
    <x:row r="87">
      <x:c r="A87" s="28" t="str">
        <x:f>IF('Course_Master'!B87="","",'Course_Master'!B87)</x:f>
        <x:v>NL-0086</x:v>
      </x:c>
      <x:c r="B87" s="28" t="str">
        <x:f>IF('Course_Master'!C87="","",'Course_Master'!C87)</x:f>
        <x:v>Keppelse Golfclub — Ulenpasbaan</x:v>
      </x:c>
      <x:c r="C87" s="28" t="str">
        <x:f>IF('Course_Master'!D87="","",'Course_Master'!D87)</x:f>
        <x:v>Keppelse Golfclub</x:v>
      </x:c>
      <x:c r="D87" s="28" t="str">
        <x:f>IF('Course_Master'!E87="","",'Course_Master'!E87)</x:f>
        <x:v>Ulenpasbaan</x:v>
      </x:c>
      <x:c r="E87" s="28" t="str">
        <x:f>IF('Course_Master'!F87="","",'Course_Master'!F87)</x:f>
        <x:v>Netherlands</x:v>
      </x:c>
      <x:c r="F87" s="28" t="str">
        <x:f>IF('Course_Master'!G87="","",'Course_Master'!G87)</x:f>
        <x:v>Gelderland</x:v>
      </x:c>
      <x:c r="G87" s="28" t="str">
        <x:f>IF('Course_Master'!H87="","",'Course_Master'!H87)</x:f>
        <x:v>Bronckhorst</x:v>
      </x:c>
      <x:c r="H87" s="28" t="str">
        <x:f>IF('Course_Master'!I87="","",'Course_Master'!I87)</x:f>
        <x:v>Hoog-Keppel</x:v>
      </x:c>
      <x:c r="I87" s="28" t="str">
        <x:f>IF('Course_Master'!K87="","",'Course_Master'!K87)</x:f>
        <x:v>6997 AB</x:v>
      </x:c>
      <x:c r="J87" s="34" t="n">
        <x:f>IF('Course_Master'!L87="","",'Course_Master'!L87)</x:f>
        <x:v>52.00662794</x:v>
      </x:c>
      <x:c r="K87" s="34" t="n">
        <x:f>IF('Course_Master'!M87="","",'Course_Master'!M87)</x:f>
        <x:v>6.2007565</x:v>
      </x:c>
      <x:c r="L87" s="28" t="n">
        <x:f>IF('Course_Master'!S87="","",'Course_Master'!S87)</x:f>
        <x:v>9</x:v>
      </x:c>
      <x:c r="M87" s="28" t="n">
        <x:f>IF('Course_Master'!T87="","",'Course_Master'!T87)</x:f>
        <x:v>36</x:v>
      </x:c>
      <x:c r="N87" s="28" t="n">
        <x:f>IF('Course_Master'!Q87="","",'Course_Master'!Q87)</x:f>
        <x:v>3328</x:v>
      </x:c>
      <x:c r="O87" s="28" t="n">
        <x:f>IF('Course_Master'!R87="","",'Course_Master'!R87)</x:f>
        <x:v>3043</x:v>
      </x:c>
      <x:c r="P87" s="28" t="str">
        <x:f>IF('Course_Master'!U87="","",'Course_Master'!U87)</x:f>
        <x:v>Full-length course</x:v>
      </x:c>
      <x:c r="Q87" s="28" t="str">
        <x:f>IF('Course_Master'!AD87="","",'Course_Master'!AD87)</x:f>
        <x:v>Public — handicap 54 or lower</x:v>
      </x:c>
      <x:c r="R87" s="28" t="str">
        <x:f>IF('Course_Master'!AC87="","",'Course_Master'!AC87)</x:f>
        <x:v>Open</x:v>
      </x:c>
      <x:c r="S87" s="28" t="str">
        <x:f>IF('Course_Master'!Y87="","",'Course_Master'!Y87)</x:f>
        <x:v>https://keppelse.nl/</x:v>
      </x:c>
      <x:c r="T87" s="28" t="b">
        <x:f>IF('Course_Master'!Z87="","",'Course_Master'!Z87)</x:f>
        <x:v>1</x:v>
      </x:c>
      <x:c r="U87" s="28" t="b">
        <x:f>IF('Course_Master'!AA87="","",'Course_Master'!AA87)</x:f>
        <x:v>1</x:v>
      </x:c>
      <x:c r="V87" s="28" t="str">
        <x:f>IF('Course_Master'!AL87="","",'Course_Master'!AL87)</x:f>
        <x:v>Verified — national register and exact BAG address</x:v>
      </x:c>
    </x:row>
    <x:row r="88">
      <x:c r="A88" s="28" t="str">
        <x:f>IF('Course_Master'!B88="","",'Course_Master'!B88)</x:f>
        <x:v>NL-0087</x:v>
      </x:c>
      <x:c r="B88" s="28" t="str">
        <x:f>IF('Course_Master'!C88="","",'Course_Master'!C88)</x:f>
        <x:v>Landgoed Ullerberg</x:v>
      </x:c>
      <x:c r="C88" s="28" t="str">
        <x:f>IF('Course_Master'!D88="","",'Course_Master'!D88)</x:f>
        <x:v>Landgoed Ullerberg</x:v>
      </x:c>
      <x:c r="D88" s="28" t="str">
        <x:f>IF('Course_Master'!E88="","",'Course_Master'!E88)</x:f>
        <x:v>Course</x:v>
      </x:c>
      <x:c r="E88" s="28" t="str">
        <x:f>IF('Course_Master'!F88="","",'Course_Master'!F88)</x:f>
        <x:v>Netherlands</x:v>
      </x:c>
      <x:c r="F88" s="28" t="str">
        <x:f>IF('Course_Master'!G88="","",'Course_Master'!G88)</x:f>
        <x:v>Gelderland</x:v>
      </x:c>
      <x:c r="G88" s="28" t="str">
        <x:f>IF('Course_Master'!H88="","",'Course_Master'!H88)</x:f>
        <x:v>Ermelo</x:v>
      </x:c>
      <x:c r="H88" s="28" t="str">
        <x:f>IF('Course_Master'!I88="","",'Course_Master'!I88)</x:f>
        <x:v>Ermelo</x:v>
      </x:c>
      <x:c r="I88" s="28" t="str">
        <x:f>IF('Course_Master'!K88="","",'Course_Master'!K88)</x:f>
        <x:v>3852 PT</x:v>
      </x:c>
      <x:c r="J88" s="34" t="n">
        <x:f>IF('Course_Master'!L88="","",'Course_Master'!L88)</x:f>
        <x:v>52.30018685</x:v>
      </x:c>
      <x:c r="K88" s="34" t="n">
        <x:f>IF('Course_Master'!M88="","",'Course_Master'!M88)</x:f>
        <x:v>5.70542467</x:v>
      </x:c>
      <x:c r="L88" s="28" t="n">
        <x:f>IF('Course_Master'!S88="","",'Course_Master'!S88)</x:f>
        <x:v>9</x:v>
      </x:c>
      <x:c r="M88" s="28" t="n">
        <x:f>IF('Course_Master'!T88="","",'Course_Master'!T88)</x:f>
        <x:v>36</x:v>
      </x:c>
      <x:c r="N88" s="28" t="n">
        <x:f>IF('Course_Master'!Q88="","",'Course_Master'!Q88)</x:f>
        <x:v>2542</x:v>
      </x:c>
      <x:c r="O88" s="28" t="n">
        <x:f>IF('Course_Master'!R88="","",'Course_Master'!R88)</x:f>
        <x:v>2324</x:v>
      </x:c>
      <x:c r="P88" s="28" t="str">
        <x:f>IF('Course_Master'!U88="","",'Course_Master'!U88)</x:f>
        <x:v>Full-length course</x:v>
      </x:c>
      <x:c r="Q88" s="28" t="str">
        <x:f>IF('Course_Master'!AD88="","",'Course_Master'!AD88)</x:f>
        <x:v>Public — no playing requirement</x:v>
      </x:c>
      <x:c r="R88" s="28" t="str">
        <x:f>IF('Course_Master'!AC88="","",'Course_Master'!AC88)</x:f>
        <x:v>Open</x:v>
      </x:c>
      <x:c r="S88" s="28" t="str">
        <x:f>IF('Course_Master'!Y88="","",'Course_Master'!Y88)</x:f>
        <x:v>https://www.ullerberg.nl/index.html</x:v>
      </x:c>
      <x:c r="T88" s="28" t="b">
        <x:f>IF('Course_Master'!Z88="","",'Course_Master'!Z88)</x:f>
        <x:v>1</x:v>
      </x:c>
      <x:c r="U88" s="28" t="b">
        <x:f>IF('Course_Master'!AA88="","",'Course_Master'!AA88)</x:f>
        <x:v>1</x:v>
      </x:c>
      <x:c r="V88" s="28" t="str">
        <x:f>IF('Course_Master'!AL88="","",'Course_Master'!AL88)</x:f>
        <x:v>Verified — national register and exact BAG address</x:v>
      </x:c>
    </x:row>
    <x:row r="89">
      <x:c r="A89" s="28" t="str">
        <x:f>IF('Course_Master'!B89="","",'Course_Master'!B89)</x:f>
        <x:v>NL-0088</x:v>
      </x:c>
      <x:c r="B89" s="28" t="str">
        <x:f>IF('Course_Master'!C89="","",'Course_Master'!C89)</x:f>
        <x:v>Lochemse Golfclub — Main Course</x:v>
      </x:c>
      <x:c r="C89" s="28" t="str">
        <x:f>IF('Course_Master'!D89="","",'Course_Master'!D89)</x:f>
        <x:v>Lochemse Golfclub</x:v>
      </x:c>
      <x:c r="D89" s="28" t="str">
        <x:f>IF('Course_Master'!E89="","",'Course_Master'!E89)</x:f>
        <x:v>Main Course</x:v>
      </x:c>
      <x:c r="E89" s="28" t="str">
        <x:f>IF('Course_Master'!F89="","",'Course_Master'!F89)</x:f>
        <x:v>Netherlands</x:v>
      </x:c>
      <x:c r="F89" s="28" t="str">
        <x:f>IF('Course_Master'!G89="","",'Course_Master'!G89)</x:f>
        <x:v>Gelderland</x:v>
      </x:c>
      <x:c r="G89" s="28" t="str">
        <x:f>IF('Course_Master'!H89="","",'Course_Master'!H89)</x:f>
        <x:v>Lochem</x:v>
      </x:c>
      <x:c r="H89" s="28" t="str">
        <x:f>IF('Course_Master'!I89="","",'Course_Master'!I89)</x:f>
        <x:v>Lochem</x:v>
      </x:c>
      <x:c r="I89" s="28" t="str">
        <x:f>IF('Course_Master'!K89="","",'Course_Master'!K89)</x:f>
        <x:v>7241 RR</x:v>
      </x:c>
      <x:c r="J89" s="34" t="n">
        <x:f>IF('Course_Master'!L89="","",'Course_Master'!L89)</x:f>
        <x:v>52.138589</x:v>
      </x:c>
      <x:c r="K89" s="34" t="n">
        <x:f>IF('Course_Master'!M89="","",'Course_Master'!M89)</x:f>
        <x:v>6.35975835</x:v>
      </x:c>
      <x:c r="L89" s="28" t="n">
        <x:f>IF('Course_Master'!S89="","",'Course_Master'!S89)</x:f>
        <x:v>18</x:v>
      </x:c>
      <x:c r="M89" s="28" t="n">
        <x:f>IF('Course_Master'!T89="","",'Course_Master'!T89)</x:f>
        <x:v>72</x:v>
      </x:c>
      <x:c r="N89" s="28" t="n">
        <x:f>IF('Course_Master'!Q89="","",'Course_Master'!Q89)</x:f>
        <x:v>6877</x:v>
      </x:c>
      <x:c r="O89" s="28" t="n">
        <x:f>IF('Course_Master'!R89="","",'Course_Master'!R89)</x:f>
        <x:v>6288</x:v>
      </x:c>
      <x:c r="P89" s="28" t="str">
        <x:f>IF('Course_Master'!U89="","",'Course_Master'!U89)</x:f>
        <x:v>Full-length course</x:v>
      </x:c>
      <x:c r="Q89" s="28" t="str">
        <x:f>IF('Course_Master'!AD89="","",'Course_Master'!AD89)</x:f>
        <x:v>Public — handicap 54 or lower</x:v>
      </x:c>
      <x:c r="R89" s="28" t="str">
        <x:f>IF('Course_Master'!AC89="","",'Course_Master'!AC89)</x:f>
        <x:v>Open</x:v>
      </x:c>
      <x:c r="S89" s="28" t="str">
        <x:f>IF('Course_Master'!Y89="","",'Course_Master'!Y89)</x:f>
        <x:v>https://www.lochemsegolfclub.nl/</x:v>
      </x:c>
      <x:c r="T89" s="28" t="b">
        <x:f>IF('Course_Master'!Z89="","",'Course_Master'!Z89)</x:f>
        <x:v>1</x:v>
      </x:c>
      <x:c r="U89" s="28" t="b">
        <x:f>IF('Course_Master'!AA89="","",'Course_Master'!AA89)</x:f>
        <x:v>1</x:v>
      </x:c>
      <x:c r="V89" s="28" t="str">
        <x:f>IF('Course_Master'!AL89="","",'Course_Master'!AL89)</x:f>
        <x:v>Verified — national register and exact BAG address</x:v>
      </x:c>
    </x:row>
    <x:row r="90">
      <x:c r="A90" s="28" t="str">
        <x:f>IF('Course_Master'!B90="","",'Course_Master'!B90)</x:f>
        <x:v>NL-0089</x:v>
      </x:c>
      <x:c r="B90" s="28" t="str">
        <x:f>IF('Course_Master'!C90="","",'Course_Master'!C90)</x:f>
        <x:v>Multi Fun Pitch &amp; Putt Golf Bussloo — Shortgolf / Pitch &amp; Putt Course</x:v>
      </x:c>
      <x:c r="C90" s="28" t="str">
        <x:f>IF('Course_Master'!D90="","",'Course_Master'!D90)</x:f>
        <x:v>Multi Fun Pitch &amp; Putt Golf Bussloo</x:v>
      </x:c>
      <x:c r="D90" s="28" t="str">
        <x:f>IF('Course_Master'!E90="","",'Course_Master'!E90)</x:f>
        <x:v>Shortgolf / Pitch &amp; Putt Course</x:v>
      </x:c>
      <x:c r="E90" s="28" t="str">
        <x:f>IF('Course_Master'!F90="","",'Course_Master'!F90)</x:f>
        <x:v>Netherlands</x:v>
      </x:c>
      <x:c r="F90" s="28" t="str">
        <x:f>IF('Course_Master'!G90="","",'Course_Master'!G90)</x:f>
        <x:v>Gelderland</x:v>
      </x:c>
      <x:c r="G90" s="28" t="str">
        <x:f>IF('Course_Master'!H90="","",'Course_Master'!H90)</x:f>
        <x:v>Voorst</x:v>
      </x:c>
      <x:c r="H90" s="28" t="str">
        <x:f>IF('Course_Master'!I90="","",'Course_Master'!I90)</x:f>
        <x:v>Wilp</x:v>
      </x:c>
      <x:c r="I90" s="28" t="str">
        <x:f>IF('Course_Master'!K90="","",'Course_Master'!K90)</x:f>
        <x:v>7384 SB</x:v>
      </x:c>
      <x:c r="J90" s="34" t="n">
        <x:f>IF('Course_Master'!L90="","",'Course_Master'!L90)</x:f>
        <x:v>52.20137709</x:v>
      </x:c>
      <x:c r="K90" s="34" t="n">
        <x:f>IF('Course_Master'!M90="","",'Course_Master'!M90)</x:f>
        <x:v>6.09191931</x:v>
      </x:c>
      <x:c r="L90" s="28" t="n">
        <x:f>IF('Course_Master'!S90="","",'Course_Master'!S90)</x:f>
        <x:v>27</x:v>
      </x:c>
      <x:c r="M90" s="28" t="n">
        <x:f>IF('Course_Master'!T90="","",'Course_Master'!T90)</x:f>
        <x:v>81</x:v>
      </x:c>
      <x:c r="N90" s="28" t="n">
        <x:f>IF('Course_Master'!Q90="","",'Course_Master'!Q90)</x:f>
        <x:v>1574</x:v>
      </x:c>
      <x:c r="O90" s="28" t="n">
        <x:f>IF('Course_Master'!R90="","",'Course_Master'!R90)</x:f>
        <x:v>1439</x:v>
      </x:c>
      <x:c r="P90" s="28" t="str">
        <x:f>IF('Course_Master'!U90="","",'Course_Master'!U90)</x:f>
        <x:v>Shortgolf / Pitch &amp; Putt</x:v>
      </x:c>
      <x:c r="Q90" s="28" t="str">
        <x:f>IF('Course_Master'!AD90="","",'Course_Master'!AD90)</x:f>
        <x:v>Public — no playing requirement</x:v>
      </x:c>
      <x:c r="R90" s="28" t="str">
        <x:f>IF('Course_Master'!AC90="","",'Course_Master'!AC90)</x:f>
        <x:v>Open</x:v>
      </x:c>
      <x:c r="S90" s="28" t="str">
        <x:f>IF('Course_Master'!Y90="","",'Course_Master'!Y90)</x:f>
        <x:v>https://multifunbussloo.nl/outdoor/pitch-en-putt/</x:v>
      </x:c>
      <x:c r="T90" s="28" t="b">
        <x:f>IF('Course_Master'!Z90="","",'Course_Master'!Z90)</x:f>
        <x:v>1</x:v>
      </x:c>
      <x:c r="U90" s="28" t="b">
        <x:f>IF('Course_Master'!AA90="","",'Course_Master'!AA90)</x:f>
        <x:v>1</x:v>
      </x:c>
      <x:c r="V90" s="28" t="str">
        <x:f>IF('Course_Master'!AL90="","",'Course_Master'!AL90)</x:f>
        <x:v>Verified — national register and exact BAG address</x:v>
      </x:c>
    </x:row>
    <x:row r="91">
      <x:c r="A91" s="28" t="str">
        <x:f>IF('Course_Master'!B91="","",'Course_Master'!B91)</x:f>
        <x:v>NL-0090</x:v>
      </x:c>
      <x:c r="B91" s="28" t="str">
        <x:f>IF('Course_Master'!C91="","",'Course_Master'!C91)</x:f>
        <x:v>Pitch &amp; Putt Golf Doetinchem — Fungolfbaan</x:v>
      </x:c>
      <x:c r="C91" s="28" t="str">
        <x:f>IF('Course_Master'!D91="","",'Course_Master'!D91)</x:f>
        <x:v>Pitch &amp; Putt Golf Doetinchem</x:v>
      </x:c>
      <x:c r="D91" s="28" t="str">
        <x:f>IF('Course_Master'!E91="","",'Course_Master'!E91)</x:f>
        <x:v>Fungolfbaan</x:v>
      </x:c>
      <x:c r="E91" s="28" t="str">
        <x:f>IF('Course_Master'!F91="","",'Course_Master'!F91)</x:f>
        <x:v>Netherlands</x:v>
      </x:c>
      <x:c r="F91" s="28" t="str">
        <x:f>IF('Course_Master'!G91="","",'Course_Master'!G91)</x:f>
        <x:v>Gelderland</x:v>
      </x:c>
      <x:c r="G91" s="28" t="str">
        <x:f>IF('Course_Master'!H91="","",'Course_Master'!H91)</x:f>
        <x:v>Doetinchem</x:v>
      </x:c>
      <x:c r="H91" s="28" t="str">
        <x:f>IF('Course_Master'!I91="","",'Course_Master'!I91)</x:f>
        <x:v>Doetinchem</x:v>
      </x:c>
      <x:c r="I91" s="28" t="str">
        <x:f>IF('Course_Master'!K91="","",'Course_Master'!K91)</x:f>
        <x:v>7006 GG</x:v>
      </x:c>
      <x:c r="J91" s="34" t="n">
        <x:f>IF('Course_Master'!L91="","",'Course_Master'!L91)</x:f>
        <x:v>51.96812118</x:v>
      </x:c>
      <x:c r="K91" s="34" t="n">
        <x:f>IF('Course_Master'!M91="","",'Course_Master'!M91)</x:f>
        <x:v>6.23682451</x:v>
      </x:c>
      <x:c r="L91" s="28" t="n">
        <x:f>IF('Course_Master'!S91="","",'Course_Master'!S91)</x:f>
        <x:v>18</x:v>
      </x:c>
      <x:c r="M91" s="28" t="n">
        <x:f>IF('Course_Master'!T91="","",'Course_Master'!T91)</x:f>
        <x:v>54</x:v>
      </x:c>
      <x:c r="N91" s="28" t="n">
        <x:f>IF('Course_Master'!Q91="","",'Course_Master'!Q91)</x:f>
        <x:v>984</x:v>
      </x:c>
      <x:c r="O91" s="28" t="n">
        <x:f>IF('Course_Master'!R91="","",'Course_Master'!R91)</x:f>
        <x:v>900</x:v>
      </x:c>
      <x:c r="P91" s="28" t="str">
        <x:f>IF('Course_Master'!U91="","",'Course_Master'!U91)</x:f>
        <x:v>Shortgolf / Pitch &amp; Putt</x:v>
      </x:c>
      <x:c r="Q91" s="28" t="str">
        <x:f>IF('Course_Master'!AD91="","",'Course_Master'!AD91)</x:f>
        <x:v>Public — no playing requirement</x:v>
      </x:c>
      <x:c r="R91" s="28" t="str">
        <x:f>IF('Course_Master'!AC91="","",'Course_Master'!AC91)</x:f>
        <x:v>Open</x:v>
      </x:c>
      <x:c r="S91" s="28" t="str">
        <x:f>IF('Course_Master'!Y91="","",'Course_Master'!Y91)</x:f>
        <x:v>https://pitch-putt-doetinchem.nl/</x:v>
      </x:c>
      <x:c r="T91" s="28" t="b">
        <x:f>IF('Course_Master'!Z91="","",'Course_Master'!Z91)</x:f>
        <x:v>1</x:v>
      </x:c>
      <x:c r="U91" s="28" t="b">
        <x:f>IF('Course_Master'!AA91="","",'Course_Master'!AA91)</x:f>
        <x:v>1</x:v>
      </x:c>
      <x:c r="V91" s="28" t="str">
        <x:f>IF('Course_Master'!AL91="","",'Course_Master'!AL91)</x:f>
        <x:v>Verified — national register and exact BAG address</x:v>
      </x:c>
    </x:row>
    <x:row r="92">
      <x:c r="A92" s="28" t="str">
        <x:f>IF('Course_Master'!B92="","",'Course_Master'!B92)</x:f>
        <x:v>NL-0091</x:v>
      </x:c>
      <x:c r="B92" s="28" t="str">
        <x:f>IF('Course_Master'!C92="","",'Course_Master'!C92)</x:f>
        <x:v>Pitch &amp; Putt Golf Doetinchem — Par-3 Course</x:v>
      </x:c>
      <x:c r="C92" s="28" t="str">
        <x:f>IF('Course_Master'!D92="","",'Course_Master'!D92)</x:f>
        <x:v>Pitch &amp; Putt Golf Doetinchem</x:v>
      </x:c>
      <x:c r="D92" s="28" t="str">
        <x:f>IF('Course_Master'!E92="","",'Course_Master'!E92)</x:f>
        <x:v>Par-3 Course</x:v>
      </x:c>
      <x:c r="E92" s="28" t="str">
        <x:f>IF('Course_Master'!F92="","",'Course_Master'!F92)</x:f>
        <x:v>Netherlands</x:v>
      </x:c>
      <x:c r="F92" s="28" t="str">
        <x:f>IF('Course_Master'!G92="","",'Course_Master'!G92)</x:f>
        <x:v>Gelderland</x:v>
      </x:c>
      <x:c r="G92" s="28" t="str">
        <x:f>IF('Course_Master'!H92="","",'Course_Master'!H92)</x:f>
        <x:v>Doetinchem</x:v>
      </x:c>
      <x:c r="H92" s="28" t="str">
        <x:f>IF('Course_Master'!I92="","",'Course_Master'!I92)</x:f>
        <x:v>Doetinchem</x:v>
      </x:c>
      <x:c r="I92" s="28" t="str">
        <x:f>IF('Course_Master'!K92="","",'Course_Master'!K92)</x:f>
        <x:v>7006 GG</x:v>
      </x:c>
      <x:c r="J92" s="34" t="n">
        <x:f>IF('Course_Master'!L92="","",'Course_Master'!L92)</x:f>
        <x:v>51.96812118</x:v>
      </x:c>
      <x:c r="K92" s="34" t="n">
        <x:f>IF('Course_Master'!M92="","",'Course_Master'!M92)</x:f>
        <x:v>6.23682451</x:v>
      </x:c>
      <x:c r="L92" s="28" t="n">
        <x:f>IF('Course_Master'!S92="","",'Course_Master'!S92)</x:f>
        <x:v>9</x:v>
      </x:c>
      <x:c r="M92" s="28" t="n">
        <x:f>IF('Course_Master'!T92="","",'Course_Master'!T92)</x:f>
        <x:v>27</x:v>
      </x:c>
      <x:c r="N92" s="28" t="n">
        <x:f>IF('Course_Master'!Q92="","",'Course_Master'!Q92)</x:f>
        <x:v>772</x:v>
      </x:c>
      <x:c r="O92" s="28" t="n">
        <x:f>IF('Course_Master'!R92="","",'Course_Master'!R92)</x:f>
        <x:v>706</x:v>
      </x:c>
      <x:c r="P92" s="28" t="str">
        <x:f>IF('Course_Master'!U92="","",'Course_Master'!U92)</x:f>
        <x:v>Par-3 course</x:v>
      </x:c>
      <x:c r="Q92" s="28" t="str">
        <x:f>IF('Course_Master'!AD92="","",'Course_Master'!AD92)</x:f>
        <x:v>Public — no playing requirement</x:v>
      </x:c>
      <x:c r="R92" s="28" t="str">
        <x:f>IF('Course_Master'!AC92="","",'Course_Master'!AC92)</x:f>
        <x:v>Open</x:v>
      </x:c>
      <x:c r="S92" s="28" t="str">
        <x:f>IF('Course_Master'!Y92="","",'Course_Master'!Y92)</x:f>
        <x:v>https://pitch-putt-doetinchem.nl/</x:v>
      </x:c>
      <x:c r="T92" s="28" t="b">
        <x:f>IF('Course_Master'!Z92="","",'Course_Master'!Z92)</x:f>
        <x:v>1</x:v>
      </x:c>
      <x:c r="U92" s="28" t="b">
        <x:f>IF('Course_Master'!AA92="","",'Course_Master'!AA92)</x:f>
        <x:v>1</x:v>
      </x:c>
      <x:c r="V92" s="28" t="str">
        <x:f>IF('Course_Master'!AL92="","",'Course_Master'!AL92)</x:f>
        <x:v>Verified — national register and exact BAG address</x:v>
      </x:c>
    </x:row>
    <x:row r="93">
      <x:c r="A93" s="28" t="str">
        <x:f>IF('Course_Master'!B93="","",'Course_Master'!B93)</x:f>
        <x:v>NL-0092</x:v>
      </x:c>
      <x:c r="B93" s="28" t="str">
        <x:f>IF('Course_Master'!C93="","",'Course_Master'!C93)</x:f>
        <x:v>Pitch &amp; putt Heerde — Shortgolf / Pitch &amp; Putt Course</x:v>
      </x:c>
      <x:c r="C93" s="28" t="str">
        <x:f>IF('Course_Master'!D93="","",'Course_Master'!D93)</x:f>
        <x:v>Pitch &amp; putt Heerde</x:v>
      </x:c>
      <x:c r="D93" s="28" t="str">
        <x:f>IF('Course_Master'!E93="","",'Course_Master'!E93)</x:f>
        <x:v>Shortgolf / Pitch &amp; Putt Course</x:v>
      </x:c>
      <x:c r="E93" s="28" t="str">
        <x:f>IF('Course_Master'!F93="","",'Course_Master'!F93)</x:f>
        <x:v>Netherlands</x:v>
      </x:c>
      <x:c r="F93" s="28" t="str">
        <x:f>IF('Course_Master'!G93="","",'Course_Master'!G93)</x:f>
        <x:v>Gelderland</x:v>
      </x:c>
      <x:c r="G93" s="28" t="str">
        <x:f>IF('Course_Master'!H93="","",'Course_Master'!H93)</x:f>
        <x:v>Heerde</x:v>
      </x:c>
      <x:c r="H93" s="28" t="str">
        <x:f>IF('Course_Master'!I93="","",'Course_Master'!I93)</x:f>
        <x:v>Heerde</x:v>
      </x:c>
      <x:c r="I93" s="28" t="str">
        <x:f>IF('Course_Master'!K93="","",'Course_Master'!K93)</x:f>
        <x:v>8181 NV</x:v>
      </x:c>
      <x:c r="J93" s="34" t="n">
        <x:f>IF('Course_Master'!L93="","",'Course_Master'!L93)</x:f>
        <x:v>52.39803356</x:v>
      </x:c>
      <x:c r="K93" s="34" t="n">
        <x:f>IF('Course_Master'!M93="","",'Course_Master'!M93)</x:f>
        <x:v>6.0121304</x:v>
      </x:c>
      <x:c r="L93" s="28" t="n">
        <x:f>IF('Course_Master'!S93="","",'Course_Master'!S93)</x:f>
        <x:v>18</x:v>
      </x:c>
      <x:c r="M93" s="28" t="n">
        <x:f>IF('Course_Master'!T93="","",'Course_Master'!T93)</x:f>
        <x:v>54</x:v>
      </x:c>
      <x:c r="N93" s="28" t="n">
        <x:f>IF('Course_Master'!Q93="","",'Course_Master'!Q93)</x:f>
        <x:v>1043</x:v>
      </x:c>
      <x:c r="O93" s="28" t="n">
        <x:f>IF('Course_Master'!R93="","",'Course_Master'!R93)</x:f>
        <x:v>954</x:v>
      </x:c>
      <x:c r="P93" s="28" t="str">
        <x:f>IF('Course_Master'!U93="","",'Course_Master'!U93)</x:f>
        <x:v>Shortgolf / Pitch &amp; Putt</x:v>
      </x:c>
      <x:c r="Q93" s="28" t="str">
        <x:f>IF('Course_Master'!AD93="","",'Course_Master'!AD93)</x:f>
        <x:v>Public — no playing requirement</x:v>
      </x:c>
      <x:c r="R93" s="28" t="str">
        <x:f>IF('Course_Master'!AC93="","",'Course_Master'!AC93)</x:f>
        <x:v>Open</x:v>
      </x:c>
      <x:c r="S93" s="28" t="str">
        <x:f>IF('Course_Master'!Y93="","",'Course_Master'!Y93)</x:f>
        <x:v>https://www.pitchenputtheerde.nl/</x:v>
      </x:c>
      <x:c r="T93" s="28" t="b">
        <x:f>IF('Course_Master'!Z93="","",'Course_Master'!Z93)</x:f>
        <x:v>1</x:v>
      </x:c>
      <x:c r="U93" s="28" t="b">
        <x:f>IF('Course_Master'!AA93="","",'Course_Master'!AA93)</x:f>
        <x:v>1</x:v>
      </x:c>
      <x:c r="V93" s="28" t="str">
        <x:f>IF('Course_Master'!AL93="","",'Course_Master'!AL93)</x:f>
        <x:v>Verified — national register and exact BAG address</x:v>
      </x:c>
    </x:row>
    <x:row r="94">
      <x:c r="A94" s="28" t="str">
        <x:f>IF('Course_Master'!B94="","",'Course_Master'!B94)</x:f>
        <x:v>NL-0093</x:v>
      </x:c>
      <x:c r="B94" s="28" t="str">
        <x:f>IF('Course_Master'!C94="","",'Course_Master'!C94)</x:f>
        <x:v>Pitch &amp; Putt Maurik — Shortgolf / Pitch &amp; Putt Course</x:v>
      </x:c>
      <x:c r="C94" s="28" t="str">
        <x:f>IF('Course_Master'!D94="","",'Course_Master'!D94)</x:f>
        <x:v>Pitch &amp; Putt Maurik</x:v>
      </x:c>
      <x:c r="D94" s="28" t="str">
        <x:f>IF('Course_Master'!E94="","",'Course_Master'!E94)</x:f>
        <x:v>Shortgolf / Pitch &amp; Putt Course</x:v>
      </x:c>
      <x:c r="E94" s="28" t="str">
        <x:f>IF('Course_Master'!F94="","",'Course_Master'!F94)</x:f>
        <x:v>Netherlands</x:v>
      </x:c>
      <x:c r="F94" s="28" t="str">
        <x:f>IF('Course_Master'!G94="","",'Course_Master'!G94)</x:f>
        <x:v>Gelderland</x:v>
      </x:c>
      <x:c r="G94" s="28" t="str">
        <x:f>IF('Course_Master'!H94="","",'Course_Master'!H94)</x:f>
        <x:v>Buren</x:v>
      </x:c>
      <x:c r="H94" s="28" t="str">
        <x:f>IF('Course_Master'!I94="","",'Course_Master'!I94)</x:f>
        <x:v>Maurik</x:v>
      </x:c>
      <x:c r="I94" s="28" t="str">
        <x:f>IF('Course_Master'!K94="","",'Course_Master'!K94)</x:f>
        <x:v>4021 GG</x:v>
      </x:c>
      <x:c r="J94" s="34" t="n">
        <x:f>IF('Course_Master'!L94="","",'Course_Master'!L94)</x:f>
        <x:v>51.97524247</x:v>
      </x:c>
      <x:c r="K94" s="34" t="n">
        <x:f>IF('Course_Master'!M94="","",'Course_Master'!M94)</x:f>
        <x:v>5.41982054</x:v>
      </x:c>
      <x:c r="L94" s="28" t="n">
        <x:f>IF('Course_Master'!S94="","",'Course_Master'!S94)</x:f>
        <x:v>18</x:v>
      </x:c>
      <x:c r="M94" s="28" t="n">
        <x:f>IF('Course_Master'!T94="","",'Course_Master'!T94)</x:f>
        <x:v>54</x:v>
      </x:c>
      <x:c r="N94" s="28" t="n">
        <x:f>IF('Course_Master'!Q94="","",'Course_Master'!Q94)</x:f>
        <x:v>1182</x:v>
      </x:c>
      <x:c r="O94" s="28" t="n">
        <x:f>IF('Course_Master'!R94="","",'Course_Master'!R94)</x:f>
        <x:v>1081</x:v>
      </x:c>
      <x:c r="P94" s="28" t="str">
        <x:f>IF('Course_Master'!U94="","",'Course_Master'!U94)</x:f>
        <x:v>Shortgolf / Pitch &amp; Putt</x:v>
      </x:c>
      <x:c r="Q94" s="28" t="str">
        <x:f>IF('Course_Master'!AD94="","",'Course_Master'!AD94)</x:f>
        <x:v>Public — no playing requirement</x:v>
      </x:c>
      <x:c r="R94" s="28" t="str">
        <x:f>IF('Course_Master'!AC94="","",'Course_Master'!AC94)</x:f>
        <x:v>Open</x:v>
      </x:c>
      <x:c r="S94" s="28" t="str">
        <x:f>IF('Course_Master'!Y94="","",'Course_Master'!Y94)</x:f>
        <x:v>https://www.multigolf.nl/</x:v>
      </x:c>
      <x:c r="T94" s="28" t="b">
        <x:f>IF('Course_Master'!Z94="","",'Course_Master'!Z94)</x:f>
        <x:v>1</x:v>
      </x:c>
      <x:c r="U94" s="28" t="b">
        <x:f>IF('Course_Master'!AA94="","",'Course_Master'!AA94)</x:f>
        <x:v>1</x:v>
      </x:c>
      <x:c r="V94" s="28" t="str">
        <x:f>IF('Course_Master'!AL94="","",'Course_Master'!AL94)</x:f>
        <x:v>Verified — national register and exact BAG address</x:v>
      </x:c>
    </x:row>
    <x:row r="95">
      <x:c r="A95" s="28" t="str">
        <x:f>IF('Course_Master'!B95="","",'Course_Master'!B95)</x:f>
        <x:v>NL-0094</x:v>
      </x:c>
      <x:c r="B95" s="28" t="str">
        <x:f>IF('Course_Master'!C95="","",'Course_Master'!C95)</x:f>
        <x:v>Pitch &amp; Putt Molenhoek — Shortgolf / Pitch &amp; Putt Course</x:v>
      </x:c>
      <x:c r="C95" s="28" t="str">
        <x:f>IF('Course_Master'!D95="","",'Course_Master'!D95)</x:f>
        <x:v>Pitch &amp; Putt Molenhoek</x:v>
      </x:c>
      <x:c r="D95" s="28" t="str">
        <x:f>IF('Course_Master'!E95="","",'Course_Master'!E95)</x:f>
        <x:v>Shortgolf / Pitch &amp; Putt Course</x:v>
      </x:c>
      <x:c r="E95" s="28" t="str">
        <x:f>IF('Course_Master'!F95="","",'Course_Master'!F95)</x:f>
        <x:v>Netherlands</x:v>
      </x:c>
      <x:c r="F95" s="28" t="str">
        <x:f>IF('Course_Master'!G95="","",'Course_Master'!G95)</x:f>
        <x:v>Gelderland</x:v>
      </x:c>
      <x:c r="G95" s="28" t="str">
        <x:f>IF('Course_Master'!H95="","",'Course_Master'!H95)</x:f>
        <x:v>Mook en Middelaar</x:v>
      </x:c>
      <x:c r="H95" s="28" t="str">
        <x:f>IF('Course_Master'!I95="","",'Course_Master'!I95)</x:f>
        <x:v>Molenhoek</x:v>
      </x:c>
      <x:c r="I95" s="28" t="str">
        <x:f>IF('Course_Master'!K95="","",'Course_Master'!K95)</x:f>
        <x:v>6584 DC</x:v>
      </x:c>
      <x:c r="J95" s="34" t="n">
        <x:f>IF('Course_Master'!L95="","",'Course_Master'!L95)</x:f>
        <x:v>51.77543134</x:v>
      </x:c>
      <x:c r="K95" s="34" t="n">
        <x:f>IF('Course_Master'!M95="","",'Course_Master'!M95)</x:f>
        <x:v>5.87561356</x:v>
      </x:c>
      <x:c r="L95" s="28" t="n">
        <x:f>IF('Course_Master'!S95="","",'Course_Master'!S95)</x:f>
        <x:v>18</x:v>
      </x:c>
      <x:c r="M95" s="28" t="n">
        <x:f>IF('Course_Master'!T95="","",'Course_Master'!T95)</x:f>
        <x:v>54</x:v>
      </x:c>
      <x:c r="N95" s="28" t="n">
        <x:f>IF('Course_Master'!Q95="","",'Course_Master'!Q95)</x:f>
        <x:v>1171</x:v>
      </x:c>
      <x:c r="O95" s="28" t="n">
        <x:f>IF('Course_Master'!R95="","",'Course_Master'!R95)</x:f>
        <x:v>1071</x:v>
      </x:c>
      <x:c r="P95" s="28" t="str">
        <x:f>IF('Course_Master'!U95="","",'Course_Master'!U95)</x:f>
        <x:v>Shortgolf / Pitch &amp; Putt</x:v>
      </x:c>
      <x:c r="Q95" s="28" t="str">
        <x:f>IF('Course_Master'!AD95="","",'Course_Master'!AD95)</x:f>
        <x:v>Public — no playing requirement</x:v>
      </x:c>
      <x:c r="R95" s="28" t="str">
        <x:f>IF('Course_Master'!AC95="","",'Course_Master'!AC95)</x:f>
        <x:v>Open</x:v>
      </x:c>
      <x:c r="S95" s="28" t="str">
        <x:f>IF('Course_Master'!Y95="","",'Course_Master'!Y95)</x:f>
        <x:v>https://www.gc-molenhoek.nl/pitch-putt-molenhoek/</x:v>
      </x:c>
      <x:c r="T95" s="28" t="b">
        <x:f>IF('Course_Master'!Z95="","",'Course_Master'!Z95)</x:f>
        <x:v>1</x:v>
      </x:c>
      <x:c r="U95" s="28" t="b">
        <x:f>IF('Course_Master'!AA95="","",'Course_Master'!AA95)</x:f>
        <x:v>1</x:v>
      </x:c>
      <x:c r="V95" s="28" t="str">
        <x:f>IF('Course_Master'!AL95="","",'Course_Master'!AL95)</x:f>
        <x:v>Verified — national register and exact BAG address</x:v>
      </x:c>
    </x:row>
    <x:row r="96">
      <x:c r="A96" s="28" t="str">
        <x:f>IF('Course_Master'!B96="","",'Course_Master'!B96)</x:f>
        <x:v>NL-0095</x:v>
      </x:c>
      <x:c r="B96" s="28" t="str">
        <x:f>IF('Course_Master'!C96="","",'Course_Master'!C96)</x:f>
        <x:v>Pitch &amp; Putt Papendal — Shortgolf / Pitch &amp; Putt Course</x:v>
      </x:c>
      <x:c r="C96" s="28" t="str">
        <x:f>IF('Course_Master'!D96="","",'Course_Master'!D96)</x:f>
        <x:v>Pitch &amp; Putt Papendal</x:v>
      </x:c>
      <x:c r="D96" s="28" t="str">
        <x:f>IF('Course_Master'!E96="","",'Course_Master'!E96)</x:f>
        <x:v>Shortgolf / Pitch &amp; Putt Course</x:v>
      </x:c>
      <x:c r="E96" s="28" t="str">
        <x:f>IF('Course_Master'!F96="","",'Course_Master'!F96)</x:f>
        <x:v>Netherlands</x:v>
      </x:c>
      <x:c r="F96" s="28" t="str">
        <x:f>IF('Course_Master'!G96="","",'Course_Master'!G96)</x:f>
        <x:v>Gelderland</x:v>
      </x:c>
      <x:c r="G96" s="28" t="str">
        <x:f>IF('Course_Master'!H96="","",'Course_Master'!H96)</x:f>
        <x:v>Arnhem</x:v>
      </x:c>
      <x:c r="H96" s="28" t="str">
        <x:f>IF('Course_Master'!I96="","",'Course_Master'!I96)</x:f>
        <x:v>Arnhem</x:v>
      </x:c>
      <x:c r="I96" s="28" t="str">
        <x:f>IF('Course_Master'!K96="","",'Course_Master'!K96)</x:f>
        <x:v>6816 VD</x:v>
      </x:c>
      <x:c r="J96" s="34" t="n">
        <x:f>IF('Course_Master'!L96="","",'Course_Master'!L96)</x:f>
        <x:v>52.01015948</x:v>
      </x:c>
      <x:c r="K96" s="34" t="n">
        <x:f>IF('Course_Master'!M96="","",'Course_Master'!M96)</x:f>
        <x:v>5.82474931</x:v>
      </x:c>
      <x:c r="L96" s="28" t="n">
        <x:f>IF('Course_Master'!S96="","",'Course_Master'!S96)</x:f>
        <x:v>18</x:v>
      </x:c>
      <x:c r="M96" s="28" t="n">
        <x:f>IF('Course_Master'!T96="","",'Course_Master'!T96)</x:f>
        <x:v>54</x:v>
      </x:c>
      <x:c r="N96" s="28" t="n">
        <x:f>IF('Course_Master'!Q96="","",'Course_Master'!Q96)</x:f>
        <x:v>1102</x:v>
      </x:c>
      <x:c r="O96" s="28" t="n">
        <x:f>IF('Course_Master'!R96="","",'Course_Master'!R96)</x:f>
        <x:v>1008</x:v>
      </x:c>
      <x:c r="P96" s="28" t="str">
        <x:f>IF('Course_Master'!U96="","",'Course_Master'!U96)</x:f>
        <x:v>Shortgolf / Pitch &amp; Putt</x:v>
      </x:c>
      <x:c r="Q96" s="28" t="str">
        <x:f>IF('Course_Master'!AD96="","",'Course_Master'!AD96)</x:f>
        <x:v>Public — no playing requirement</x:v>
      </x:c>
      <x:c r="R96" s="28" t="str">
        <x:f>IF('Course_Master'!AC96="","",'Course_Master'!AC96)</x:f>
        <x:v>Open</x:v>
      </x:c>
      <x:c r="S96" s="28" t="str">
        <x:f>IF('Course_Master'!Y96="","",'Course_Master'!Y96)</x:f>
        <x:v>https://www.pitch-putt.nl/locaties/papendal/</x:v>
      </x:c>
      <x:c r="T96" s="28" t="b">
        <x:f>IF('Course_Master'!Z96="","",'Course_Master'!Z96)</x:f>
        <x:v>1</x:v>
      </x:c>
      <x:c r="U96" s="28" t="b">
        <x:f>IF('Course_Master'!AA96="","",'Course_Master'!AA96)</x:f>
        <x:v>1</x:v>
      </x:c>
      <x:c r="V96" s="28" t="str">
        <x:f>IF('Course_Master'!AL96="","",'Course_Master'!AL96)</x:f>
        <x:v>Verified — national register and exact BAG address</x:v>
      </x:c>
    </x:row>
    <x:row r="97">
      <x:c r="A97" s="28" t="str">
        <x:f>IF('Course_Master'!B97="","",'Course_Master'!B97)</x:f>
        <x:v>NL-0096</x:v>
      </x:c>
      <x:c r="B97" s="28" t="str">
        <x:f>IF('Course_Master'!C97="","",'Course_Master'!C97)</x:f>
        <x:v>Rosendaelsche Golfclub — Main Course</x:v>
      </x:c>
      <x:c r="C97" s="28" t="str">
        <x:f>IF('Course_Master'!D97="","",'Course_Master'!D97)</x:f>
        <x:v>Rosendaelsche Golfclub</x:v>
      </x:c>
      <x:c r="D97" s="28" t="str">
        <x:f>IF('Course_Master'!E97="","",'Course_Master'!E97)</x:f>
        <x:v>Main Course</x:v>
      </x:c>
      <x:c r="E97" s="28" t="str">
        <x:f>IF('Course_Master'!F97="","",'Course_Master'!F97)</x:f>
        <x:v>Netherlands</x:v>
      </x:c>
      <x:c r="F97" s="28" t="str">
        <x:f>IF('Course_Master'!G97="","",'Course_Master'!G97)</x:f>
        <x:v>Gelderland</x:v>
      </x:c>
      <x:c r="G97" s="28" t="str">
        <x:f>IF('Course_Master'!H97="","",'Course_Master'!H97)</x:f>
        <x:v>Arnhem</x:v>
      </x:c>
      <x:c r="H97" s="28" t="str">
        <x:f>IF('Course_Master'!I97="","",'Course_Master'!I97)</x:f>
        <x:v>Arnhem</x:v>
      </x:c>
      <x:c r="I97" s="28" t="str">
        <x:f>IF('Course_Master'!K97="","",'Course_Master'!K97)</x:f>
        <x:v>6816 SN</x:v>
      </x:c>
      <x:c r="J97" s="34" t="n">
        <x:f>IF('Course_Master'!L97="","",'Course_Master'!L97)</x:f>
        <x:v>52.01903426</x:v>
      </x:c>
      <x:c r="K97" s="34" t="n">
        <x:f>IF('Course_Master'!M97="","",'Course_Master'!M97)</x:f>
        <x:v>5.92640358</x:v>
      </x:c>
      <x:c r="L97" s="28" t="n">
        <x:f>IF('Course_Master'!S97="","",'Course_Master'!S97)</x:f>
        <x:v>18</x:v>
      </x:c>
      <x:c r="M97" s="28" t="n">
        <x:f>IF('Course_Master'!T97="","",'Course_Master'!T97)</x:f>
        <x:v>72</x:v>
      </x:c>
      <x:c r="N97" s="28" t="n">
        <x:f>IF('Course_Master'!Q97="","",'Course_Master'!Q97)</x:f>
        <x:v>7055</x:v>
      </x:c>
      <x:c r="O97" s="28" t="n">
        <x:f>IF('Course_Master'!R97="","",'Course_Master'!R97)</x:f>
        <x:v>6451</x:v>
      </x:c>
      <x:c r="P97" s="28" t="str">
        <x:f>IF('Course_Master'!U97="","",'Course_Master'!U97)</x:f>
        <x:v>Full-length course</x:v>
      </x:c>
      <x:c r="Q97" s="28" t="str">
        <x:f>IF('Course_Master'!AD97="","",'Course_Master'!AD97)</x:f>
        <x:v>Public — handicap 24 or lower</x:v>
      </x:c>
      <x:c r="R97" s="28" t="str">
        <x:f>IF('Course_Master'!AC97="","",'Course_Master'!AC97)</x:f>
        <x:v>Open</x:v>
      </x:c>
      <x:c r="S97" s="28" t="str">
        <x:f>IF('Course_Master'!Y97="","",'Course_Master'!Y97)</x:f>
        <x:v>https://rosendaelsche.nl/</x:v>
      </x:c>
      <x:c r="T97" s="28" t="b">
        <x:f>IF('Course_Master'!Z97="","",'Course_Master'!Z97)</x:f>
        <x:v>1</x:v>
      </x:c>
      <x:c r="U97" s="28" t="b">
        <x:f>IF('Course_Master'!AA97="","",'Course_Master'!AA97)</x:f>
        <x:v>1</x:v>
      </x:c>
      <x:c r="V97" s="28" t="str">
        <x:f>IF('Course_Master'!AL97="","",'Course_Master'!AL97)</x:f>
        <x:v>Verified — national register and exact BAG address</x:v>
      </x:c>
    </x:row>
    <x:row r="98">
      <x:c r="A98" s="28" t="str">
        <x:f>IF('Course_Master'!B98="","",'Course_Master'!B98)</x:f>
        <x:v>NL-0097</x:v>
      </x:c>
      <x:c r="B98" s="28" t="str">
        <x:f>IF('Course_Master'!C98="","",'Course_Master'!C98)</x:f>
        <x:v>Shortgolf Berkelland</x:v>
      </x:c>
      <x:c r="C98" s="28" t="str">
        <x:f>IF('Course_Master'!D98="","",'Course_Master'!D98)</x:f>
        <x:v>Shortgolf Berkelland</x:v>
      </x:c>
      <x:c r="D98" s="28" t="str">
        <x:f>IF('Course_Master'!E98="","",'Course_Master'!E98)</x:f>
        <x:v>Course</x:v>
      </x:c>
      <x:c r="E98" s="28" t="str">
        <x:f>IF('Course_Master'!F98="","",'Course_Master'!F98)</x:f>
        <x:v>Netherlands</x:v>
      </x:c>
      <x:c r="F98" s="28" t="str">
        <x:f>IF('Course_Master'!G98="","",'Course_Master'!G98)</x:f>
        <x:v>Gelderland</x:v>
      </x:c>
      <x:c r="G98" s="28" t="str">
        <x:f>IF('Course_Master'!H98="","",'Course_Master'!H98)</x:f>
        <x:v>Berkelland</x:v>
      </x:c>
      <x:c r="H98" s="28" t="str">
        <x:f>IF('Course_Master'!I98="","",'Course_Master'!I98)</x:f>
        <x:v>Eibergen</x:v>
      </x:c>
      <x:c r="I98" s="28" t="str">
        <x:f>IF('Course_Master'!K98="","",'Course_Master'!K98)</x:f>
        <x:v>7151 AT</x:v>
      </x:c>
      <x:c r="J98" s="34" t="n">
        <x:f>IF('Course_Master'!L98="","",'Course_Master'!L98)</x:f>
        <x:v>52.1077126</x:v>
      </x:c>
      <x:c r="K98" s="34" t="n">
        <x:f>IF('Course_Master'!M98="","",'Course_Master'!M98)</x:f>
        <x:v>6.64834689</x:v>
      </x:c>
      <x:c r="L98" s="28" t="n">
        <x:f>IF('Course_Master'!S98="","",'Course_Master'!S98)</x:f>
        <x:v>9</x:v>
      </x:c>
      <x:c r="M98" s="28" t="n">
        <x:f>IF('Course_Master'!T98="","",'Course_Master'!T98)</x:f>
        <x:v>27</x:v>
      </x:c>
      <x:c r="N98" s="28" t="n">
        <x:f>IF('Course_Master'!Q98="","",'Course_Master'!Q98)</x:f>
        <x:v>981</x:v>
      </x:c>
      <x:c r="O98" s="28" t="n">
        <x:f>IF('Course_Master'!R98="","",'Course_Master'!R98)</x:f>
        <x:v>897</x:v>
      </x:c>
      <x:c r="P98" s="28" t="str">
        <x:f>IF('Course_Master'!U98="","",'Course_Master'!U98)</x:f>
        <x:v>Par-3 course</x:v>
      </x:c>
      <x:c r="Q98" s="28" t="str">
        <x:f>IF('Course_Master'!AD98="","",'Course_Master'!AD98)</x:f>
        <x:v>Public — no playing requirement</x:v>
      </x:c>
      <x:c r="R98" s="28" t="str">
        <x:f>IF('Course_Master'!AC98="","",'Course_Master'!AC98)</x:f>
        <x:v>Open</x:v>
      </x:c>
      <x:c r="S98" s="28" t="str">
        <x:f>IF('Course_Master'!Y98="","",'Course_Master'!Y98)</x:f>
        <x:v>https://www.shortgolfberkelland.nl/</x:v>
      </x:c>
      <x:c r="T98" s="28" t="b">
        <x:f>IF('Course_Master'!Z98="","",'Course_Master'!Z98)</x:f>
        <x:v>1</x:v>
      </x:c>
      <x:c r="U98" s="28" t="b">
        <x:f>IF('Course_Master'!AA98="","",'Course_Master'!AA98)</x:f>
        <x:v>1</x:v>
      </x:c>
      <x:c r="V98" s="28" t="str">
        <x:f>IF('Course_Master'!AL98="","",'Course_Master'!AL98)</x:f>
        <x:v>Verified — national register and exact BAG address</x:v>
      </x:c>
    </x:row>
    <x:row r="99">
      <x:c r="A99" s="28" t="str">
        <x:f>IF('Course_Master'!B99="","",'Course_Master'!B99)</x:f>
        <x:v>NL-0098</x:v>
      </x:c>
      <x:c r="B99" s="28" t="str">
        <x:f>IF('Course_Master'!C99="","",'Course_Master'!C99)</x:f>
        <x:v>Shortgolf Zeumeren — 725 meter</x:v>
      </x:c>
      <x:c r="C99" s="28" t="str">
        <x:f>IF('Course_Master'!D99="","",'Course_Master'!D99)</x:f>
        <x:v>Shortgolf Zeumeren</x:v>
      </x:c>
      <x:c r="D99" s="28" t="str">
        <x:f>IF('Course_Master'!E99="","",'Course_Master'!E99)</x:f>
        <x:v>725 meter</x:v>
      </x:c>
      <x:c r="E99" s="28" t="str">
        <x:f>IF('Course_Master'!F99="","",'Course_Master'!F99)</x:f>
        <x:v>Netherlands</x:v>
      </x:c>
      <x:c r="F99" s="28" t="str">
        <x:f>IF('Course_Master'!G99="","",'Course_Master'!G99)</x:f>
        <x:v>Gelderland</x:v>
      </x:c>
      <x:c r="G99" s="28" t="str">
        <x:f>IF('Course_Master'!H99="","",'Course_Master'!H99)</x:f>
        <x:v>Barneveld</x:v>
      </x:c>
      <x:c r="H99" s="28" t="str">
        <x:f>IF('Course_Master'!I99="","",'Course_Master'!I99)</x:f>
        <x:v>Voorthuizen</x:v>
      </x:c>
      <x:c r="I99" s="28" t="str">
        <x:f>IF('Course_Master'!K99="","",'Course_Master'!K99)</x:f>
        <x:v>3781 PR</x:v>
      </x:c>
      <x:c r="J99" s="34" t="n">
        <x:f>IF('Course_Master'!L99="","",'Course_Master'!L99)</x:f>
        <x:v>52.17460542</x:v>
      </x:c>
      <x:c r="K99" s="34" t="n">
        <x:f>IF('Course_Master'!M99="","",'Course_Master'!M99)</x:f>
        <x:v>5.61699635</x:v>
      </x:c>
      <x:c r="L99" s="28" t="n">
        <x:f>IF('Course_Master'!S99="","",'Course_Master'!S99)</x:f>
        <x:v>9</x:v>
      </x:c>
      <x:c r="M99" s="28" t="n">
        <x:f>IF('Course_Master'!T99="","",'Course_Master'!T99)</x:f>
        <x:v>27</x:v>
      </x:c>
      <x:c r="N99" s="28" t="n">
        <x:f>IF('Course_Master'!Q99="","",'Course_Master'!Q99)</x:f>
        <x:v>793</x:v>
      </x:c>
      <x:c r="O99" s="28" t="n">
        <x:f>IF('Course_Master'!R99="","",'Course_Master'!R99)</x:f>
        <x:v>725</x:v>
      </x:c>
      <x:c r="P99" s="28" t="str">
        <x:f>IF('Course_Master'!U99="","",'Course_Master'!U99)</x:f>
        <x:v>Par-3 course</x:v>
      </x:c>
      <x:c r="Q99" s="28" t="str">
        <x:f>IF('Course_Master'!AD99="","",'Course_Master'!AD99)</x:f>
        <x:v>Public — no playing requirement</x:v>
      </x:c>
      <x:c r="R99" s="28" t="str">
        <x:f>IF('Course_Master'!AC99="","",'Course_Master'!AC99)</x:f>
        <x:v>Open</x:v>
      </x:c>
      <x:c r="S99" s="28" t="str">
        <x:f>IF('Course_Master'!Y99="","",'Course_Master'!Y99)</x:f>
        <x:v>https://shortgolfen.nl/</x:v>
      </x:c>
      <x:c r="T99" s="28" t="b">
        <x:f>IF('Course_Master'!Z99="","",'Course_Master'!Z99)</x:f>
        <x:v>1</x:v>
      </x:c>
      <x:c r="U99" s="28" t="b">
        <x:f>IF('Course_Master'!AA99="","",'Course_Master'!AA99)</x:f>
        <x:v>1</x:v>
      </x:c>
      <x:c r="V99" s="28" t="str">
        <x:f>IF('Course_Master'!AL99="","",'Course_Master'!AL99)</x:f>
        <x:v>Verified — national register and exact BAG address</x:v>
      </x:c>
    </x:row>
    <x:row r="100">
      <x:c r="A100" s="28" t="str">
        <x:f>IF('Course_Master'!B100="","",'Course_Master'!B100)</x:f>
        <x:v>NL-0099</x:v>
      </x:c>
      <x:c r="B100" s="28" t="str">
        <x:f>IF('Course_Master'!C100="","",'Course_Master'!C100)</x:f>
        <x:v>Tennis en Pitch &amp; Putt Centrum De Blanckenborg — Par-3 Course</x:v>
      </x:c>
      <x:c r="C100" s="28" t="str">
        <x:f>IF('Course_Master'!D100="","",'Course_Master'!D100)</x:f>
        <x:v>Tennis en Pitch &amp; Putt Centrum De Blanckenborg</x:v>
      </x:c>
      <x:c r="D100" s="28" t="str">
        <x:f>IF('Course_Master'!E100="","",'Course_Master'!E100)</x:f>
        <x:v>Par-3 Course</x:v>
      </x:c>
      <x:c r="E100" s="28" t="str">
        <x:f>IF('Course_Master'!F100="","",'Course_Master'!F100)</x:f>
        <x:v>Netherlands</x:v>
      </x:c>
      <x:c r="F100" s="28" t="str">
        <x:f>IF('Course_Master'!G100="","",'Course_Master'!G100)</x:f>
        <x:v>Gelderland</x:v>
      </x:c>
      <x:c r="G100" s="28" t="str">
        <x:f>IF('Course_Master'!H100="","",'Course_Master'!H100)</x:f>
        <x:v>Oost Gelre</x:v>
      </x:c>
      <x:c r="H100" s="28" t="str">
        <x:f>IF('Course_Master'!I100="","",'Course_Master'!I100)</x:f>
        <x:v>Groenlo</x:v>
      </x:c>
      <x:c r="I100" s="28" t="str">
        <x:f>IF('Course_Master'!K100="","",'Course_Master'!K100)</x:f>
        <x:v>7141 DE</x:v>
      </x:c>
      <x:c r="J100" s="34" t="n">
        <x:f>IF('Course_Master'!L100="","",'Course_Master'!L100)</x:f>
        <x:v>52.03247836</x:v>
      </x:c>
      <x:c r="K100" s="34" t="n">
        <x:f>IF('Course_Master'!M100="","",'Course_Master'!M100)</x:f>
        <x:v>6.63766029</x:v>
      </x:c>
      <x:c r="L100" s="28" t="n">
        <x:f>IF('Course_Master'!S100="","",'Course_Master'!S100)</x:f>
        <x:v>9</x:v>
      </x:c>
      <x:c r="M100" s="28" t="n">
        <x:f>IF('Course_Master'!T100="","",'Course_Master'!T100)</x:f>
        <x:v>27</x:v>
      </x:c>
      <x:c r="N100" s="28" t="n">
        <x:f>IF('Course_Master'!Q100="","",'Course_Master'!Q100)</x:f>
        <x:v>810</x:v>
      </x:c>
      <x:c r="O100" s="28" t="n">
        <x:f>IF('Course_Master'!R100="","",'Course_Master'!R100)</x:f>
        <x:v>741</x:v>
      </x:c>
      <x:c r="P100" s="28" t="str">
        <x:f>IF('Course_Master'!U100="","",'Course_Master'!U100)</x:f>
        <x:v>Par-3 course</x:v>
      </x:c>
      <x:c r="Q100" s="28" t="str">
        <x:f>IF('Course_Master'!AD100="","",'Course_Master'!AD100)</x:f>
        <x:v>Public — no playing requirement</x:v>
      </x:c>
      <x:c r="R100" s="28" t="str">
        <x:f>IF('Course_Master'!AC100="","",'Course_Master'!AC100)</x:f>
        <x:v>Open</x:v>
      </x:c>
      <x:c r="S100" s="28" t="str">
        <x:f>IF('Course_Master'!Y100="","",'Course_Master'!Y100)</x:f>
        <x:v>https://pitch-putt.nl/locaties/groenlo/</x:v>
      </x:c>
      <x:c r="T100" s="28" t="b">
        <x:f>IF('Course_Master'!Z100="","",'Course_Master'!Z100)</x:f>
        <x:v>1</x:v>
      </x:c>
      <x:c r="U100" s="28" t="b">
        <x:f>IF('Course_Master'!AA100="","",'Course_Master'!AA100)</x:f>
        <x:v>1</x:v>
      </x:c>
      <x:c r="V100" s="28" t="str">
        <x:f>IF('Course_Master'!AL100="","",'Course_Master'!AL100)</x:f>
        <x:v>Verified — national register and exact BAG address</x:v>
      </x:c>
    </x:row>
    <x:row r="101">
      <x:c r="A101" s="28" t="str">
        <x:f>IF('Course_Master'!B101="","",'Course_Master'!B101)</x:f>
        <x:v>NL-0100</x:v>
      </x:c>
      <x:c r="B101" s="28" t="str">
        <x:f>IF('Course_Master'!C101="","",'Course_Master'!C101)</x:f>
        <x:v>Tennis en Pitch &amp; Putt Centrum De Blanckenborg — Shortgolf / Pitch &amp; Putt Course</x:v>
      </x:c>
      <x:c r="C101" s="28" t="str">
        <x:f>IF('Course_Master'!D101="","",'Course_Master'!D101)</x:f>
        <x:v>Tennis en Pitch &amp; Putt Centrum De Blanckenborg</x:v>
      </x:c>
      <x:c r="D101" s="28" t="str">
        <x:f>IF('Course_Master'!E101="","",'Course_Master'!E101)</x:f>
        <x:v>Shortgolf / Pitch &amp; Putt Course</x:v>
      </x:c>
      <x:c r="E101" s="28" t="str">
        <x:f>IF('Course_Master'!F101="","",'Course_Master'!F101)</x:f>
        <x:v>Netherlands</x:v>
      </x:c>
      <x:c r="F101" s="28" t="str">
        <x:f>IF('Course_Master'!G101="","",'Course_Master'!G101)</x:f>
        <x:v>Gelderland</x:v>
      </x:c>
      <x:c r="G101" s="28" t="str">
        <x:f>IF('Course_Master'!H101="","",'Course_Master'!H101)</x:f>
        <x:v>Oost Gelre</x:v>
      </x:c>
      <x:c r="H101" s="28" t="str">
        <x:f>IF('Course_Master'!I101="","",'Course_Master'!I101)</x:f>
        <x:v>Groenlo</x:v>
      </x:c>
      <x:c r="I101" s="28" t="str">
        <x:f>IF('Course_Master'!K101="","",'Course_Master'!K101)</x:f>
        <x:v>7141 DE</x:v>
      </x:c>
      <x:c r="J101" s="34" t="n">
        <x:f>IF('Course_Master'!L101="","",'Course_Master'!L101)</x:f>
        <x:v>52.03247836</x:v>
      </x:c>
      <x:c r="K101" s="34" t="n">
        <x:f>IF('Course_Master'!M101="","",'Course_Master'!M101)</x:f>
        <x:v>6.63766029</x:v>
      </x:c>
      <x:c r="L101" s="28" t="n">
        <x:f>IF('Course_Master'!S101="","",'Course_Master'!S101)</x:f>
        <x:v>18</x:v>
      </x:c>
      <x:c r="M101" s="28" t="n">
        <x:f>IF('Course_Master'!T101="","",'Course_Master'!T101)</x:f>
        <x:v>54</x:v>
      </x:c>
      <x:c r="N101" s="28" t="n">
        <x:f>IF('Course_Master'!Q101="","",'Course_Master'!Q101)</x:f>
        <x:v>984</x:v>
      </x:c>
      <x:c r="O101" s="28" t="n">
        <x:f>IF('Course_Master'!R101="","",'Course_Master'!R101)</x:f>
        <x:v>900</x:v>
      </x:c>
      <x:c r="P101" s="28" t="str">
        <x:f>IF('Course_Master'!U101="","",'Course_Master'!U101)</x:f>
        <x:v>Shortgolf / Pitch &amp; Putt</x:v>
      </x:c>
      <x:c r="Q101" s="28" t="str">
        <x:f>IF('Course_Master'!AD101="","",'Course_Master'!AD101)</x:f>
        <x:v>Public — no playing requirement</x:v>
      </x:c>
      <x:c r="R101" s="28" t="str">
        <x:f>IF('Course_Master'!AC101="","",'Course_Master'!AC101)</x:f>
        <x:v>Open</x:v>
      </x:c>
      <x:c r="S101" s="28" t="str">
        <x:f>IF('Course_Master'!Y101="","",'Course_Master'!Y101)</x:f>
        <x:v>https://pitch-putt.nl/locaties/groenlo/</x:v>
      </x:c>
      <x:c r="T101" s="28" t="b">
        <x:f>IF('Course_Master'!Z101="","",'Course_Master'!Z101)</x:f>
        <x:v>1</x:v>
      </x:c>
      <x:c r="U101" s="28" t="b">
        <x:f>IF('Course_Master'!AA101="","",'Course_Master'!AA101)</x:f>
        <x:v>1</x:v>
      </x:c>
      <x:c r="V101" s="28" t="str">
        <x:f>IF('Course_Master'!AL101="","",'Course_Master'!AL101)</x:f>
        <x:v>Verified — national register and exact BAG address</x:v>
      </x:c>
    </x:row>
    <x:row r="102">
      <x:c r="A102" s="28" t="str">
        <x:f>IF('Course_Master'!B102="","",'Course_Master'!B102)</x:f>
        <x:v>NL-0101</x:v>
      </x:c>
      <x:c r="B102" s="28" t="str">
        <x:f>IF('Course_Master'!C102="","",'Course_Master'!C102)</x:f>
        <x:v>The Dutch — Main Course</x:v>
      </x:c>
      <x:c r="C102" s="28" t="str">
        <x:f>IF('Course_Master'!D102="","",'Course_Master'!D102)</x:f>
        <x:v>The Dutch</x:v>
      </x:c>
      <x:c r="D102" s="28" t="str">
        <x:f>IF('Course_Master'!E102="","",'Course_Master'!E102)</x:f>
        <x:v>Main Course</x:v>
      </x:c>
      <x:c r="E102" s="28" t="str">
        <x:f>IF('Course_Master'!F102="","",'Course_Master'!F102)</x:f>
        <x:v>Netherlands</x:v>
      </x:c>
      <x:c r="F102" s="28" t="str">
        <x:f>IF('Course_Master'!G102="","",'Course_Master'!G102)</x:f>
        <x:v>Gelderland</x:v>
      </x:c>
      <x:c r="G102" s="28" t="str">
        <x:f>IF('Course_Master'!H102="","",'Course_Master'!H102)</x:f>
        <x:v>West Betuwe</x:v>
      </x:c>
      <x:c r="H102" s="28" t="str">
        <x:f>IF('Course_Master'!I102="","",'Course_Master'!I102)</x:f>
        <x:v>Spijk</x:v>
      </x:c>
      <x:c r="I102" s="28" t="str">
        <x:f>IF('Course_Master'!K102="","",'Course_Master'!K102)</x:f>
        <x:v>4212 KJ</x:v>
      </x:c>
      <x:c r="J102" s="34" t="n">
        <x:f>IF('Course_Master'!L102="","",'Course_Master'!L102)</x:f>
        <x:v>51.85019487</x:v>
      </x:c>
      <x:c r="K102" s="34" t="n">
        <x:f>IF('Course_Master'!M102="","",'Course_Master'!M102)</x:f>
        <x:v>5.01996118</x:v>
      </x:c>
      <x:c r="L102" s="28" t="n">
        <x:f>IF('Course_Master'!S102="","",'Course_Master'!S102)</x:f>
        <x:v>18</x:v>
      </x:c>
      <x:c r="M102" s="28" t="n">
        <x:f>IF('Course_Master'!T102="","",'Course_Master'!T102)</x:f>
        <x:v>71</x:v>
      </x:c>
      <x:c r="N102" s="28" t="n">
        <x:f>IF('Course_Master'!Q102="","",'Course_Master'!Q102)</x:f>
        <x:v>6924</x:v>
      </x:c>
      <x:c r="O102" s="28" t="n">
        <x:f>IF('Course_Master'!R102="","",'Course_Master'!R102)</x:f>
        <x:v>6331</x:v>
      </x:c>
      <x:c r="P102" s="28" t="str">
        <x:f>IF('Course_Master'!U102="","",'Course_Master'!U102)</x:f>
        <x:v>Full-length course</x:v>
      </x:c>
      <x:c r="Q102" s="28" t="str">
        <x:f>IF('Course_Master'!AD102="","",'Course_Master'!AD102)</x:f>
        <x:v>Public — handicap 54 or lower</x:v>
      </x:c>
      <x:c r="R102" s="28" t="str">
        <x:f>IF('Course_Master'!AC102="","",'Course_Master'!AC102)</x:f>
        <x:v>Open</x:v>
      </x:c>
      <x:c r="S102" s="28" t="str">
        <x:f>IF('Course_Master'!Y102="","",'Course_Master'!Y102)</x:f>
        <x:v>https://thedutch.nl/</x:v>
      </x:c>
      <x:c r="T102" s="28" t="b">
        <x:f>IF('Course_Master'!Z102="","",'Course_Master'!Z102)</x:f>
        <x:v>1</x:v>
      </x:c>
      <x:c r="U102" s="28" t="b">
        <x:f>IF('Course_Master'!AA102="","",'Course_Master'!AA102)</x:f>
        <x:v>1</x:v>
      </x:c>
      <x:c r="V102" s="28" t="str">
        <x:f>IF('Course_Master'!AL102="","",'Course_Master'!AL102)</x:f>
        <x:v>Verified — national register and exact BAG address</x:v>
      </x:c>
    </x:row>
    <x:row r="103">
      <x:c r="A103" s="28" t="str">
        <x:f>IF('Course_Master'!B103="","",'Course_Master'!B103)</x:f>
        <x:v>NL-0102</x:v>
      </x:c>
      <x:c r="B103" s="28" t="str">
        <x:f>IF('Course_Master'!C103="","",'Course_Master'!C103)</x:f>
        <x:v>The Links Valley — North</x:v>
      </x:c>
      <x:c r="C103" s="28" t="str">
        <x:f>IF('Course_Master'!D103="","",'Course_Master'!D103)</x:f>
        <x:v>The Links Valley</x:v>
      </x:c>
      <x:c r="D103" s="28" t="str">
        <x:f>IF('Course_Master'!E103="","",'Course_Master'!E103)</x:f>
        <x:v>North</x:v>
      </x:c>
      <x:c r="E103" s="28" t="str">
        <x:f>IF('Course_Master'!F103="","",'Course_Master'!F103)</x:f>
        <x:v>Netherlands</x:v>
      </x:c>
      <x:c r="F103" s="28" t="str">
        <x:f>IF('Course_Master'!G103="","",'Course_Master'!G103)</x:f>
        <x:v>Gelderland</x:v>
      </x:c>
      <x:c r="G103" s="28" t="str">
        <x:f>IF('Course_Master'!H103="","",'Course_Master'!H103)</x:f>
        <x:v>Ermelo</x:v>
      </x:c>
      <x:c r="H103" s="28" t="str">
        <x:f>IF('Course_Master'!I103="","",'Course_Master'!I103)</x:f>
        <x:v>Ermelo</x:v>
      </x:c>
      <x:c r="I103" s="28" t="str">
        <x:f>IF('Course_Master'!K103="","",'Course_Master'!K103)</x:f>
        <x:v>3852 PT</x:v>
      </x:c>
      <x:c r="J103" s="34" t="n">
        <x:f>IF('Course_Master'!L103="","",'Course_Master'!L103)</x:f>
        <x:v>52.30176488</x:v>
      </x:c>
      <x:c r="K103" s="34" t="n">
        <x:f>IF('Course_Master'!M103="","",'Course_Master'!M103)</x:f>
        <x:v>5.68989305</x:v>
      </x:c>
      <x:c r="L103" s="28" t="n">
        <x:f>IF('Course_Master'!S103="","",'Course_Master'!S103)</x:f>
        <x:v>9</x:v>
      </x:c>
      <x:c r="M103" s="28" t="n">
        <x:f>IF('Course_Master'!T103="","",'Course_Master'!T103)</x:f>
        <x:v>35</x:v>
      </x:c>
      <x:c r="N103" s="28" t="n">
        <x:f>IF('Course_Master'!Q103="","",'Course_Master'!Q103)</x:f>
        <x:v>3234</x:v>
      </x:c>
      <x:c r="O103" s="28" t="n">
        <x:f>IF('Course_Master'!R103="","",'Course_Master'!R103)</x:f>
        <x:v>2957</x:v>
      </x:c>
      <x:c r="P103" s="28" t="str">
        <x:f>IF('Course_Master'!U103="","",'Course_Master'!U103)</x:f>
        <x:v>Full-length course</x:v>
      </x:c>
      <x:c r="Q103" s="28" t="str">
        <x:f>IF('Course_Master'!AD103="","",'Course_Master'!AD103)</x:f>
        <x:v>Public — handicap 45 or lower</x:v>
      </x:c>
      <x:c r="R103" s="28" t="str">
        <x:f>IF('Course_Master'!AC103="","",'Course_Master'!AC103)</x:f>
        <x:v>Open</x:v>
      </x:c>
      <x:c r="S103" s="28" t="str">
        <x:f>IF('Course_Master'!Y103="","",'Course_Master'!Y103)</x:f>
        <x:v>https://www.thelinksvalley.nl/</x:v>
      </x:c>
      <x:c r="T103" s="28" t="b">
        <x:f>IF('Course_Master'!Z103="","",'Course_Master'!Z103)</x:f>
        <x:v>1</x:v>
      </x:c>
      <x:c r="U103" s="28" t="b">
        <x:f>IF('Course_Master'!AA103="","",'Course_Master'!AA103)</x:f>
        <x:v>1</x:v>
      </x:c>
      <x:c r="V103" s="28" t="str">
        <x:f>IF('Course_Master'!AL103="","",'Course_Master'!AL103)</x:f>
        <x:v>Verified — national register and exact BAG address</x:v>
      </x:c>
    </x:row>
    <x:row r="104">
      <x:c r="A104" s="28" t="str">
        <x:f>IF('Course_Master'!B104="","",'Course_Master'!B104)</x:f>
        <x:v>NL-0103</x:v>
      </x:c>
      <x:c r="B104" s="28" t="str">
        <x:f>IF('Course_Master'!C104="","",'Course_Master'!C104)</x:f>
        <x:v>The Links Valley — South</x:v>
      </x:c>
      <x:c r="C104" s="28" t="str">
        <x:f>IF('Course_Master'!D104="","",'Course_Master'!D104)</x:f>
        <x:v>The Links Valley</x:v>
      </x:c>
      <x:c r="D104" s="28" t="str">
        <x:f>IF('Course_Master'!E104="","",'Course_Master'!E104)</x:f>
        <x:v>South</x:v>
      </x:c>
      <x:c r="E104" s="28" t="str">
        <x:f>IF('Course_Master'!F104="","",'Course_Master'!F104)</x:f>
        <x:v>Netherlands</x:v>
      </x:c>
      <x:c r="F104" s="28" t="str">
        <x:f>IF('Course_Master'!G104="","",'Course_Master'!G104)</x:f>
        <x:v>Gelderland</x:v>
      </x:c>
      <x:c r="G104" s="28" t="str">
        <x:f>IF('Course_Master'!H104="","",'Course_Master'!H104)</x:f>
        <x:v>Ermelo</x:v>
      </x:c>
      <x:c r="H104" s="28" t="str">
        <x:f>IF('Course_Master'!I104="","",'Course_Master'!I104)</x:f>
        <x:v>Ermelo</x:v>
      </x:c>
      <x:c r="I104" s="28" t="str">
        <x:f>IF('Course_Master'!K104="","",'Course_Master'!K104)</x:f>
        <x:v>3852 PT</x:v>
      </x:c>
      <x:c r="J104" s="34" t="n">
        <x:f>IF('Course_Master'!L104="","",'Course_Master'!L104)</x:f>
        <x:v>52.30176488</x:v>
      </x:c>
      <x:c r="K104" s="34" t="n">
        <x:f>IF('Course_Master'!M104="","",'Course_Master'!M104)</x:f>
        <x:v>5.68989305</x:v>
      </x:c>
      <x:c r="L104" s="28" t="n">
        <x:f>IF('Course_Master'!S104="","",'Course_Master'!S104)</x:f>
        <x:v>9</x:v>
      </x:c>
      <x:c r="M104" s="28" t="n">
        <x:f>IF('Course_Master'!T104="","",'Course_Master'!T104)</x:f>
        <x:v>35</x:v>
      </x:c>
      <x:c r="N104" s="28" t="n">
        <x:f>IF('Course_Master'!Q104="","",'Course_Master'!Q104)</x:f>
        <x:v>3272</x:v>
      </x:c>
      <x:c r="O104" s="28" t="n">
        <x:f>IF('Course_Master'!R104="","",'Course_Master'!R104)</x:f>
        <x:v>2992</x:v>
      </x:c>
      <x:c r="P104" s="28" t="str">
        <x:f>IF('Course_Master'!U104="","",'Course_Master'!U104)</x:f>
        <x:v>Full-length course</x:v>
      </x:c>
      <x:c r="Q104" s="28" t="str">
        <x:f>IF('Course_Master'!AD104="","",'Course_Master'!AD104)</x:f>
        <x:v>Public — handicap 45 or lower</x:v>
      </x:c>
      <x:c r="R104" s="28" t="str">
        <x:f>IF('Course_Master'!AC104="","",'Course_Master'!AC104)</x:f>
        <x:v>Open</x:v>
      </x:c>
      <x:c r="S104" s="28" t="str">
        <x:f>IF('Course_Master'!Y104="","",'Course_Master'!Y104)</x:f>
        <x:v>https://www.thelinksvalley.nl/</x:v>
      </x:c>
      <x:c r="T104" s="28" t="b">
        <x:f>IF('Course_Master'!Z104="","",'Course_Master'!Z104)</x:f>
        <x:v>1</x:v>
      </x:c>
      <x:c r="U104" s="28" t="b">
        <x:f>IF('Course_Master'!AA104="","",'Course_Master'!AA104)</x:f>
        <x:v>1</x:v>
      </x:c>
      <x:c r="V104" s="28" t="str">
        <x:f>IF('Course_Master'!AL104="","",'Course_Master'!AL104)</x:f>
        <x:v>Verified — national register and exact BAG address</x:v>
      </x:c>
    </x:row>
    <x:row r="105">
      <x:c r="A105" s="28" t="str">
        <x:f>IF('Course_Master'!B105="","",'Course_Master'!B105)</x:f>
        <x:v>NL-0104</x:v>
      </x:c>
      <x:c r="B105" s="28" t="str">
        <x:f>IF('Course_Master'!C105="","",'Course_Master'!C105)</x:f>
        <x:v>Veluwse Golfclub</x:v>
      </x:c>
      <x:c r="C105" s="28" t="str">
        <x:f>IF('Course_Master'!D105="","",'Course_Master'!D105)</x:f>
        <x:v>Veluwse Golfclub</x:v>
      </x:c>
      <x:c r="D105" s="28" t="str">
        <x:f>IF('Course_Master'!E105="","",'Course_Master'!E105)</x:f>
        <x:v>Course</x:v>
      </x:c>
      <x:c r="E105" s="28" t="str">
        <x:f>IF('Course_Master'!F105="","",'Course_Master'!F105)</x:f>
        <x:v>Netherlands</x:v>
      </x:c>
      <x:c r="F105" s="28" t="str">
        <x:f>IF('Course_Master'!G105="","",'Course_Master'!G105)</x:f>
        <x:v>Gelderland</x:v>
      </x:c>
      <x:c r="G105" s="28" t="str">
        <x:f>IF('Course_Master'!H105="","",'Course_Master'!H105)</x:f>
        <x:v>Apeldoorn</x:v>
      </x:c>
      <x:c r="H105" s="28" t="str">
        <x:f>IF('Course_Master'!I105="","",'Course_Master'!I105)</x:f>
        <x:v>Hoog Soeren</x:v>
      </x:c>
      <x:c r="I105" s="28" t="str">
        <x:f>IF('Course_Master'!K105="","",'Course_Master'!K105)</x:f>
        <x:v>7346 AC</x:v>
      </x:c>
      <x:c r="J105" s="34" t="n">
        <x:f>IF('Course_Master'!L105="","",'Course_Master'!L105)</x:f>
        <x:v>52.21730355</x:v>
      </x:c>
      <x:c r="K105" s="34" t="n">
        <x:f>IF('Course_Master'!M105="","",'Course_Master'!M105)</x:f>
        <x:v>5.87109901</x:v>
      </x:c>
      <x:c r="L105" s="28" t="n">
        <x:f>IF('Course_Master'!S105="","",'Course_Master'!S105)</x:f>
        <x:v>9</x:v>
      </x:c>
      <x:c r="M105" s="28" t="n">
        <x:f>IF('Course_Master'!T105="","",'Course_Master'!T105)</x:f>
        <x:v>36</x:v>
      </x:c>
      <x:c r="N105" s="28" t="n">
        <x:f>IF('Course_Master'!Q105="","",'Course_Master'!Q105)</x:f>
        <x:v>3105</x:v>
      </x:c>
      <x:c r="O105" s="28" t="n">
        <x:f>IF('Course_Master'!R105="","",'Course_Master'!R105)</x:f>
        <x:v>2839</x:v>
      </x:c>
      <x:c r="P105" s="28" t="str">
        <x:f>IF('Course_Master'!U105="","",'Course_Master'!U105)</x:f>
        <x:v>Full-length course</x:v>
      </x:c>
      <x:c r="Q105" s="28" t="str">
        <x:f>IF('Course_Master'!AD105="","",'Course_Master'!AD105)</x:f>
        <x:v>Public — handicap 28 or lower</x:v>
      </x:c>
      <x:c r="R105" s="28" t="str">
        <x:f>IF('Course_Master'!AC105="","",'Course_Master'!AC105)</x:f>
        <x:v>Open</x:v>
      </x:c>
      <x:c r="S105" s="28" t="str">
        <x:f>IF('Course_Master'!Y105="","",'Course_Master'!Y105)</x:f>
        <x:v>https://veluwsegolfclub.nl/</x:v>
      </x:c>
      <x:c r="T105" s="28" t="b">
        <x:f>IF('Course_Master'!Z105="","",'Course_Master'!Z105)</x:f>
        <x:v>1</x:v>
      </x:c>
      <x:c r="U105" s="28" t="b">
        <x:f>IF('Course_Master'!AA105="","",'Course_Master'!AA105)</x:f>
        <x:v>1</x:v>
      </x:c>
      <x:c r="V105" s="28" t="str">
        <x:f>IF('Course_Master'!AL105="","",'Course_Master'!AL105)</x:f>
        <x:v>Verified — national register and exact BAG address</x:v>
      </x:c>
    </x:row>
    <x:row r="106">
      <x:c r="A106" s="28" t="str">
        <x:f>IF('Course_Master'!B106="","",'Course_Master'!B106)</x:f>
        <x:v>NL-0105</x:v>
      </x:c>
      <x:c r="B106" s="28" t="str">
        <x:f>IF('Course_Master'!C106="","",'Course_Master'!C106)</x:f>
        <x:v>Wageningse Golfclub</x:v>
      </x:c>
      <x:c r="C106" s="28" t="str">
        <x:f>IF('Course_Master'!D106="","",'Course_Master'!D106)</x:f>
        <x:v>Wageningse Golfclub</x:v>
      </x:c>
      <x:c r="D106" s="28" t="str">
        <x:f>IF('Course_Master'!E106="","",'Course_Master'!E106)</x:f>
        <x:v>Course</x:v>
      </x:c>
      <x:c r="E106" s="28" t="str">
        <x:f>IF('Course_Master'!F106="","",'Course_Master'!F106)</x:f>
        <x:v>Netherlands</x:v>
      </x:c>
      <x:c r="F106" s="28" t="str">
        <x:f>IF('Course_Master'!G106="","",'Course_Master'!G106)</x:f>
        <x:v>Gelderland</x:v>
      </x:c>
      <x:c r="G106" s="28" t="str">
        <x:f>IF('Course_Master'!H106="","",'Course_Master'!H106)</x:f>
        <x:v>Wageningen</x:v>
      </x:c>
      <x:c r="H106" s="28" t="str">
        <x:f>IF('Course_Master'!I106="","",'Course_Master'!I106)</x:f>
        <x:v>Wageningen</x:v>
      </x:c>
      <x:c r="I106" s="28" t="str">
        <x:f>IF('Course_Master'!K106="","",'Course_Master'!K106)</x:f>
        <x:v>6704 PE</x:v>
      </x:c>
      <x:c r="J106" s="34" t="n">
        <x:f>IF('Course_Master'!L106="","",'Course_Master'!L106)</x:f>
        <x:v>51.97893433</x:v>
      </x:c>
      <x:c r="K106" s="34" t="n">
        <x:f>IF('Course_Master'!M106="","",'Course_Master'!M106)</x:f>
        <x:v>5.69244014</x:v>
      </x:c>
      <x:c r="L106" s="28" t="n">
        <x:f>IF('Course_Master'!S106="","",'Course_Master'!S106)</x:f>
        <x:v>9</x:v>
      </x:c>
      <x:c r="M106" s="28" t="n">
        <x:f>IF('Course_Master'!T106="","",'Course_Master'!T106)</x:f>
        <x:v>30</x:v>
      </x:c>
      <x:c r="N106" s="28" t="n">
        <x:f>IF('Course_Master'!Q106="","",'Course_Master'!Q106)</x:f>
        <x:v>1521</x:v>
      </x:c>
      <x:c r="O106" s="28" t="n">
        <x:f>IF('Course_Master'!R106="","",'Course_Master'!R106)</x:f>
        <x:v>1391</x:v>
      </x:c>
      <x:c r="P106" s="28" t="str">
        <x:f>IF('Course_Master'!U106="","",'Course_Master'!U106)</x:f>
        <x:v>Par-3/4 course</x:v>
      </x:c>
      <x:c r="Q106" s="28" t="str">
        <x:f>IF('Course_Master'!AD106="","",'Course_Master'!AD106)</x:f>
        <x:v>Public — handicap 54 or lower</x:v>
      </x:c>
      <x:c r="R106" s="28" t="str">
        <x:f>IF('Course_Master'!AC106="","",'Course_Master'!AC106)</x:f>
        <x:v>Open</x:v>
      </x:c>
      <x:c r="S106" s="28" t="str">
        <x:f>IF('Course_Master'!Y106="","",'Course_Master'!Y106)</x:f>
        <x:v>https://wageningsegolfclub.nl/</x:v>
      </x:c>
      <x:c r="T106" s="28" t="b">
        <x:f>IF('Course_Master'!Z106="","",'Course_Master'!Z106)</x:f>
        <x:v>1</x:v>
      </x:c>
      <x:c r="U106" s="28" t="b">
        <x:f>IF('Course_Master'!AA106="","",'Course_Master'!AA106)</x:f>
        <x:v>1</x:v>
      </x:c>
      <x:c r="V106" s="28" t="str">
        <x:f>IF('Course_Master'!AL106="","",'Course_Master'!AL106)</x:f>
        <x:v>Verified — national register and exact BAG address</x:v>
      </x:c>
    </x:row>
    <x:row r="107">
      <x:c r="A107" s="28" t="str">
        <x:f>IF('Course_Master'!B107="","",'Course_Master'!B107)</x:f>
        <x:v>NL-0106</x:v>
      </x:c>
      <x:c r="B107" s="28" t="str">
        <x:f>IF('Course_Master'!C107="","",'Course_Master'!C107)</x:f>
        <x:v>Golf &amp; Country Makkeveld</x:v>
      </x:c>
      <x:c r="C107" s="28" t="str">
        <x:f>IF('Course_Master'!D107="","",'Course_Master'!D107)</x:f>
        <x:v>Golf &amp; Country Makkeveld</x:v>
      </x:c>
      <x:c r="D107" s="28" t="str">
        <x:f>IF('Course_Master'!E107="","",'Course_Master'!E107)</x:f>
        <x:v>Course</x:v>
      </x:c>
      <x:c r="E107" s="28" t="str">
        <x:f>IF('Course_Master'!F107="","",'Course_Master'!F107)</x:f>
        <x:v>Netherlands</x:v>
      </x:c>
      <x:c r="F107" s="28" t="str">
        <x:f>IF('Course_Master'!G107="","",'Course_Master'!G107)</x:f>
        <x:v>Groningen</x:v>
      </x:c>
      <x:c r="G107" s="28" t="str">
        <x:f>IF('Course_Master'!H107="","",'Course_Master'!H107)</x:f>
        <x:v>Eemsdelta</x:v>
      </x:c>
      <x:c r="H107" s="28" t="str">
        <x:f>IF('Course_Master'!I107="","",'Course_Master'!I107)</x:f>
        <x:v>Losdorp</x:v>
      </x:c>
      <x:c r="I107" s="28" t="str">
        <x:f>IF('Course_Master'!K107="","",'Course_Master'!K107)</x:f>
        <x:v>9907 TA</x:v>
      </x:c>
      <x:c r="J107" s="34" t="n">
        <x:f>IF('Course_Master'!L107="","",'Course_Master'!L107)</x:f>
        <x:v>53.37243071</x:v>
      </x:c>
      <x:c r="K107" s="34" t="n">
        <x:f>IF('Course_Master'!M107="","",'Course_Master'!M107)</x:f>
        <x:v>6.84446911</x:v>
      </x:c>
      <x:c r="L107" s="28" t="n">
        <x:f>IF('Course_Master'!S107="","",'Course_Master'!S107)</x:f>
        <x:v>9</x:v>
      </x:c>
      <x:c r="M107" s="28" t="n">
        <x:f>IF('Course_Master'!T107="","",'Course_Master'!T107)</x:f>
        <x:v>27</x:v>
      </x:c>
      <x:c r="N107" s="28" t="n">
        <x:f>IF('Course_Master'!Q107="","",'Course_Master'!Q107)</x:f>
        <x:v>941</x:v>
      </x:c>
      <x:c r="O107" s="28" t="n">
        <x:f>IF('Course_Master'!R107="","",'Course_Master'!R107)</x:f>
        <x:v>860</x:v>
      </x:c>
      <x:c r="P107" s="28" t="str">
        <x:f>IF('Course_Master'!U107="","",'Course_Master'!U107)</x:f>
        <x:v>Par-3 course</x:v>
      </x:c>
      <x:c r="Q107" s="28" t="str">
        <x:f>IF('Course_Master'!AD107="","",'Course_Master'!AD107)</x:f>
        <x:v>Public — no playing requirement</x:v>
      </x:c>
      <x:c r="R107" s="28" t="str">
        <x:f>IF('Course_Master'!AC107="","",'Course_Master'!AC107)</x:f>
        <x:v>Open</x:v>
      </x:c>
      <x:c r="S107" s="28" t="str">
        <x:f>IF('Course_Master'!Y107="","",'Course_Master'!Y107)</x:f>
        <x:v>https://www.golf.nl/banen-en-clubs/waar-kan-ik-golfen/731/makkeveld</x:v>
      </x:c>
      <x:c r="T107" s="28" t="b">
        <x:f>IF('Course_Master'!Z107="","",'Course_Master'!Z107)</x:f>
        <x:v>1</x:v>
      </x:c>
      <x:c r="U107" s="28" t="b">
        <x:f>IF('Course_Master'!AA107="","",'Course_Master'!AA107)</x:f>
        <x:v>1</x:v>
      </x:c>
      <x:c r="V107" s="28" t="str">
        <x:f>IF('Course_Master'!AL107="","",'Course_Master'!AL107)</x:f>
        <x:v>Verified — national register and exact BAG address</x:v>
      </x:c>
    </x:row>
    <x:row r="108">
      <x:c r="A108" s="28" t="str">
        <x:f>IF('Course_Master'!B108="","",'Course_Master'!B108)</x:f>
        <x:v>NL-0107</x:v>
      </x:c>
      <x:c r="B108" s="28" t="str">
        <x:f>IF('Course_Master'!C108="","",'Course_Master'!C108)</x:f>
        <x:v>Golfclub De Compagnie — Main Course</x:v>
      </x:c>
      <x:c r="C108" s="28" t="str">
        <x:f>IF('Course_Master'!D108="","",'Course_Master'!D108)</x:f>
        <x:v>Golfclub De Compagnie</x:v>
      </x:c>
      <x:c r="D108" s="28" t="str">
        <x:f>IF('Course_Master'!E108="","",'Course_Master'!E108)</x:f>
        <x:v>Main Course</x:v>
      </x:c>
      <x:c r="E108" s="28" t="str">
        <x:f>IF('Course_Master'!F108="","",'Course_Master'!F108)</x:f>
        <x:v>Netherlands</x:v>
      </x:c>
      <x:c r="F108" s="28" t="str">
        <x:f>IF('Course_Master'!G108="","",'Course_Master'!G108)</x:f>
        <x:v>Groningen</x:v>
      </x:c>
      <x:c r="G108" s="28" t="str">
        <x:f>IF('Course_Master'!H108="","",'Course_Master'!H108)</x:f>
        <x:v>Veendam</x:v>
      </x:c>
      <x:c r="H108" s="28" t="str">
        <x:f>IF('Course_Master'!I108="","",'Course_Master'!I108)</x:f>
        <x:v>Veendam</x:v>
      </x:c>
      <x:c r="I108" s="28" t="str">
        <x:f>IF('Course_Master'!K108="","",'Course_Master'!K108)</x:f>
        <x:v>9646 DS</x:v>
      </x:c>
      <x:c r="J108" s="34" t="n">
        <x:f>IF('Course_Master'!L108="","",'Course_Master'!L108)</x:f>
        <x:v>53.11569331</x:v>
      </x:c>
      <x:c r="K108" s="34" t="n">
        <x:f>IF('Course_Master'!M108="","",'Course_Master'!M108)</x:f>
        <x:v>6.84392971</x:v>
      </x:c>
      <x:c r="L108" s="28" t="n">
        <x:f>IF('Course_Master'!S108="","",'Course_Master'!S108)</x:f>
        <x:v>18</x:v>
      </x:c>
      <x:c r="M108" s="28" t="n">
        <x:f>IF('Course_Master'!T108="","",'Course_Master'!T108)</x:f>
        <x:v>72</x:v>
      </x:c>
      <x:c r="N108" s="28" t="n">
        <x:f>IF('Course_Master'!Q108="","",'Course_Master'!Q108)</x:f>
        <x:v>6884</x:v>
      </x:c>
      <x:c r="O108" s="28" t="n">
        <x:f>IF('Course_Master'!R108="","",'Course_Master'!R108)</x:f>
        <x:v>6295</x:v>
      </x:c>
      <x:c r="P108" s="28" t="str">
        <x:f>IF('Course_Master'!U108="","",'Course_Master'!U108)</x:f>
        <x:v>Full-length course</x:v>
      </x:c>
      <x:c r="Q108" s="28" t="str">
        <x:f>IF('Course_Master'!AD108="","",'Course_Master'!AD108)</x:f>
        <x:v>Public — handicap 54 or lower</x:v>
      </x:c>
      <x:c r="R108" s="28" t="str">
        <x:f>IF('Course_Master'!AC108="","",'Course_Master'!AC108)</x:f>
        <x:v>Open</x:v>
      </x:c>
      <x:c r="S108" s="28" t="str">
        <x:f>IF('Course_Master'!Y108="","",'Course_Master'!Y108)</x:f>
        <x:v>https://www.gcdecompagnie.nl/</x:v>
      </x:c>
      <x:c r="T108" s="28" t="b">
        <x:f>IF('Course_Master'!Z108="","",'Course_Master'!Z108)</x:f>
        <x:v>1</x:v>
      </x:c>
      <x:c r="U108" s="28" t="b">
        <x:f>IF('Course_Master'!AA108="","",'Course_Master'!AA108)</x:f>
        <x:v>1</x:v>
      </x:c>
      <x:c r="V108" s="28" t="str">
        <x:f>IF('Course_Master'!AL108="","",'Course_Master'!AL108)</x:f>
        <x:v>Verified — national register and exact BAG address</x:v>
      </x:c>
    </x:row>
    <x:row r="109">
      <x:c r="A109" s="28" t="str">
        <x:f>IF('Course_Master'!B109="","",'Course_Master'!B109)</x:f>
        <x:v>NL-0108</x:v>
      </x:c>
      <x:c r="B109" s="28" t="str">
        <x:f>IF('Course_Master'!C109="","",'Course_Master'!C109)</x:f>
        <x:v>Golfclub De Compagnie — Par-3 Course</x:v>
      </x:c>
      <x:c r="C109" s="28" t="str">
        <x:f>IF('Course_Master'!D109="","",'Course_Master'!D109)</x:f>
        <x:v>Golfclub De Compagnie</x:v>
      </x:c>
      <x:c r="D109" s="28" t="str">
        <x:f>IF('Course_Master'!E109="","",'Course_Master'!E109)</x:f>
        <x:v>Par-3 Course</x:v>
      </x:c>
      <x:c r="E109" s="28" t="str">
        <x:f>IF('Course_Master'!F109="","",'Course_Master'!F109)</x:f>
        <x:v>Netherlands</x:v>
      </x:c>
      <x:c r="F109" s="28" t="str">
        <x:f>IF('Course_Master'!G109="","",'Course_Master'!G109)</x:f>
        <x:v>Groningen</x:v>
      </x:c>
      <x:c r="G109" s="28" t="str">
        <x:f>IF('Course_Master'!H109="","",'Course_Master'!H109)</x:f>
        <x:v>Veendam</x:v>
      </x:c>
      <x:c r="H109" s="28" t="str">
        <x:f>IF('Course_Master'!I109="","",'Course_Master'!I109)</x:f>
        <x:v>Veendam</x:v>
      </x:c>
      <x:c r="I109" s="28" t="str">
        <x:f>IF('Course_Master'!K109="","",'Course_Master'!K109)</x:f>
        <x:v>9646 DS</x:v>
      </x:c>
      <x:c r="J109" s="34" t="n">
        <x:f>IF('Course_Master'!L109="","",'Course_Master'!L109)</x:f>
        <x:v>53.11569331</x:v>
      </x:c>
      <x:c r="K109" s="34" t="n">
        <x:f>IF('Course_Master'!M109="","",'Course_Master'!M109)</x:f>
        <x:v>6.84392971</x:v>
      </x:c>
      <x:c r="L109" s="28" t="n">
        <x:f>IF('Course_Master'!S109="","",'Course_Master'!S109)</x:f>
        <x:v>9</x:v>
      </x:c>
      <x:c r="M109" s="28" t="n">
        <x:f>IF('Course_Master'!T109="","",'Course_Master'!T109)</x:f>
        <x:v>27</x:v>
      </x:c>
      <x:c r="N109" s="28" t="n">
        <x:f>IF('Course_Master'!Q109="","",'Course_Master'!Q109)</x:f>
        <x:v>852</x:v>
      </x:c>
      <x:c r="O109" s="28" t="n">
        <x:f>IF('Course_Master'!R109="","",'Course_Master'!R109)</x:f>
        <x:v>779</x:v>
      </x:c>
      <x:c r="P109" s="28" t="str">
        <x:f>IF('Course_Master'!U109="","",'Course_Master'!U109)</x:f>
        <x:v>Par-3 course</x:v>
      </x:c>
      <x:c r="Q109" s="28" t="str">
        <x:f>IF('Course_Master'!AD109="","",'Course_Master'!AD109)</x:f>
        <x:v>Public — NGF course permission</x:v>
      </x:c>
      <x:c r="R109" s="28" t="str">
        <x:f>IF('Course_Master'!AC109="","",'Course_Master'!AC109)</x:f>
        <x:v>Open</x:v>
      </x:c>
      <x:c r="S109" s="28" t="str">
        <x:f>IF('Course_Master'!Y109="","",'Course_Master'!Y109)</x:f>
        <x:v>https://www.gcdecompagnie.nl/</x:v>
      </x:c>
      <x:c r="T109" s="28" t="b">
        <x:f>IF('Course_Master'!Z109="","",'Course_Master'!Z109)</x:f>
        <x:v>1</x:v>
      </x:c>
      <x:c r="U109" s="28" t="b">
        <x:f>IF('Course_Master'!AA109="","",'Course_Master'!AA109)</x:f>
        <x:v>1</x:v>
      </x:c>
      <x:c r="V109" s="28" t="str">
        <x:f>IF('Course_Master'!AL109="","",'Course_Master'!AL109)</x:f>
        <x:v>Verified — national register and exact BAG address</x:v>
      </x:c>
    </x:row>
    <x:row r="110">
      <x:c r="A110" s="28" t="str">
        <x:f>IF('Course_Master'!B110="","",'Course_Master'!B110)</x:f>
        <x:v>NL-0109</x:v>
      </x:c>
      <x:c r="B110" s="28" t="str">
        <x:f>IF('Course_Master'!C110="","",'Course_Master'!C110)</x:f>
        <x:v>Golfclub Westerwolde</x:v>
      </x:c>
      <x:c r="C110" s="28" t="str">
        <x:f>IF('Course_Master'!D110="","",'Course_Master'!D110)</x:f>
        <x:v>Golfclub Westerwolde</x:v>
      </x:c>
      <x:c r="D110" s="28" t="str">
        <x:f>IF('Course_Master'!E110="","",'Course_Master'!E110)</x:f>
        <x:v>Course</x:v>
      </x:c>
      <x:c r="E110" s="28" t="str">
        <x:f>IF('Course_Master'!F110="","",'Course_Master'!F110)</x:f>
        <x:v>Netherlands</x:v>
      </x:c>
      <x:c r="F110" s="28" t="str">
        <x:f>IF('Course_Master'!G110="","",'Course_Master'!G110)</x:f>
        <x:v>Groningen</x:v>
      </x:c>
      <x:c r="G110" s="28" t="str">
        <x:f>IF('Course_Master'!H110="","",'Course_Master'!H110)</x:f>
        <x:v>Westerwolde</x:v>
      </x:c>
      <x:c r="H110" s="28" t="str">
        <x:f>IF('Course_Master'!I110="","",'Course_Master'!I110)</x:f>
        <x:v>Vlagtwedde</x:v>
      </x:c>
      <x:c r="I110" s="28" t="str">
        <x:f>IF('Course_Master'!K110="","",'Course_Master'!K110)</x:f>
        <x:v>9541 ZA</x:v>
      </x:c>
      <x:c r="J110" s="34" t="n">
        <x:f>IF('Course_Master'!L110="","",'Course_Master'!L110)</x:f>
        <x:v>53.03702157</x:v>
      </x:c>
      <x:c r="K110" s="34" t="n">
        <x:f>IF('Course_Master'!M110="","",'Course_Master'!M110)</x:f>
        <x:v>7.10763022</x:v>
      </x:c>
      <x:c r="L110" s="28" t="n">
        <x:f>IF('Course_Master'!S110="","",'Course_Master'!S110)</x:f>
        <x:v>9</x:v>
      </x:c>
      <x:c r="M110" s="28" t="n">
        <x:f>IF('Course_Master'!T110="","",'Course_Master'!T110)</x:f>
        <x:v>35</x:v>
      </x:c>
      <x:c r="N110" s="28" t="n">
        <x:f>IF('Course_Master'!Q110="","",'Course_Master'!Q110)</x:f>
        <x:v>2699</x:v>
      </x:c>
      <x:c r="O110" s="28" t="n">
        <x:f>IF('Course_Master'!R110="","",'Course_Master'!R110)</x:f>
        <x:v>2468</x:v>
      </x:c>
      <x:c r="P110" s="28" t="str">
        <x:f>IF('Course_Master'!U110="","",'Course_Master'!U110)</x:f>
        <x:v>Full-length course</x:v>
      </x:c>
      <x:c r="Q110" s="28" t="str">
        <x:f>IF('Course_Master'!AD110="","",'Course_Master'!AD110)</x:f>
        <x:v>Public — handicap 54 or lower</x:v>
      </x:c>
      <x:c r="R110" s="28" t="str">
        <x:f>IF('Course_Master'!AC110="","",'Course_Master'!AC110)</x:f>
        <x:v>Open</x:v>
      </x:c>
      <x:c r="S110" s="28" t="str">
        <x:f>IF('Course_Master'!Y110="","",'Course_Master'!Y110)</x:f>
        <x:v>https://www.gcwesterwolde.nl/</x:v>
      </x:c>
      <x:c r="T110" s="28" t="b">
        <x:f>IF('Course_Master'!Z110="","",'Course_Master'!Z110)</x:f>
        <x:v>1</x:v>
      </x:c>
      <x:c r="U110" s="28" t="b">
        <x:f>IF('Course_Master'!AA110="","",'Course_Master'!AA110)</x:f>
        <x:v>1</x:v>
      </x:c>
      <x:c r="V110" s="28" t="str">
        <x:f>IF('Course_Master'!AL110="","",'Course_Master'!AL110)</x:f>
        <x:v>Verified — national register and exact BAG address</x:v>
      </x:c>
    </x:row>
    <x:row r="111">
      <x:c r="A111" s="28" t="str">
        <x:f>IF('Course_Master'!B111="","",'Course_Master'!B111)</x:f>
        <x:v>NL-0110</x:v>
      </x:c>
      <x:c r="B111" s="28" t="str">
        <x:f>IF('Course_Master'!C111="","",'Course_Master'!C111)</x:f>
        <x:v>Golferij Eelde Groningen</x:v>
      </x:c>
      <x:c r="C111" s="28" t="str">
        <x:f>IF('Course_Master'!D111="","",'Course_Master'!D111)</x:f>
        <x:v>Golferij Eelde Groningen</x:v>
      </x:c>
      <x:c r="D111" s="28" t="str">
        <x:f>IF('Course_Master'!E111="","",'Course_Master'!E111)</x:f>
        <x:v>Course</x:v>
      </x:c>
      <x:c r="E111" s="28" t="str">
        <x:f>IF('Course_Master'!F111="","",'Course_Master'!F111)</x:f>
        <x:v>Netherlands</x:v>
      </x:c>
      <x:c r="F111" s="28" t="str">
        <x:f>IF('Course_Master'!G111="","",'Course_Master'!G111)</x:f>
        <x:v>Groningen</x:v>
      </x:c>
      <x:c r="G111" s="28" t="str">
        <x:f>IF('Course_Master'!H111="","",'Course_Master'!H111)</x:f>
        <x:v>Tynaarlo</x:v>
      </x:c>
      <x:c r="H111" s="28" t="str">
        <x:f>IF('Course_Master'!I111="","",'Course_Master'!I111)</x:f>
        <x:v>Eelde</x:v>
      </x:c>
      <x:c r="I111" s="28" t="str">
        <x:f>IF('Course_Master'!K111="","",'Course_Master'!K111)</x:f>
        <x:v>9761 GB</x:v>
      </x:c>
      <x:c r="J111" s="34" t="n">
        <x:f>IF('Course_Master'!L111="","",'Course_Master'!L111)</x:f>
        <x:v>53.13383417</x:v>
      </x:c>
      <x:c r="K111" s="34" t="n">
        <x:f>IF('Course_Master'!M111="","",'Course_Master'!M111)</x:f>
        <x:v>6.55840736</x:v>
      </x:c>
      <x:c r="L111" s="28" t="n">
        <x:f>IF('Course_Master'!S111="","",'Course_Master'!S111)</x:f>
        <x:v>5</x:v>
      </x:c>
      <x:c r="M111" s="28" t="n">
        <x:f>IF('Course_Master'!T111="","",'Course_Master'!T111)</x:f>
        <x:v>15</x:v>
      </x:c>
      <x:c r="N111" s="28" t="n">
        <x:f>IF('Course_Master'!Q111="","",'Course_Master'!Q111)</x:f>
        <x:v>437</x:v>
      </x:c>
      <x:c r="O111" s="28" t="n">
        <x:f>IF('Course_Master'!R111="","",'Course_Master'!R111)</x:f>
        <x:v>400</x:v>
      </x:c>
      <x:c r="P111" s="28" t="str">
        <x:f>IF('Course_Master'!U111="","",'Course_Master'!U111)</x:f>
        <x:v>Shortgolf / Pitch &amp; Putt</x:v>
      </x:c>
      <x:c r="Q111" s="28" t="str">
        <x:f>IF('Course_Master'!AD111="","",'Course_Master'!AD111)</x:f>
        <x:v>Public — no playing requirement</x:v>
      </x:c>
      <x:c r="R111" s="28" t="str">
        <x:f>IF('Course_Master'!AC111="","",'Course_Master'!AC111)</x:f>
        <x:v>Open</x:v>
      </x:c>
      <x:c r="S111" s="28" t="str">
        <x:f>IF('Course_Master'!Y111="","",'Course_Master'!Y111)</x:f>
        <x:v>https://www.golferij.nl/</x:v>
      </x:c>
      <x:c r="T111" s="28" t="b">
        <x:f>IF('Course_Master'!Z111="","",'Course_Master'!Z111)</x:f>
        <x:v>1</x:v>
      </x:c>
      <x:c r="U111" s="28" t="b">
        <x:f>IF('Course_Master'!AA111="","",'Course_Master'!AA111)</x:f>
        <x:v>1</x:v>
      </x:c>
      <x:c r="V111" s="28" t="str">
        <x:f>IF('Course_Master'!AL111="","",'Course_Master'!AL111)</x:f>
        <x:v>Verified — national register and exact BAG address</x:v>
      </x:c>
    </x:row>
    <x:row r="112">
      <x:c r="A112" s="28" t="str">
        <x:f>IF('Course_Master'!B112="","",'Course_Master'!B112)</x:f>
        <x:v>NL-0111</x:v>
      </x:c>
      <x:c r="B112" s="28" t="str">
        <x:f>IF('Course_Master'!C112="","",'Course_Master'!C112)</x:f>
        <x:v>Golfpark Exloo — Noord</x:v>
      </x:c>
      <x:c r="C112" s="28" t="str">
        <x:f>IF('Course_Master'!D112="","",'Course_Master'!D112)</x:f>
        <x:v>Golfpark Exloo</x:v>
      </x:c>
      <x:c r="D112" s="28" t="str">
        <x:f>IF('Course_Master'!E112="","",'Course_Master'!E112)</x:f>
        <x:v>Noord</x:v>
      </x:c>
      <x:c r="E112" s="28" t="str">
        <x:f>IF('Course_Master'!F112="","",'Course_Master'!F112)</x:f>
        <x:v>Netherlands</x:v>
      </x:c>
      <x:c r="F112" s="28" t="str">
        <x:f>IF('Course_Master'!G112="","",'Course_Master'!G112)</x:f>
        <x:v>Groningen</x:v>
      </x:c>
      <x:c r="G112" s="28" t="str">
        <x:f>IF('Course_Master'!H112="","",'Course_Master'!H112)</x:f>
        <x:v>Borger-Odoorn</x:v>
      </x:c>
      <x:c r="H112" s="28" t="str">
        <x:f>IF('Course_Master'!I112="","",'Course_Master'!I112)</x:f>
        <x:v>Exloo</x:v>
      </x:c>
      <x:c r="I112" s="28" t="str">
        <x:f>IF('Course_Master'!K112="","",'Course_Master'!K112)</x:f>
        <x:v>7875 TA</x:v>
      </x:c>
      <x:c r="J112" s="34" t="n">
        <x:f>IF('Course_Master'!L112="","",'Course_Master'!L112)</x:f>
        <x:v>52.87396957</x:v>
      </x:c>
      <x:c r="K112" s="34" t="n">
        <x:f>IF('Course_Master'!M112="","",'Course_Master'!M112)</x:f>
        <x:v>6.88480326</x:v>
      </x:c>
      <x:c r="L112" s="28" t="n">
        <x:f>IF('Course_Master'!S112="","",'Course_Master'!S112)</x:f>
        <x:v>9</x:v>
      </x:c>
      <x:c r="M112" s="28" t="n">
        <x:f>IF('Course_Master'!T112="","",'Course_Master'!T112)</x:f>
        <x:v>29</x:v>
      </x:c>
      <x:c r="N112" s="28" t="n">
        <x:f>IF('Course_Master'!Q112="","",'Course_Master'!Q112)</x:f>
        <x:v>1593</x:v>
      </x:c>
      <x:c r="O112" s="28" t="n">
        <x:f>IF('Course_Master'!R112="","",'Course_Master'!R112)</x:f>
        <x:v>1457</x:v>
      </x:c>
      <x:c r="P112" s="28" t="str">
        <x:f>IF('Course_Master'!U112="","",'Course_Master'!U112)</x:f>
        <x:v>Par-3/4 course</x:v>
      </x:c>
      <x:c r="Q112" s="28" t="str">
        <x:f>IF('Course_Master'!AD112="","",'Course_Master'!AD112)</x:f>
        <x:v>Public — no playing requirement</x:v>
      </x:c>
      <x:c r="R112" s="28" t="str">
        <x:f>IF('Course_Master'!AC112="","",'Course_Master'!AC112)</x:f>
        <x:v>Open</x:v>
      </x:c>
      <x:c r="S112" s="28" t="str">
        <x:f>IF('Course_Master'!Y112="","",'Course_Master'!Y112)</x:f>
        <x:v>https://www.golfparkexloo.nl/</x:v>
      </x:c>
      <x:c r="T112" s="28" t="b">
        <x:f>IF('Course_Master'!Z112="","",'Course_Master'!Z112)</x:f>
        <x:v>1</x:v>
      </x:c>
      <x:c r="U112" s="28" t="b">
        <x:f>IF('Course_Master'!AA112="","",'Course_Master'!AA112)</x:f>
        <x:v>1</x:v>
      </x:c>
      <x:c r="V112" s="28" t="str">
        <x:f>IF('Course_Master'!AL112="","",'Course_Master'!AL112)</x:f>
        <x:v>Verified — national register and exact BAG address</x:v>
      </x:c>
    </x:row>
    <x:row r="113">
      <x:c r="A113" s="28" t="str">
        <x:f>IF('Course_Master'!B113="","",'Course_Master'!B113)</x:f>
        <x:v>NL-0112</x:v>
      </x:c>
      <x:c r="B113" s="28" t="str">
        <x:f>IF('Course_Master'!C113="","",'Course_Master'!C113)</x:f>
        <x:v>Golfpark Exloo — Zuid</x:v>
      </x:c>
      <x:c r="C113" s="28" t="str">
        <x:f>IF('Course_Master'!D113="","",'Course_Master'!D113)</x:f>
        <x:v>Golfpark Exloo</x:v>
      </x:c>
      <x:c r="D113" s="28" t="str">
        <x:f>IF('Course_Master'!E113="","",'Course_Master'!E113)</x:f>
        <x:v>Zuid</x:v>
      </x:c>
      <x:c r="E113" s="28" t="str">
        <x:f>IF('Course_Master'!F113="","",'Course_Master'!F113)</x:f>
        <x:v>Netherlands</x:v>
      </x:c>
      <x:c r="F113" s="28" t="str">
        <x:f>IF('Course_Master'!G113="","",'Course_Master'!G113)</x:f>
        <x:v>Groningen</x:v>
      </x:c>
      <x:c r="G113" s="28" t="str">
        <x:f>IF('Course_Master'!H113="","",'Course_Master'!H113)</x:f>
        <x:v>Borger-Odoorn</x:v>
      </x:c>
      <x:c r="H113" s="28" t="str">
        <x:f>IF('Course_Master'!I113="","",'Course_Master'!I113)</x:f>
        <x:v>Exloo</x:v>
      </x:c>
      <x:c r="I113" s="28" t="str">
        <x:f>IF('Course_Master'!K113="","",'Course_Master'!K113)</x:f>
        <x:v>7875 TA</x:v>
      </x:c>
      <x:c r="J113" s="34" t="n">
        <x:f>IF('Course_Master'!L113="","",'Course_Master'!L113)</x:f>
        <x:v>52.87396957</x:v>
      </x:c>
      <x:c r="K113" s="34" t="n">
        <x:f>IF('Course_Master'!M113="","",'Course_Master'!M113)</x:f>
        <x:v>6.88480326</x:v>
      </x:c>
      <x:c r="L113" s="28" t="n">
        <x:f>IF('Course_Master'!S113="","",'Course_Master'!S113)</x:f>
        <x:v>9</x:v>
      </x:c>
      <x:c r="M113" s="28" t="n">
        <x:f>IF('Course_Master'!T113="","",'Course_Master'!T113)</x:f>
        <x:v>35</x:v>
      </x:c>
      <x:c r="N113" s="28" t="n">
        <x:f>IF('Course_Master'!Q113="","",'Course_Master'!Q113)</x:f>
        <x:v>2918</x:v>
      </x:c>
      <x:c r="O113" s="28" t="n">
        <x:f>IF('Course_Master'!R113="","",'Course_Master'!R113)</x:f>
        <x:v>2668</x:v>
      </x:c>
      <x:c r="P113" s="28" t="str">
        <x:f>IF('Course_Master'!U113="","",'Course_Master'!U113)</x:f>
        <x:v>Full-length course</x:v>
      </x:c>
      <x:c r="Q113" s="28" t="str">
        <x:f>IF('Course_Master'!AD113="","",'Course_Master'!AD113)</x:f>
        <x:v>Public — handicap 54 or lower</x:v>
      </x:c>
      <x:c r="R113" s="28" t="str">
        <x:f>IF('Course_Master'!AC113="","",'Course_Master'!AC113)</x:f>
        <x:v>Open</x:v>
      </x:c>
      <x:c r="S113" s="28" t="str">
        <x:f>IF('Course_Master'!Y113="","",'Course_Master'!Y113)</x:f>
        <x:v>https://www.golfparkexloo.nl/</x:v>
      </x:c>
      <x:c r="T113" s="28" t="b">
        <x:f>IF('Course_Master'!Z113="","",'Course_Master'!Z113)</x:f>
        <x:v>1</x:v>
      </x:c>
      <x:c r="U113" s="28" t="b">
        <x:f>IF('Course_Master'!AA113="","",'Course_Master'!AA113)</x:f>
        <x:v>1</x:v>
      </x:c>
      <x:c r="V113" s="28" t="str">
        <x:f>IF('Course_Master'!AL113="","",'Course_Master'!AL113)</x:f>
        <x:v>Verified — national register and exact BAG address</x:v>
      </x:c>
    </x:row>
    <x:row r="114">
      <x:c r="A114" s="28" t="str">
        <x:f>IF('Course_Master'!B114="","",'Course_Master'!B114)</x:f>
        <x:v>NL-0113</x:v>
      </x:c>
      <x:c r="B114" s="28" t="str">
        <x:f>IF('Course_Master'!C114="","",'Course_Master'!C114)</x:f>
        <x:v>Groningse Golfclub Duurswold</x:v>
      </x:c>
      <x:c r="C114" s="28" t="str">
        <x:f>IF('Course_Master'!D114="","",'Course_Master'!D114)</x:f>
        <x:v>Groningse Golfclub Duurswold</x:v>
      </x:c>
      <x:c r="D114" s="28" t="str">
        <x:f>IF('Course_Master'!E114="","",'Course_Master'!E114)</x:f>
        <x:v>Course</x:v>
      </x:c>
      <x:c r="E114" s="28" t="str">
        <x:f>IF('Course_Master'!F114="","",'Course_Master'!F114)</x:f>
        <x:v>Netherlands</x:v>
      </x:c>
      <x:c r="F114" s="28" t="str">
        <x:f>IF('Course_Master'!G114="","",'Course_Master'!G114)</x:f>
        <x:v>Groningen</x:v>
      </x:c>
      <x:c r="G114" s="28" t="str">
        <x:f>IF('Course_Master'!H114="","",'Course_Master'!H114)</x:f>
        <x:v>Midden-Groningen</x:v>
      </x:c>
      <x:c r="H114" s="28" t="str">
        <x:f>IF('Course_Master'!I114="","",'Course_Master'!I114)</x:f>
        <x:v>Steendam</x:v>
      </x:c>
      <x:c r="I114" s="28" t="str">
        <x:f>IF('Course_Master'!K114="","",'Course_Master'!K114)</x:f>
        <x:v>9629 PA</x:v>
      </x:c>
      <x:c r="J114" s="34" t="n">
        <x:f>IF('Course_Master'!L114="","",'Course_Master'!L114)</x:f>
        <x:v>53.26521166</x:v>
      </x:c>
      <x:c r="K114" s="34" t="n">
        <x:f>IF('Course_Master'!M114="","",'Course_Master'!M114)</x:f>
        <x:v>6.83855978</x:v>
      </x:c>
      <x:c r="L114" s="28" t="n">
        <x:f>IF('Course_Master'!S114="","",'Course_Master'!S114)</x:f>
        <x:v>9</x:v>
      </x:c>
      <x:c r="M114" s="28" t="n">
        <x:f>IF('Course_Master'!T114="","",'Course_Master'!T114)</x:f>
        <x:v>37</x:v>
      </x:c>
      <x:c r="N114" s="28" t="n">
        <x:f>IF('Course_Master'!Q114="","",'Course_Master'!Q114)</x:f>
        <x:v>3602</x:v>
      </x:c>
      <x:c r="O114" s="28" t="n">
        <x:f>IF('Course_Master'!R114="","",'Course_Master'!R114)</x:f>
        <x:v>3294</x:v>
      </x:c>
      <x:c r="P114" s="28" t="str">
        <x:f>IF('Course_Master'!U114="","",'Course_Master'!U114)</x:f>
        <x:v>Full-length course</x:v>
      </x:c>
      <x:c r="Q114" s="28" t="str">
        <x:f>IF('Course_Master'!AD114="","",'Course_Master'!AD114)</x:f>
        <x:v>Public — handicap 54 or lower</x:v>
      </x:c>
      <x:c r="R114" s="28" t="str">
        <x:f>IF('Course_Master'!AC114="","",'Course_Master'!AC114)</x:f>
        <x:v>Open</x:v>
      </x:c>
      <x:c r="S114" s="28" t="str">
        <x:f>IF('Course_Master'!Y114="","",'Course_Master'!Y114)</x:f>
        <x:v>https://golfclubduurswold.nl/</x:v>
      </x:c>
      <x:c r="T114" s="28" t="b">
        <x:f>IF('Course_Master'!Z114="","",'Course_Master'!Z114)</x:f>
        <x:v>1</x:v>
      </x:c>
      <x:c r="U114" s="28" t="b">
        <x:f>IF('Course_Master'!AA114="","",'Course_Master'!AA114)</x:f>
        <x:v>1</x:v>
      </x:c>
      <x:c r="V114" s="28" t="str">
        <x:f>IF('Course_Master'!AL114="","",'Course_Master'!AL114)</x:f>
        <x:v>Verified — national register and exact BAG address</x:v>
      </x:c>
    </x:row>
    <x:row r="115">
      <x:c r="A115" s="28" t="str">
        <x:f>IF('Course_Master'!B115="","",'Course_Master'!B115)</x:f>
        <x:v>NL-0114</x:v>
      </x:c>
      <x:c r="B115" s="28" t="str">
        <x:f>IF('Course_Master'!C115="","",'Course_Master'!C115)</x:f>
        <x:v>Noord-Nederlandse Golf &amp; Country Club — Main Course</x:v>
      </x:c>
      <x:c r="C115" s="28" t="str">
        <x:f>IF('Course_Master'!D115="","",'Course_Master'!D115)</x:f>
        <x:v>Noord-Nederlandse Golf &amp; Country Club</x:v>
      </x:c>
      <x:c r="D115" s="28" t="str">
        <x:f>IF('Course_Master'!E115="","",'Course_Master'!E115)</x:f>
        <x:v>Main Course</x:v>
      </x:c>
      <x:c r="E115" s="28" t="str">
        <x:f>IF('Course_Master'!F115="","",'Course_Master'!F115)</x:f>
        <x:v>Netherlands</x:v>
      </x:c>
      <x:c r="F115" s="28" t="str">
        <x:f>IF('Course_Master'!G115="","",'Course_Master'!G115)</x:f>
        <x:v>Groningen</x:v>
      </x:c>
      <x:c r="G115" s="28" t="str">
        <x:f>IF('Course_Master'!H115="","",'Course_Master'!H115)</x:f>
        <x:v>Groningen</x:v>
      </x:c>
      <x:c r="H115" s="28" t="str">
        <x:f>IF('Course_Master'!I115="","",'Course_Master'!I115)</x:f>
        <x:v>Glimmen</x:v>
      </x:c>
      <x:c r="I115" s="28" t="str">
        <x:f>IF('Course_Master'!K115="","",'Course_Master'!K115)</x:f>
        <x:v>9756 CJ</x:v>
      </x:c>
      <x:c r="J115" s="34" t="n">
        <x:f>IF('Course_Master'!L115="","",'Course_Master'!L115)</x:f>
        <x:v>53.12072104</x:v>
      </x:c>
      <x:c r="K115" s="34" t="n">
        <x:f>IF('Course_Master'!M115="","",'Course_Master'!M115)</x:f>
        <x:v>6.63174292</x:v>
      </x:c>
      <x:c r="L115" s="28" t="n">
        <x:f>IF('Course_Master'!S115="","",'Course_Master'!S115)</x:f>
        <x:v>18</x:v>
      </x:c>
      <x:c r="M115" s="28" t="n">
        <x:f>IF('Course_Master'!T115="","",'Course_Master'!T115)</x:f>
        <x:v>72</x:v>
      </x:c>
      <x:c r="N115" s="28" t="n">
        <x:f>IF('Course_Master'!Q115="","",'Course_Master'!Q115)</x:f>
        <x:v>6530</x:v>
      </x:c>
      <x:c r="O115" s="28" t="n">
        <x:f>IF('Course_Master'!R115="","",'Course_Master'!R115)</x:f>
        <x:v>5971</x:v>
      </x:c>
      <x:c r="P115" s="28" t="str">
        <x:f>IF('Course_Master'!U115="","",'Course_Master'!U115)</x:f>
        <x:v>Full-length course</x:v>
      </x:c>
      <x:c r="Q115" s="28" t="str">
        <x:f>IF('Course_Master'!AD115="","",'Course_Master'!AD115)</x:f>
        <x:v>Public — handicap 54 or lower</x:v>
      </x:c>
      <x:c r="R115" s="28" t="str">
        <x:f>IF('Course_Master'!AC115="","",'Course_Master'!AC115)</x:f>
        <x:v>Open</x:v>
      </x:c>
      <x:c r="S115" s="28" t="str">
        <x:f>IF('Course_Master'!Y115="","",'Course_Master'!Y115)</x:f>
        <x:v>https://www.nngcc.nl/</x:v>
      </x:c>
      <x:c r="T115" s="28" t="b">
        <x:f>IF('Course_Master'!Z115="","",'Course_Master'!Z115)</x:f>
        <x:v>1</x:v>
      </x:c>
      <x:c r="U115" s="28" t="b">
        <x:f>IF('Course_Master'!AA115="","",'Course_Master'!AA115)</x:f>
        <x:v>1</x:v>
      </x:c>
      <x:c r="V115" s="28" t="str">
        <x:f>IF('Course_Master'!AL115="","",'Course_Master'!AL115)</x:f>
        <x:v>Verified — national register and exact BAG address</x:v>
      </x:c>
    </x:row>
    <x:row r="116">
      <x:c r="A116" s="28" t="str">
        <x:f>IF('Course_Master'!B116="","",'Course_Master'!B116)</x:f>
        <x:v>NL-0115</x:v>
      </x:c>
      <x:c r="B116" s="28" t="str">
        <x:f>IF('Course_Master'!C116="","",'Course_Master'!C116)</x:f>
        <x:v>Pitch &amp; putt Buitengoed Weerwille Ruimerwold — 1ste negen</x:v>
      </x:c>
      <x:c r="C116" s="28" t="str">
        <x:f>IF('Course_Master'!D116="","",'Course_Master'!D116)</x:f>
        <x:v>Pitch &amp; putt Buitengoed Weerwille Ruimerwold</x:v>
      </x:c>
      <x:c r="D116" s="28" t="str">
        <x:f>IF('Course_Master'!E116="","",'Course_Master'!E116)</x:f>
        <x:v>1ste negen</x:v>
      </x:c>
      <x:c r="E116" s="28" t="str">
        <x:f>IF('Course_Master'!F116="","",'Course_Master'!F116)</x:f>
        <x:v>Netherlands</x:v>
      </x:c>
      <x:c r="F116" s="28" t="str">
        <x:f>IF('Course_Master'!G116="","",'Course_Master'!G116)</x:f>
        <x:v>Groningen</x:v>
      </x:c>
      <x:c r="G116" s="28" t="str">
        <x:f>IF('Course_Master'!H116="","",'Course_Master'!H116)</x:f>
        <x:v>De Wolden</x:v>
      </x:c>
      <x:c r="H116" s="28" t="str">
        <x:f>IF('Course_Master'!I116="","",'Course_Master'!I116)</x:f>
        <x:v>Ruinerwold</x:v>
      </x:c>
      <x:c r="I116" s="28" t="str">
        <x:f>IF('Course_Master'!K116="","",'Course_Master'!K116)</x:f>
        <x:v>7961 LV</x:v>
      </x:c>
      <x:c r="J116" s="34" t="n">
        <x:f>IF('Course_Master'!L116="","",'Course_Master'!L116)</x:f>
        <x:v>52.71548579</x:v>
      </x:c>
      <x:c r="K116" s="34" t="n">
        <x:f>IF('Course_Master'!M116="","",'Course_Master'!M116)</x:f>
        <x:v>6.30654385</x:v>
      </x:c>
      <x:c r="L116" s="28" t="n">
        <x:f>IF('Course_Master'!S116="","",'Course_Master'!S116)</x:f>
        <x:v>9</x:v>
      </x:c>
      <x:c r="M116" s="28" t="n">
        <x:f>IF('Course_Master'!T116="","",'Course_Master'!T116)</x:f>
        <x:v>27</x:v>
      </x:c>
      <x:c r="N116" s="28" t="n">
        <x:f>IF('Course_Master'!Q116="","",'Course_Master'!Q116)</x:f>
        <x:v>492</x:v>
      </x:c>
      <x:c r="O116" s="28" t="n">
        <x:f>IF('Course_Master'!R116="","",'Course_Master'!R116)</x:f>
        <x:v>450</x:v>
      </x:c>
      <x:c r="P116" s="28" t="str">
        <x:f>IF('Course_Master'!U116="","",'Course_Master'!U116)</x:f>
        <x:v>Shortgolf / Pitch &amp; Putt</x:v>
      </x:c>
      <x:c r="Q116" s="28" t="str">
        <x:f>IF('Course_Master'!AD116="","",'Course_Master'!AD116)</x:f>
        <x:v>Public — no playing requirement</x:v>
      </x:c>
      <x:c r="R116" s="28" t="str">
        <x:f>IF('Course_Master'!AC116="","",'Course_Master'!AC116)</x:f>
        <x:v>Open</x:v>
      </x:c>
      <x:c r="S116" s="28" t="str">
        <x:f>IF('Course_Master'!Y116="","",'Course_Master'!Y116)</x:f>
        <x:v>https://playstay.nl/</x:v>
      </x:c>
      <x:c r="T116" s="28" t="b">
        <x:f>IF('Course_Master'!Z116="","",'Course_Master'!Z116)</x:f>
        <x:v>1</x:v>
      </x:c>
      <x:c r="U116" s="28" t="b">
        <x:f>IF('Course_Master'!AA116="","",'Course_Master'!AA116)</x:f>
        <x:v>1</x:v>
      </x:c>
      <x:c r="V116" s="28" t="str">
        <x:f>IF('Course_Master'!AL116="","",'Course_Master'!AL116)</x:f>
        <x:v>Verified — national register and exact BAG address</x:v>
      </x:c>
    </x:row>
    <x:row r="117">
      <x:c r="A117" s="28" t="str">
        <x:f>IF('Course_Master'!B117="","",'Course_Master'!B117)</x:f>
        <x:v>NL-0116</x:v>
      </x:c>
      <x:c r="B117" s="28" t="str">
        <x:f>IF('Course_Master'!C117="","",'Course_Master'!C117)</x:f>
        <x:v>Pitch &amp; putt Buitengoed Weerwille Ruinerwold — 2de negen</x:v>
      </x:c>
      <x:c r="C117" s="28" t="str">
        <x:f>IF('Course_Master'!D117="","",'Course_Master'!D117)</x:f>
        <x:v>Pitch &amp; putt Buitengoed Weerwille Ruinerwold</x:v>
      </x:c>
      <x:c r="D117" s="28" t="str">
        <x:f>IF('Course_Master'!E117="","",'Course_Master'!E117)</x:f>
        <x:v>2de negen</x:v>
      </x:c>
      <x:c r="E117" s="28" t="str">
        <x:f>IF('Course_Master'!F117="","",'Course_Master'!F117)</x:f>
        <x:v>Netherlands</x:v>
      </x:c>
      <x:c r="F117" s="28" t="str">
        <x:f>IF('Course_Master'!G117="","",'Course_Master'!G117)</x:f>
        <x:v>Groningen</x:v>
      </x:c>
      <x:c r="G117" s="28" t="str">
        <x:f>IF('Course_Master'!H117="","",'Course_Master'!H117)</x:f>
        <x:v>De Wolden</x:v>
      </x:c>
      <x:c r="H117" s="28" t="str">
        <x:f>IF('Course_Master'!I117="","",'Course_Master'!I117)</x:f>
        <x:v>Ruinerwold</x:v>
      </x:c>
      <x:c r="I117" s="28" t="str">
        <x:f>IF('Course_Master'!K117="","",'Course_Master'!K117)</x:f>
        <x:v>7961 LV</x:v>
      </x:c>
      <x:c r="J117" s="34" t="n">
        <x:f>IF('Course_Master'!L117="","",'Course_Master'!L117)</x:f>
        <x:v>52.71548579</x:v>
      </x:c>
      <x:c r="K117" s="34" t="n">
        <x:f>IF('Course_Master'!M117="","",'Course_Master'!M117)</x:f>
        <x:v>6.30654385</x:v>
      </x:c>
      <x:c r="L117" s="28" t="n">
        <x:f>IF('Course_Master'!S117="","",'Course_Master'!S117)</x:f>
        <x:v>9</x:v>
      </x:c>
      <x:c r="M117" s="28" t="n">
        <x:f>IF('Course_Master'!T117="","",'Course_Master'!T117)</x:f>
        <x:v>27</x:v>
      </x:c>
      <x:c r="N117" s="28" t="n">
        <x:f>IF('Course_Master'!Q117="","",'Course_Master'!Q117)</x:f>
        <x:v>492</x:v>
      </x:c>
      <x:c r="O117" s="28" t="n">
        <x:f>IF('Course_Master'!R117="","",'Course_Master'!R117)</x:f>
        <x:v>450</x:v>
      </x:c>
      <x:c r="P117" s="28" t="str">
        <x:f>IF('Course_Master'!U117="","",'Course_Master'!U117)</x:f>
        <x:v>Shortgolf / Pitch &amp; Putt</x:v>
      </x:c>
      <x:c r="Q117" s="28" t="str">
        <x:f>IF('Course_Master'!AD117="","",'Course_Master'!AD117)</x:f>
        <x:v>Public — no playing requirement</x:v>
      </x:c>
      <x:c r="R117" s="28" t="str">
        <x:f>IF('Course_Master'!AC117="","",'Course_Master'!AC117)</x:f>
        <x:v>Open</x:v>
      </x:c>
      <x:c r="S117" s="28" t="str">
        <x:f>IF('Course_Master'!Y117="","",'Course_Master'!Y117)</x:f>
        <x:v>https://playstay.nl/</x:v>
      </x:c>
      <x:c r="T117" s="28" t="b">
        <x:f>IF('Course_Master'!Z117="","",'Course_Master'!Z117)</x:f>
        <x:v>1</x:v>
      </x:c>
      <x:c r="U117" s="28" t="b">
        <x:f>IF('Course_Master'!AA117="","",'Course_Master'!AA117)</x:f>
        <x:v>1</x:v>
      </x:c>
      <x:c r="V117" s="28" t="str">
        <x:f>IF('Course_Master'!AL117="","",'Course_Master'!AL117)</x:f>
        <x:v>Verified — national register and exact BAG address</x:v>
      </x:c>
    </x:row>
    <x:row r="118">
      <x:c r="A118" s="28" t="str">
        <x:f>IF('Course_Master'!B118="","",'Course_Master'!B118)</x:f>
        <x:v>NL-0117</x:v>
      </x:c>
      <x:c r="B118" s="28" t="str">
        <x:f>IF('Course_Master'!C118="","",'Course_Master'!C118)</x:f>
        <x:v>Pitch &amp; putt Groningen — Shortgolf / Pitch &amp; Putt Course</x:v>
      </x:c>
      <x:c r="C118" s="28" t="str">
        <x:f>IF('Course_Master'!D118="","",'Course_Master'!D118)</x:f>
        <x:v>Pitch &amp; putt Groningen</x:v>
      </x:c>
      <x:c r="D118" s="28" t="str">
        <x:f>IF('Course_Master'!E118="","",'Course_Master'!E118)</x:f>
        <x:v>Shortgolf / Pitch &amp; Putt Course</x:v>
      </x:c>
      <x:c r="E118" s="28" t="str">
        <x:f>IF('Course_Master'!F118="","",'Course_Master'!F118)</x:f>
        <x:v>Netherlands</x:v>
      </x:c>
      <x:c r="F118" s="28" t="str">
        <x:f>IF('Course_Master'!G118="","",'Course_Master'!G118)</x:f>
        <x:v>Groningen</x:v>
      </x:c>
      <x:c r="G118" s="28" t="str">
        <x:f>IF('Course_Master'!H118="","",'Course_Master'!H118)</x:f>
        <x:v>Groningen</x:v>
      </x:c>
      <x:c r="H118" s="28" t="str">
        <x:f>IF('Course_Master'!I118="","",'Course_Master'!I118)</x:f>
        <x:v>Groningen</x:v>
      </x:c>
      <x:c r="I118" s="28" t="str">
        <x:f>IF('Course_Master'!K118="","",'Course_Master'!K118)</x:f>
        <x:v>9735 AE</x:v>
      </x:c>
      <x:c r="J118" s="34" t="n">
        <x:f>IF('Course_Master'!L118="","",'Course_Master'!L118)</x:f>
        <x:v>53.24094997</x:v>
      </x:c>
      <x:c r="K118" s="34" t="n">
        <x:f>IF('Course_Master'!M118="","",'Course_Master'!M118)</x:f>
        <x:v>6.59651638</x:v>
      </x:c>
      <x:c r="L118" s="28" t="n">
        <x:f>IF('Course_Master'!S118="","",'Course_Master'!S118)</x:f>
        <x:v>18</x:v>
      </x:c>
      <x:c r="M118" s="28" t="n">
        <x:f>IF('Course_Master'!T118="","",'Course_Master'!T118)</x:f>
        <x:v>54</x:v>
      </x:c>
      <x:c r="N118" s="28" t="n">
        <x:f>IF('Course_Master'!Q118="","",'Course_Master'!Q118)</x:f>
        <x:v>1098</x:v>
      </x:c>
      <x:c r="O118" s="28" t="n">
        <x:f>IF('Course_Master'!R118="","",'Course_Master'!R118)</x:f>
        <x:v>1004</x:v>
      </x:c>
      <x:c r="P118" s="28" t="str">
        <x:f>IF('Course_Master'!U118="","",'Course_Master'!U118)</x:f>
        <x:v>Shortgolf / Pitch &amp; Putt</x:v>
      </x:c>
      <x:c r="Q118" s="28" t="str">
        <x:f>IF('Course_Master'!AD118="","",'Course_Master'!AD118)</x:f>
        <x:v>Public — no playing requirement</x:v>
      </x:c>
      <x:c r="R118" s="28" t="str">
        <x:f>IF('Course_Master'!AC118="","",'Course_Master'!AC118)</x:f>
        <x:v>Open</x:v>
      </x:c>
      <x:c r="S118" s="28" t="str">
        <x:f>IF('Course_Master'!Y118="","",'Course_Master'!Y118)</x:f>
        <x:v>https://pitchenputtgroningen.nl/</x:v>
      </x:c>
      <x:c r="T118" s="28" t="b">
        <x:f>IF('Course_Master'!Z118="","",'Course_Master'!Z118)</x:f>
        <x:v>1</x:v>
      </x:c>
      <x:c r="U118" s="28" t="b">
        <x:f>IF('Course_Master'!AA118="","",'Course_Master'!AA118)</x:f>
        <x:v>1</x:v>
      </x:c>
      <x:c r="V118" s="28" t="str">
        <x:f>IF('Course_Master'!AL118="","",'Course_Master'!AL118)</x:f>
        <x:v>Verified — national register and exact BAG address</x:v>
      </x:c>
    </x:row>
    <x:row r="119">
      <x:c r="A119" s="28" t="str">
        <x:f>IF('Course_Master'!B119="","",'Course_Master'!B119)</x:f>
        <x:v>NL-0118</x:v>
      </x:c>
      <x:c r="B119" s="28" t="str">
        <x:f>IF('Course_Master'!C119="","",'Course_Master'!C119)</x:f>
        <x:v>Pitch &amp; putt Oostwold — Shortgolf / Pitch &amp; Putt Course</x:v>
      </x:c>
      <x:c r="C119" s="28" t="str">
        <x:f>IF('Course_Master'!D119="","",'Course_Master'!D119)</x:f>
        <x:v>Pitch &amp; putt Oostwold</x:v>
      </x:c>
      <x:c r="D119" s="28" t="str">
        <x:f>IF('Course_Master'!E119="","",'Course_Master'!E119)</x:f>
        <x:v>Shortgolf / Pitch &amp; Putt Course</x:v>
      </x:c>
      <x:c r="E119" s="28" t="str">
        <x:f>IF('Course_Master'!F119="","",'Course_Master'!F119)</x:f>
        <x:v>Netherlands</x:v>
      </x:c>
      <x:c r="F119" s="28" t="str">
        <x:f>IF('Course_Master'!G119="","",'Course_Master'!G119)</x:f>
        <x:v>Groningen</x:v>
      </x:c>
      <x:c r="G119" s="28" t="str">
        <x:f>IF('Course_Master'!H119="","",'Course_Master'!H119)</x:f>
        <x:v>Oldambt</x:v>
      </x:c>
      <x:c r="H119" s="28" t="str">
        <x:f>IF('Course_Master'!I119="","",'Course_Master'!I119)</x:f>
        <x:v>Oostwold</x:v>
      </x:c>
      <x:c r="I119" s="28" t="str">
        <x:f>IF('Course_Master'!K119="","",'Course_Master'!K119)</x:f>
        <x:v>9682 PA</x:v>
      </x:c>
      <x:c r="J119" s="34" t="n">
        <x:f>IF('Course_Master'!L119="","",'Course_Master'!L119)</x:f>
        <x:v>53.20181972</x:v>
      </x:c>
      <x:c r="K119" s="34" t="n">
        <x:f>IF('Course_Master'!M119="","",'Course_Master'!M119)</x:f>
        <x:v>7.03275265</x:v>
      </x:c>
      <x:c r="L119" s="28" t="n">
        <x:f>IF('Course_Master'!S119="","",'Course_Master'!S119)</x:f>
        <x:v>18</x:v>
      </x:c>
      <x:c r="M119" s="28" t="n">
        <x:f>IF('Course_Master'!T119="","",'Course_Master'!T119)</x:f>
        <x:v>54</x:v>
      </x:c>
      <x:c r="N119" s="28" t="n">
        <x:f>IF('Course_Master'!Q119="","",'Course_Master'!Q119)</x:f>
        <x:v>984</x:v>
      </x:c>
      <x:c r="O119" s="28" t="n">
        <x:f>IF('Course_Master'!R119="","",'Course_Master'!R119)</x:f>
        <x:v>900</x:v>
      </x:c>
      <x:c r="P119" s="28" t="str">
        <x:f>IF('Course_Master'!U119="","",'Course_Master'!U119)</x:f>
        <x:v>Shortgolf / Pitch &amp; Putt</x:v>
      </x:c>
      <x:c r="Q119" s="28" t="str">
        <x:f>IF('Course_Master'!AD119="","",'Course_Master'!AD119)</x:f>
        <x:v>Public — no playing requirement</x:v>
      </x:c>
      <x:c r="R119" s="28" t="str">
        <x:f>IF('Course_Master'!AC119="","",'Course_Master'!AC119)</x:f>
        <x:v>Open</x:v>
      </x:c>
      <x:c r="S119" s="28" t="str">
        <x:f>IF('Course_Master'!Y119="","",'Course_Master'!Y119)</x:f>
        <x:v>https://www.facebook.com/p/Pitch-en-Putt-Oostwold-100083930583979/</x:v>
      </x:c>
      <x:c r="T119" s="28" t="b">
        <x:f>IF('Course_Master'!Z119="","",'Course_Master'!Z119)</x:f>
        <x:v>1</x:v>
      </x:c>
      <x:c r="U119" s="28" t="b">
        <x:f>IF('Course_Master'!AA119="","",'Course_Master'!AA119)</x:f>
        <x:v>1</x:v>
      </x:c>
      <x:c r="V119" s="28" t="str">
        <x:f>IF('Course_Master'!AL119="","",'Course_Master'!AL119)</x:f>
        <x:v>Verified — national register and exact BAG address</x:v>
      </x:c>
    </x:row>
    <x:row r="120">
      <x:c r="A120" s="28" t="str">
        <x:f>IF('Course_Master'!B120="","",'Course_Master'!B120)</x:f>
        <x:v>NL-0119</x:v>
      </x:c>
      <x:c r="B120" s="28" t="str">
        <x:f>IF('Course_Master'!C120="","",'Course_Master'!C120)</x:f>
        <x:v>Crossmoor Golf — Main Course</x:v>
      </x:c>
      <x:c r="C120" s="28" t="str">
        <x:f>IF('Course_Master'!D120="","",'Course_Master'!D120)</x:f>
        <x:v>Crossmoor Golf</x:v>
      </x:c>
      <x:c r="D120" s="28" t="str">
        <x:f>IF('Course_Master'!E120="","",'Course_Master'!E120)</x:f>
        <x:v>Main Course</x:v>
      </x:c>
      <x:c r="E120" s="28" t="str">
        <x:f>IF('Course_Master'!F120="","",'Course_Master'!F120)</x:f>
        <x:v>Netherlands</x:v>
      </x:c>
      <x:c r="F120" s="28" t="str">
        <x:f>IF('Course_Master'!G120="","",'Course_Master'!G120)</x:f>
        <x:v>Limburg</x:v>
      </x:c>
      <x:c r="G120" s="28" t="str">
        <x:f>IF('Course_Master'!H120="","",'Course_Master'!H120)</x:f>
        <x:v>Weert</x:v>
      </x:c>
      <x:c r="H120" s="28" t="str">
        <x:f>IF('Course_Master'!I120="","",'Course_Master'!I120)</x:f>
        <x:v>Weert</x:v>
      </x:c>
      <x:c r="I120" s="28" t="str">
        <x:f>IF('Course_Master'!K120="","",'Course_Master'!K120)</x:f>
        <x:v>6006 VR</x:v>
      </x:c>
      <x:c r="J120" s="34" t="n">
        <x:f>IF('Course_Master'!L120="","",'Course_Master'!L120)</x:f>
        <x:v>51.22259221</x:v>
      </x:c>
      <x:c r="K120" s="34" t="n">
        <x:f>IF('Course_Master'!M120="","",'Course_Master'!M120)</x:f>
        <x:v>5.64411348</x:v>
      </x:c>
      <x:c r="L120" s="28" t="n">
        <x:f>IF('Course_Master'!S120="","",'Course_Master'!S120)</x:f>
        <x:v>18</x:v>
      </x:c>
      <x:c r="M120" s="28" t="n">
        <x:f>IF('Course_Master'!T120="","",'Course_Master'!T120)</x:f>
        <x:v>72</x:v>
      </x:c>
      <x:c r="N120" s="28" t="n">
        <x:f>IF('Course_Master'!Q120="","",'Course_Master'!Q120)</x:f>
        <x:v>6778</x:v>
      </x:c>
      <x:c r="O120" s="28" t="n">
        <x:f>IF('Course_Master'!R120="","",'Course_Master'!R120)</x:f>
        <x:v>6198</x:v>
      </x:c>
      <x:c r="P120" s="28" t="str">
        <x:f>IF('Course_Master'!U120="","",'Course_Master'!U120)</x:f>
        <x:v>Full-length course</x:v>
      </x:c>
      <x:c r="Q120" s="28" t="str">
        <x:f>IF('Course_Master'!AD120="","",'Course_Master'!AD120)</x:f>
        <x:v>Public — handicap 54 or lower</x:v>
      </x:c>
      <x:c r="R120" s="28" t="str">
        <x:f>IF('Course_Master'!AC120="","",'Course_Master'!AC120)</x:f>
        <x:v>Open</x:v>
      </x:c>
      <x:c r="S120" s="28" t="str">
        <x:f>IF('Course_Master'!Y120="","",'Course_Master'!Y120)</x:f>
        <x:v>https://www.domeinlaurabos.com/crossmoor-golf/</x:v>
      </x:c>
      <x:c r="T120" s="28" t="b">
        <x:f>IF('Course_Master'!Z120="","",'Course_Master'!Z120)</x:f>
        <x:v>1</x:v>
      </x:c>
      <x:c r="U120" s="28" t="b">
        <x:f>IF('Course_Master'!AA120="","",'Course_Master'!AA120)</x:f>
        <x:v>1</x:v>
      </x:c>
      <x:c r="V120" s="28" t="str">
        <x:f>IF('Course_Master'!AL120="","",'Course_Master'!AL120)</x:f>
        <x:v>Verified — national register and exact BAG address</x:v>
      </x:c>
    </x:row>
    <x:row r="121">
      <x:c r="A121" s="28" t="str">
        <x:f>IF('Course_Master'!B121="","",'Course_Master'!B121)</x:f>
        <x:v>NL-0120</x:v>
      </x:c>
      <x:c r="B121" s="28" t="str">
        <x:f>IF('Course_Master'!C121="","",'Course_Master'!C121)</x:f>
        <x:v>Crossmoor Golf — Par-3 Course</x:v>
      </x:c>
      <x:c r="C121" s="28" t="str">
        <x:f>IF('Course_Master'!D121="","",'Course_Master'!D121)</x:f>
        <x:v>Crossmoor Golf</x:v>
      </x:c>
      <x:c r="D121" s="28" t="str">
        <x:f>IF('Course_Master'!E121="","",'Course_Master'!E121)</x:f>
        <x:v>Par-3 Course</x:v>
      </x:c>
      <x:c r="E121" s="28" t="str">
        <x:f>IF('Course_Master'!F121="","",'Course_Master'!F121)</x:f>
        <x:v>Netherlands</x:v>
      </x:c>
      <x:c r="F121" s="28" t="str">
        <x:f>IF('Course_Master'!G121="","",'Course_Master'!G121)</x:f>
        <x:v>Limburg</x:v>
      </x:c>
      <x:c r="G121" s="28" t="str">
        <x:f>IF('Course_Master'!H121="","",'Course_Master'!H121)</x:f>
        <x:v>Weert</x:v>
      </x:c>
      <x:c r="H121" s="28" t="str">
        <x:f>IF('Course_Master'!I121="","",'Course_Master'!I121)</x:f>
        <x:v>Weert</x:v>
      </x:c>
      <x:c r="I121" s="28" t="str">
        <x:f>IF('Course_Master'!K121="","",'Course_Master'!K121)</x:f>
        <x:v>6006 VR</x:v>
      </x:c>
      <x:c r="J121" s="34" t="n">
        <x:f>IF('Course_Master'!L121="","",'Course_Master'!L121)</x:f>
        <x:v>51.22259221</x:v>
      </x:c>
      <x:c r="K121" s="34" t="n">
        <x:f>IF('Course_Master'!M121="","",'Course_Master'!M121)</x:f>
        <x:v>5.64411348</x:v>
      </x:c>
      <x:c r="L121" s="28" t="n">
        <x:f>IF('Course_Master'!S121="","",'Course_Master'!S121)</x:f>
        <x:v>9</x:v>
      </x:c>
      <x:c r="M121" s="28" t="n">
        <x:f>IF('Course_Master'!T121="","",'Course_Master'!T121)</x:f>
        <x:v>27</x:v>
      </x:c>
      <x:c r="N121" s="28" t="n">
        <x:f>IF('Course_Master'!Q121="","",'Course_Master'!Q121)</x:f>
        <x:v>855</x:v>
      </x:c>
      <x:c r="O121" s="28" t="n">
        <x:f>IF('Course_Master'!R121="","",'Course_Master'!R121)</x:f>
        <x:v>782</x:v>
      </x:c>
      <x:c r="P121" s="28" t="str">
        <x:f>IF('Course_Master'!U121="","",'Course_Master'!U121)</x:f>
        <x:v>Par-3 course</x:v>
      </x:c>
      <x:c r="Q121" s="28" t="str">
        <x:f>IF('Course_Master'!AD121="","",'Course_Master'!AD121)</x:f>
        <x:v>Public — handicap 54 or lower</x:v>
      </x:c>
      <x:c r="R121" s="28" t="str">
        <x:f>IF('Course_Master'!AC121="","",'Course_Master'!AC121)</x:f>
        <x:v>Open</x:v>
      </x:c>
      <x:c r="S121" s="28" t="str">
        <x:f>IF('Course_Master'!Y121="","",'Course_Master'!Y121)</x:f>
        <x:v>https://www.domeinlaurabos.com/crossmoor-golf/</x:v>
      </x:c>
      <x:c r="T121" s="28" t="b">
        <x:f>IF('Course_Master'!Z121="","",'Course_Master'!Z121)</x:f>
        <x:v>1</x:v>
      </x:c>
      <x:c r="U121" s="28" t="b">
        <x:f>IF('Course_Master'!AA121="","",'Course_Master'!AA121)</x:f>
        <x:v>1</x:v>
      </x:c>
      <x:c r="V121" s="28" t="str">
        <x:f>IF('Course_Master'!AL121="","",'Course_Master'!AL121)</x:f>
        <x:v>Verified — national register and exact BAG address</x:v>
      </x:c>
    </x:row>
    <x:row r="122">
      <x:c r="A122" s="28" t="str">
        <x:f>IF('Course_Master'!B122="","",'Course_Master'!B122)</x:f>
        <x:v>NL-0121</x:v>
      </x:c>
      <x:c r="B122" s="28" t="str">
        <x:f>IF('Course_Master'!C122="","",'Course_Master'!C122)</x:f>
        <x:v>De Herkenbosche — Main Course</x:v>
      </x:c>
      <x:c r="C122" s="28" t="str">
        <x:f>IF('Course_Master'!D122="","",'Course_Master'!D122)</x:f>
        <x:v>De Herkenbosche</x:v>
      </x:c>
      <x:c r="D122" s="28" t="str">
        <x:f>IF('Course_Master'!E122="","",'Course_Master'!E122)</x:f>
        <x:v>Main Course</x:v>
      </x:c>
      <x:c r="E122" s="28" t="str">
        <x:f>IF('Course_Master'!F122="","",'Course_Master'!F122)</x:f>
        <x:v>Netherlands</x:v>
      </x:c>
      <x:c r="F122" s="28" t="str">
        <x:f>IF('Course_Master'!G122="","",'Course_Master'!G122)</x:f>
        <x:v>Limburg</x:v>
      </x:c>
      <x:c r="G122" s="28" t="str">
        <x:f>IF('Course_Master'!H122="","",'Course_Master'!H122)</x:f>
        <x:v>Roerdalen</x:v>
      </x:c>
      <x:c r="H122" s="28" t="str">
        <x:f>IF('Course_Master'!I122="","",'Course_Master'!I122)</x:f>
        <x:v>Herkenbosch</x:v>
      </x:c>
      <x:c r="I122" s="28" t="str">
        <x:f>IF('Course_Master'!K122="","",'Course_Master'!K122)</x:f>
        <x:v>6075 CD</x:v>
      </x:c>
      <x:c r="J122" s="34" t="n">
        <x:f>IF('Course_Master'!L122="","",'Course_Master'!L122)</x:f>
        <x:v>51.17101833</x:v>
      </x:c>
      <x:c r="K122" s="34" t="n">
        <x:f>IF('Course_Master'!M122="","",'Course_Master'!M122)</x:f>
        <x:v>6.0623677</x:v>
      </x:c>
      <x:c r="L122" s="28" t="n">
        <x:f>IF('Course_Master'!S122="","",'Course_Master'!S122)</x:f>
        <x:v>18</x:v>
      </x:c>
      <x:c r="M122" s="28" t="n">
        <x:f>IF('Course_Master'!T122="","",'Course_Master'!T122)</x:f>
        <x:v>72</x:v>
      </x:c>
      <x:c r="N122" s="28" t="n">
        <x:f>IF('Course_Master'!Q122="","",'Course_Master'!Q122)</x:f>
        <x:v>6716</x:v>
      </x:c>
      <x:c r="O122" s="28" t="n">
        <x:f>IF('Course_Master'!R122="","",'Course_Master'!R122)</x:f>
        <x:v>6141</x:v>
      </x:c>
      <x:c r="P122" s="28" t="str">
        <x:f>IF('Course_Master'!U122="","",'Course_Master'!U122)</x:f>
        <x:v>Full-length course</x:v>
      </x:c>
      <x:c r="Q122" s="28" t="str">
        <x:f>IF('Course_Master'!AD122="","",'Course_Master'!AD122)</x:f>
        <x:v>Public — no playing requirement</x:v>
      </x:c>
      <x:c r="R122" s="28" t="str">
        <x:f>IF('Course_Master'!AC122="","",'Course_Master'!AC122)</x:f>
        <x:v>Open</x:v>
      </x:c>
      <x:c r="S122" s="28" t="str">
        <x:f>IF('Course_Master'!Y122="","",'Course_Master'!Y122)</x:f>
        <x:v>https://deherkenbosche.nl/</x:v>
      </x:c>
      <x:c r="T122" s="28" t="b">
        <x:f>IF('Course_Master'!Z122="","",'Course_Master'!Z122)</x:f>
        <x:v>1</x:v>
      </x:c>
      <x:c r="U122" s="28" t="b">
        <x:f>IF('Course_Master'!AA122="","",'Course_Master'!AA122)</x:f>
        <x:v>1</x:v>
      </x:c>
      <x:c r="V122" s="28" t="str">
        <x:f>IF('Course_Master'!AL122="","",'Course_Master'!AL122)</x:f>
        <x:v>Verified — national register and exact BAG address</x:v>
      </x:c>
    </x:row>
    <x:row r="123">
      <x:c r="A123" s="28" t="str">
        <x:f>IF('Course_Master'!B123="","",'Course_Master'!B123)</x:f>
        <x:v>NL-0122</x:v>
      </x:c>
      <x:c r="B123" s="28" t="str">
        <x:f>IF('Course_Master'!C123="","",'Course_Master'!C123)</x:f>
        <x:v>De Herkenbosche — Par-3 Course</x:v>
      </x:c>
      <x:c r="C123" s="28" t="str">
        <x:f>IF('Course_Master'!D123="","",'Course_Master'!D123)</x:f>
        <x:v>De Herkenbosche</x:v>
      </x:c>
      <x:c r="D123" s="28" t="str">
        <x:f>IF('Course_Master'!E123="","",'Course_Master'!E123)</x:f>
        <x:v>Par-3 Course</x:v>
      </x:c>
      <x:c r="E123" s="28" t="str">
        <x:f>IF('Course_Master'!F123="","",'Course_Master'!F123)</x:f>
        <x:v>Netherlands</x:v>
      </x:c>
      <x:c r="F123" s="28" t="str">
        <x:f>IF('Course_Master'!G123="","",'Course_Master'!G123)</x:f>
        <x:v>Limburg</x:v>
      </x:c>
      <x:c r="G123" s="28" t="str">
        <x:f>IF('Course_Master'!H123="","",'Course_Master'!H123)</x:f>
        <x:v>Roerdalen</x:v>
      </x:c>
      <x:c r="H123" s="28" t="str">
        <x:f>IF('Course_Master'!I123="","",'Course_Master'!I123)</x:f>
        <x:v>Herkenbosch</x:v>
      </x:c>
      <x:c r="I123" s="28" t="str">
        <x:f>IF('Course_Master'!K123="","",'Course_Master'!K123)</x:f>
        <x:v>6075 CD</x:v>
      </x:c>
      <x:c r="J123" s="34" t="n">
        <x:f>IF('Course_Master'!L123="","",'Course_Master'!L123)</x:f>
        <x:v>51.17101833</x:v>
      </x:c>
      <x:c r="K123" s="34" t="n">
        <x:f>IF('Course_Master'!M123="","",'Course_Master'!M123)</x:f>
        <x:v>6.0623677</x:v>
      </x:c>
      <x:c r="L123" s="28" t="n">
        <x:f>IF('Course_Master'!S123="","",'Course_Master'!S123)</x:f>
        <x:v>9</x:v>
      </x:c>
      <x:c r="M123" s="28" t="n">
        <x:f>IF('Course_Master'!T123="","",'Course_Master'!T123)</x:f>
        <x:v>27</x:v>
      </x:c>
      <x:c r="N123" s="28" t="n">
        <x:f>IF('Course_Master'!Q123="","",'Course_Master'!Q123)</x:f>
        <x:v>615</x:v>
      </x:c>
      <x:c r="O123" s="28" t="n">
        <x:f>IF('Course_Master'!R123="","",'Course_Master'!R123)</x:f>
        <x:v>562</x:v>
      </x:c>
      <x:c r="P123" s="28" t="str">
        <x:f>IF('Course_Master'!U123="","",'Course_Master'!U123)</x:f>
        <x:v>Par-3 course</x:v>
      </x:c>
      <x:c r="Q123" s="28" t="str">
        <x:f>IF('Course_Master'!AD123="","",'Course_Master'!AD123)</x:f>
        <x:v>Public — NGF course permission</x:v>
      </x:c>
      <x:c r="R123" s="28" t="str">
        <x:f>IF('Course_Master'!AC123="","",'Course_Master'!AC123)</x:f>
        <x:v>Open</x:v>
      </x:c>
      <x:c r="S123" s="28" t="str">
        <x:f>IF('Course_Master'!Y123="","",'Course_Master'!Y123)</x:f>
        <x:v>https://deherkenbosche.nl/</x:v>
      </x:c>
      <x:c r="T123" s="28" t="b">
        <x:f>IF('Course_Master'!Z123="","",'Course_Master'!Z123)</x:f>
        <x:v>1</x:v>
      </x:c>
      <x:c r="U123" s="28" t="b">
        <x:f>IF('Course_Master'!AA123="","",'Course_Master'!AA123)</x:f>
        <x:v>1</x:v>
      </x:c>
      <x:c r="V123" s="28" t="str">
        <x:f>IF('Course_Master'!AL123="","",'Course_Master'!AL123)</x:f>
        <x:v>Verified — national register and exact BAG address</x:v>
      </x:c>
    </x:row>
    <x:row r="124">
      <x:c r="A124" s="28" t="str">
        <x:f>IF('Course_Master'!B124="","",'Course_Master'!B124)</x:f>
        <x:v>NL-0123</x:v>
      </x:c>
      <x:c r="B124" s="28" t="str">
        <x:f>IF('Course_Master'!C124="","",'Course_Master'!C124)</x:f>
        <x:v>De Zuid Limburgse Golf- en Countryclub Wittem — Main Course</x:v>
      </x:c>
      <x:c r="C124" s="28" t="str">
        <x:f>IF('Course_Master'!D124="","",'Course_Master'!D124)</x:f>
        <x:v>De Zuid Limburgse Golf- en Countryclub Wittem</x:v>
      </x:c>
      <x:c r="D124" s="28" t="str">
        <x:f>IF('Course_Master'!E124="","",'Course_Master'!E124)</x:f>
        <x:v>Main Course</x:v>
      </x:c>
      <x:c r="E124" s="28" t="str">
        <x:f>IF('Course_Master'!F124="","",'Course_Master'!F124)</x:f>
        <x:v>Netherlands</x:v>
      </x:c>
      <x:c r="F124" s="28" t="str">
        <x:f>IF('Course_Master'!G124="","",'Course_Master'!G124)</x:f>
        <x:v>Limburg</x:v>
      </x:c>
      <x:c r="G124" s="28" t="str">
        <x:f>IF('Course_Master'!H124="","",'Course_Master'!H124)</x:f>
        <x:v>Gulpen-Wittem</x:v>
      </x:c>
      <x:c r="H124" s="28" t="str">
        <x:f>IF('Course_Master'!I124="","",'Course_Master'!I124)</x:f>
        <x:v>Mechelen</x:v>
      </x:c>
      <x:c r="I124" s="28" t="str">
        <x:f>IF('Course_Master'!K124="","",'Course_Master'!K124)</x:f>
        <x:v>6281 PC</x:v>
      </x:c>
      <x:c r="J124" s="34" t="n">
        <x:f>IF('Course_Master'!L124="","",'Course_Master'!L124)</x:f>
        <x:v>50.79004153</x:v>
      </x:c>
      <x:c r="K124" s="34" t="n">
        <x:f>IF('Course_Master'!M124="","",'Course_Master'!M124)</x:f>
        <x:v>5.89587864</x:v>
      </x:c>
      <x:c r="L124" s="28" t="n">
        <x:f>IF('Course_Master'!S124="","",'Course_Master'!S124)</x:f>
        <x:v>18</x:v>
      </x:c>
      <x:c r="M124" s="28" t="n">
        <x:f>IF('Course_Master'!T124="","",'Course_Master'!T124)</x:f>
        <x:v>71</x:v>
      </x:c>
      <x:c r="N124" s="28" t="n">
        <x:f>IF('Course_Master'!Q124="","",'Course_Master'!Q124)</x:f>
        <x:v>6305</x:v>
      </x:c>
      <x:c r="O124" s="28" t="n">
        <x:f>IF('Course_Master'!R124="","",'Course_Master'!R124)</x:f>
        <x:v>5765</x:v>
      </x:c>
      <x:c r="P124" s="28" t="str">
        <x:f>IF('Course_Master'!U124="","",'Course_Master'!U124)</x:f>
        <x:v>Full-length course</x:v>
      </x:c>
      <x:c r="Q124" s="28" t="str">
        <x:f>IF('Course_Master'!AD124="","",'Course_Master'!AD124)</x:f>
        <x:v>Public — handicap 36 or lower</x:v>
      </x:c>
      <x:c r="R124" s="28" t="str">
        <x:f>IF('Course_Master'!AC124="","",'Course_Master'!AC124)</x:f>
        <x:v>Open</x:v>
      </x:c>
      <x:c r="S124" s="28" t="str">
        <x:f>IF('Course_Master'!Y124="","",'Course_Master'!Y124)</x:f>
        <x:v>https://zlgolf.nl/</x:v>
      </x:c>
      <x:c r="T124" s="28" t="b">
        <x:f>IF('Course_Master'!Z124="","",'Course_Master'!Z124)</x:f>
        <x:v>1</x:v>
      </x:c>
      <x:c r="U124" s="28" t="b">
        <x:f>IF('Course_Master'!AA124="","",'Course_Master'!AA124)</x:f>
        <x:v>1</x:v>
      </x:c>
      <x:c r="V124" s="28" t="str">
        <x:f>IF('Course_Master'!AL124="","",'Course_Master'!AL124)</x:f>
        <x:v>Verified — national register and exact BAG address</x:v>
      </x:c>
    </x:row>
    <x:row r="125">
      <x:c r="A125" s="28" t="str">
        <x:f>IF('Course_Master'!B125="","",'Course_Master'!B125)</x:f>
        <x:v>NL-0124</x:v>
      </x:c>
      <x:c r="B125" s="28" t="str">
        <x:f>IF('Course_Master'!C125="","",'Course_Master'!C125)</x:f>
        <x:v>Golf aan de Postweg</x:v>
      </x:c>
      <x:c r="C125" s="28" t="str">
        <x:f>IF('Course_Master'!D125="","",'Course_Master'!D125)</x:f>
        <x:v>Golf aan de Postweg</x:v>
      </x:c>
      <x:c r="D125" s="28" t="str">
        <x:f>IF('Course_Master'!E125="","",'Course_Master'!E125)</x:f>
        <x:v>Course</x:v>
      </x:c>
      <x:c r="E125" s="28" t="str">
        <x:f>IF('Course_Master'!F125="","",'Course_Master'!F125)</x:f>
        <x:v>Netherlands</x:v>
      </x:c>
      <x:c r="F125" s="28" t="str">
        <x:f>IF('Course_Master'!G125="","",'Course_Master'!G125)</x:f>
        <x:v>Limburg</x:v>
      </x:c>
      <x:c r="G125" s="28" t="str">
        <x:f>IF('Course_Master'!H125="","",'Course_Master'!H125)</x:f>
        <x:v>Venlo</x:v>
      </x:c>
      <x:c r="H125" s="28" t="str">
        <x:f>IF('Course_Master'!I125="","",'Course_Master'!I125)</x:f>
        <x:v>Venlo</x:v>
      </x:c>
      <x:c r="I125" s="28" t="str">
        <x:f>IF('Course_Master'!K125="","",'Course_Master'!K125)</x:f>
        <x:v>5915 CM</x:v>
      </x:c>
      <x:c r="J125" s="34" t="n">
        <x:f>IF('Course_Master'!L125="","",'Course_Master'!L125)</x:f>
        <x:v>51.3543262</x:v>
      </x:c>
      <x:c r="K125" s="34" t="n">
        <x:f>IF('Course_Master'!M125="","",'Course_Master'!M125)</x:f>
        <x:v>6.19021059</x:v>
      </x:c>
      <x:c r="L125" s="28" t="n">
        <x:f>IF('Course_Master'!S125="","",'Course_Master'!S125)</x:f>
        <x:v>9</x:v>
      </x:c>
      <x:c r="M125" s="28" t="n">
        <x:f>IF('Course_Master'!T125="","",'Course_Master'!T125)</x:f>
        <x:v>29</x:v>
      </x:c>
      <x:c r="N125" s="28" t="n">
        <x:f>IF('Course_Master'!Q125="","",'Course_Master'!Q125)</x:f>
        <x:v>1094</x:v>
      </x:c>
      <x:c r="O125" s="28" t="n">
        <x:f>IF('Course_Master'!R125="","",'Course_Master'!R125)</x:f>
        <x:v>1000</x:v>
      </x:c>
      <x:c r="P125" s="28" t="str">
        <x:f>IF('Course_Master'!U125="","",'Course_Master'!U125)</x:f>
        <x:v>Par-3/4 course</x:v>
      </x:c>
      <x:c r="Q125" s="28" t="str">
        <x:f>IF('Course_Master'!AD125="","",'Course_Master'!AD125)</x:f>
        <x:v>Public — no playing requirement</x:v>
      </x:c>
      <x:c r="R125" s="28" t="str">
        <x:f>IF('Course_Master'!AC125="","",'Course_Master'!AC125)</x:f>
        <x:v>Open</x:v>
      </x:c>
      <x:c r="S125" s="28" t="str">
        <x:f>IF('Course_Master'!Y125="","",'Course_Master'!Y125)</x:f>
        <x:v>https://golfaandepostweg.nl/</x:v>
      </x:c>
      <x:c r="T125" s="28" t="b">
        <x:f>IF('Course_Master'!Z125="","",'Course_Master'!Z125)</x:f>
        <x:v>1</x:v>
      </x:c>
      <x:c r="U125" s="28" t="b">
        <x:f>IF('Course_Master'!AA125="","",'Course_Master'!AA125)</x:f>
        <x:v>1</x:v>
      </x:c>
      <x:c r="V125" s="28" t="str">
        <x:f>IF('Course_Master'!AL125="","",'Course_Master'!AL125)</x:f>
        <x:v>Verified — national register and exact BAG address</x:v>
      </x:c>
    </x:row>
    <x:row r="126">
      <x:c r="A126" s="28" t="str">
        <x:f>IF('Course_Master'!B126="","",'Course_Master'!B126)</x:f>
        <x:v>NL-0125</x:v>
      </x:c>
      <x:c r="B126" s="28" t="str">
        <x:f>IF('Course_Master'!C126="","",'Course_Master'!C126)</x:f>
        <x:v>Golf Eyckenduyn</x:v>
      </x:c>
      <x:c r="C126" s="28" t="str">
        <x:f>IF('Course_Master'!D126="","",'Course_Master'!D126)</x:f>
        <x:v>Golf Eyckenduyn</x:v>
      </x:c>
      <x:c r="D126" s="28" t="str">
        <x:f>IF('Course_Master'!E126="","",'Course_Master'!E126)</x:f>
        <x:v>Course</x:v>
      </x:c>
      <x:c r="E126" s="28" t="str">
        <x:f>IF('Course_Master'!F126="","",'Course_Master'!F126)</x:f>
        <x:v>Netherlands</x:v>
      </x:c>
      <x:c r="F126" s="28" t="str">
        <x:f>IF('Course_Master'!G126="","",'Course_Master'!G126)</x:f>
        <x:v>Limburg</x:v>
      </x:c>
      <x:c r="G126" s="28" t="str">
        <x:f>IF('Course_Master'!H126="","",'Course_Master'!H126)</x:f>
        <x:v>Peel en Maas</x:v>
      </x:c>
      <x:c r="H126" s="28" t="str">
        <x:f>IF('Course_Master'!I126="","",'Course_Master'!I126)</x:f>
        <x:v>Helden</x:v>
      </x:c>
      <x:c r="I126" s="28" t="str">
        <x:f>IF('Course_Master'!K126="","",'Course_Master'!K126)</x:f>
        <x:v>5988 CC</x:v>
      </x:c>
      <x:c r="J126" s="34" t="n">
        <x:f>IF('Course_Master'!L126="","",'Course_Master'!L126)</x:f>
        <x:v>51.31817482</x:v>
      </x:c>
      <x:c r="K126" s="34" t="n">
        <x:f>IF('Course_Master'!M126="","",'Course_Master'!M126)</x:f>
        <x:v>6.00467412</x:v>
      </x:c>
      <x:c r="L126" s="28" t="n">
        <x:f>IF('Course_Master'!S126="","",'Course_Master'!S126)</x:f>
        <x:v>9</x:v>
      </x:c>
      <x:c r="M126" s="28" t="n">
        <x:f>IF('Course_Master'!T126="","",'Course_Master'!T126)</x:f>
        <x:v>29</x:v>
      </x:c>
      <x:c r="N126" s="28" t="n">
        <x:f>IF('Course_Master'!Q126="","",'Course_Master'!Q126)</x:f>
        <x:v>1635</x:v>
      </x:c>
      <x:c r="O126" s="28" t="n">
        <x:f>IF('Course_Master'!R126="","",'Course_Master'!R126)</x:f>
        <x:v>1495</x:v>
      </x:c>
      <x:c r="P126" s="28" t="str">
        <x:f>IF('Course_Master'!U126="","",'Course_Master'!U126)</x:f>
        <x:v>Par-3/4 course</x:v>
      </x:c>
      <x:c r="Q126" s="28" t="str">
        <x:f>IF('Course_Master'!AD126="","",'Course_Master'!AD126)</x:f>
        <x:v>Public — handicap 54 or lower</x:v>
      </x:c>
      <x:c r="R126" s="28" t="str">
        <x:f>IF('Course_Master'!AC126="","",'Course_Master'!AC126)</x:f>
        <x:v>Open</x:v>
      </x:c>
      <x:c r="S126" s="28" t="str">
        <x:f>IF('Course_Master'!Y126="","",'Course_Master'!Y126)</x:f>
        <x:v>https://www.eyckenduyn.nl/</x:v>
      </x:c>
      <x:c r="T126" s="28" t="b">
        <x:f>IF('Course_Master'!Z126="","",'Course_Master'!Z126)</x:f>
        <x:v>1</x:v>
      </x:c>
      <x:c r="U126" s="28" t="b">
        <x:f>IF('Course_Master'!AA126="","",'Course_Master'!AA126)</x:f>
        <x:v>1</x:v>
      </x:c>
      <x:c r="V126" s="28" t="str">
        <x:f>IF('Course_Master'!AL126="","",'Course_Master'!AL126)</x:f>
        <x:v>Verified — national register and exact BAG address</x:v>
      </x:c>
    </x:row>
    <x:row r="127">
      <x:c r="A127" s="28" t="str">
        <x:f>IF('Course_Master'!B127="","",'Course_Master'!B127)</x:f>
        <x:v>NL-0126</x:v>
      </x:c>
      <x:c r="B127" s="28" t="str">
        <x:f>IF('Course_Master'!C127="","",'Course_Master'!C127)</x:f>
        <x:v>Golf Maasduinen</x:v>
      </x:c>
      <x:c r="C127" s="28" t="str">
        <x:f>IF('Course_Master'!D127="","",'Course_Master'!D127)</x:f>
        <x:v>Golf Maasduinen</x:v>
      </x:c>
      <x:c r="D127" s="28" t="str">
        <x:f>IF('Course_Master'!E127="","",'Course_Master'!E127)</x:f>
        <x:v>Course</x:v>
      </x:c>
      <x:c r="E127" s="28" t="str">
        <x:f>IF('Course_Master'!F127="","",'Course_Master'!F127)</x:f>
        <x:v>Netherlands</x:v>
      </x:c>
      <x:c r="F127" s="28" t="str">
        <x:f>IF('Course_Master'!G127="","",'Course_Master'!G127)</x:f>
        <x:v>Limburg</x:v>
      </x:c>
      <x:c r="G127" s="28" t="str">
        <x:f>IF('Course_Master'!H127="","",'Course_Master'!H127)</x:f>
        <x:v>Venlo</x:v>
      </x:c>
      <x:c r="H127" s="28" t="str">
        <x:f>IF('Course_Master'!I127="","",'Course_Master'!I127)</x:f>
        <x:v>Arcen</x:v>
      </x:c>
      <x:c r="I127" s="28" t="str">
        <x:f>IF('Course_Master'!K127="","",'Course_Master'!K127)</x:f>
        <x:v>5944 NR</x:v>
      </x:c>
      <x:c r="J127" s="34" t="n">
        <x:f>IF('Course_Master'!L127="","",'Course_Master'!L127)</x:f>
        <x:v>51.50015132</x:v>
      </x:c>
      <x:c r="K127" s="34" t="n">
        <x:f>IF('Course_Master'!M127="","",'Course_Master'!M127)</x:f>
        <x:v>6.17620181</x:v>
      </x:c>
      <x:c r="L127" s="28" t="n">
        <x:f>IF('Course_Master'!S127="","",'Course_Master'!S127)</x:f>
        <x:v>9</x:v>
      </x:c>
      <x:c r="M127" s="28" t="n">
        <x:f>IF('Course_Master'!T127="","",'Course_Master'!T127)</x:f>
        <x:v>29</x:v>
      </x:c>
      <x:c r="N127" s="28" t="n">
        <x:f>IF('Course_Master'!Q127="","",'Course_Master'!Q127)</x:f>
        <x:v>1298</x:v>
      </x:c>
      <x:c r="O127" s="28" t="n">
        <x:f>IF('Course_Master'!R127="","",'Course_Master'!R127)</x:f>
        <x:v>1187</x:v>
      </x:c>
      <x:c r="P127" s="28" t="str">
        <x:f>IF('Course_Master'!U127="","",'Course_Master'!U127)</x:f>
        <x:v>Par-3/4 course</x:v>
      </x:c>
      <x:c r="Q127" s="28" t="str">
        <x:f>IF('Course_Master'!AD127="","",'Course_Master'!AD127)</x:f>
        <x:v>Public — NGF course permission</x:v>
      </x:c>
      <x:c r="R127" s="28" t="str">
        <x:f>IF('Course_Master'!AC127="","",'Course_Master'!AC127)</x:f>
        <x:v>Open</x:v>
      </x:c>
      <x:c r="S127" s="28" t="str">
        <x:f>IF('Course_Master'!Y127="","",'Course_Master'!Y127)</x:f>
        <x:v>https://www.golfmaasduinen.nl/</x:v>
      </x:c>
      <x:c r="T127" s="28" t="b">
        <x:f>IF('Course_Master'!Z127="","",'Course_Master'!Z127)</x:f>
        <x:v>1</x:v>
      </x:c>
      <x:c r="U127" s="28" t="b">
        <x:f>IF('Course_Master'!AA127="","",'Course_Master'!AA127)</x:f>
        <x:v>1</x:v>
      </x:c>
      <x:c r="V127" s="28" t="str">
        <x:f>IF('Course_Master'!AL127="","",'Course_Master'!AL127)</x:f>
        <x:v>Verified — national register and exact BAG address</x:v>
      </x:c>
    </x:row>
    <x:row r="128">
      <x:c r="A128" s="28" t="str">
        <x:f>IF('Course_Master'!B128="","",'Course_Master'!B128)</x:f>
        <x:v>NL-0127</x:v>
      </x:c>
      <x:c r="B128" s="28" t="str">
        <x:f>IF('Course_Master'!C128="","",'Course_Master'!C128)</x:f>
        <x:v>Golf- &amp; Countryclub Geijsteren — Main Course</x:v>
      </x:c>
      <x:c r="C128" s="28" t="str">
        <x:f>IF('Course_Master'!D128="","",'Course_Master'!D128)</x:f>
        <x:v>Golf- &amp; Countryclub Geijsteren</x:v>
      </x:c>
      <x:c r="D128" s="28" t="str">
        <x:f>IF('Course_Master'!E128="","",'Course_Master'!E128)</x:f>
        <x:v>Main Course</x:v>
      </x:c>
      <x:c r="E128" s="28" t="str">
        <x:f>IF('Course_Master'!F128="","",'Course_Master'!F128)</x:f>
        <x:v>Netherlands</x:v>
      </x:c>
      <x:c r="F128" s="28" t="str">
        <x:f>IF('Course_Master'!G128="","",'Course_Master'!G128)</x:f>
        <x:v>Limburg</x:v>
      </x:c>
      <x:c r="G128" s="28" t="str">
        <x:f>IF('Course_Master'!H128="","",'Course_Master'!H128)</x:f>
        <x:v>Venray</x:v>
      </x:c>
      <x:c r="H128" s="28" t="str">
        <x:f>IF('Course_Master'!I128="","",'Course_Master'!I128)</x:f>
        <x:v>Geijsteren</x:v>
      </x:c>
      <x:c r="I128" s="28" t="str">
        <x:f>IF('Course_Master'!K128="","",'Course_Master'!K128)</x:f>
        <x:v>5862 AB</x:v>
      </x:c>
      <x:c r="J128" s="34" t="n">
        <x:f>IF('Course_Master'!L128="","",'Course_Master'!L128)</x:f>
        <x:v>51.55711436</x:v>
      </x:c>
      <x:c r="K128" s="34" t="n">
        <x:f>IF('Course_Master'!M128="","",'Course_Master'!M128)</x:f>
        <x:v>6.04702024</x:v>
      </x:c>
      <x:c r="L128" s="28" t="n">
        <x:f>IF('Course_Master'!S128="","",'Course_Master'!S128)</x:f>
        <x:v>18</x:v>
      </x:c>
      <x:c r="M128" s="28" t="n">
        <x:f>IF('Course_Master'!T128="","",'Course_Master'!T128)</x:f>
        <x:v>72</x:v>
      </x:c>
      <x:c r="N128" s="28" t="n">
        <x:f>IF('Course_Master'!Q128="","",'Course_Master'!Q128)</x:f>
        <x:v>6660</x:v>
      </x:c>
      <x:c r="O128" s="28" t="n">
        <x:f>IF('Course_Master'!R128="","",'Course_Master'!R128)</x:f>
        <x:v>6090</x:v>
      </x:c>
      <x:c r="P128" s="28" t="str">
        <x:f>IF('Course_Master'!U128="","",'Course_Master'!U128)</x:f>
        <x:v>Full-length course</x:v>
      </x:c>
      <x:c r="Q128" s="28" t="str">
        <x:f>IF('Course_Master'!AD128="","",'Course_Master'!AD128)</x:f>
        <x:v>Public — handicap 54 or lower</x:v>
      </x:c>
      <x:c r="R128" s="28" t="str">
        <x:f>IF('Course_Master'!AC128="","",'Course_Master'!AC128)</x:f>
        <x:v>Open</x:v>
      </x:c>
      <x:c r="S128" s="28" t="str">
        <x:f>IF('Course_Master'!Y128="","",'Course_Master'!Y128)</x:f>
        <x:v>https://www.golfclubgeijsteren.nl/</x:v>
      </x:c>
      <x:c r="T128" s="28" t="b">
        <x:f>IF('Course_Master'!Z128="","",'Course_Master'!Z128)</x:f>
        <x:v>1</x:v>
      </x:c>
      <x:c r="U128" s="28" t="b">
        <x:f>IF('Course_Master'!AA128="","",'Course_Master'!AA128)</x:f>
        <x:v>1</x:v>
      </x:c>
      <x:c r="V128" s="28" t="str">
        <x:f>IF('Course_Master'!AL128="","",'Course_Master'!AL128)</x:f>
        <x:v>Verified — national register and exact BAG address</x:v>
      </x:c>
    </x:row>
    <x:row r="129">
      <x:c r="A129" s="28" t="str">
        <x:f>IF('Course_Master'!B129="","",'Course_Master'!B129)</x:f>
        <x:v>NL-0128</x:v>
      </x:c>
      <x:c r="B129" s="28" t="str">
        <x:f>IF('Course_Master'!C129="","",'Course_Master'!C129)</x:f>
        <x:v>Golf-Resort Brunssummerheide — Blauw</x:v>
      </x:c>
      <x:c r="C129" s="28" t="str">
        <x:f>IF('Course_Master'!D129="","",'Course_Master'!D129)</x:f>
        <x:v>Golf-Resort Brunssummerheide</x:v>
      </x:c>
      <x:c r="D129" s="28" t="str">
        <x:f>IF('Course_Master'!E129="","",'Course_Master'!E129)</x:f>
        <x:v>Blauw</x:v>
      </x:c>
      <x:c r="E129" s="28" t="str">
        <x:f>IF('Course_Master'!F129="","",'Course_Master'!F129)</x:f>
        <x:v>Netherlands</x:v>
      </x:c>
      <x:c r="F129" s="28" t="str">
        <x:f>IF('Course_Master'!G129="","",'Course_Master'!G129)</x:f>
        <x:v>Limburg</x:v>
      </x:c>
      <x:c r="G129" s="28" t="str">
        <x:f>IF('Course_Master'!H129="","",'Course_Master'!H129)</x:f>
        <x:v>Brunssum</x:v>
      </x:c>
      <x:c r="H129" s="28" t="str">
        <x:f>IF('Course_Master'!I129="","",'Course_Master'!I129)</x:f>
        <x:v>Brunssum</x:v>
      </x:c>
      <x:c r="I129" s="28" t="str">
        <x:f>IF('Course_Master'!K129="","",'Course_Master'!K129)</x:f>
        <x:v>6445 PA</x:v>
      </x:c>
      <x:c r="J129" s="34" t="n">
        <x:f>IF('Course_Master'!L129="","",'Course_Master'!L129)</x:f>
        <x:v>50.93492692</x:v>
      </x:c>
      <x:c r="K129" s="34" t="n">
        <x:f>IF('Course_Master'!M129="","",'Course_Master'!M129)</x:f>
        <x:v>6.00964086</x:v>
      </x:c>
      <x:c r="L129" s="28" t="n">
        <x:f>IF('Course_Master'!S129="","",'Course_Master'!S129)</x:f>
        <x:v>9</x:v>
      </x:c>
      <x:c r="M129" s="28" t="n">
        <x:f>IF('Course_Master'!T129="","",'Course_Master'!T129)</x:f>
        <x:v>36</x:v>
      </x:c>
      <x:c r="N129" s="28" t="n">
        <x:f>IF('Course_Master'!Q129="","",'Course_Master'!Q129)</x:f>
        <x:v>3388</x:v>
      </x:c>
      <x:c r="O129" s="28" t="n">
        <x:f>IF('Course_Master'!R129="","",'Course_Master'!R129)</x:f>
        <x:v>3098</x:v>
      </x:c>
      <x:c r="P129" s="28" t="str">
        <x:f>IF('Course_Master'!U129="","",'Course_Master'!U129)</x:f>
        <x:v>Full-length course</x:v>
      </x:c>
      <x:c r="Q129" s="28" t="str">
        <x:f>IF('Course_Master'!AD129="","",'Course_Master'!AD129)</x:f>
        <x:v>Public — handicap 54 or lower</x:v>
      </x:c>
      <x:c r="R129" s="28" t="str">
        <x:f>IF('Course_Master'!AC129="","",'Course_Master'!AC129)</x:f>
        <x:v>Open</x:v>
      </x:c>
      <x:c r="S129" s="28" t="str">
        <x:f>IF('Course_Master'!Y129="","",'Course_Master'!Y129)</x:f>
        <x:v>https://www.golfclubbrunssummerheide.nl/</x:v>
      </x:c>
      <x:c r="T129" s="28" t="b">
        <x:f>IF('Course_Master'!Z129="","",'Course_Master'!Z129)</x:f>
        <x:v>1</x:v>
      </x:c>
      <x:c r="U129" s="28" t="b">
        <x:f>IF('Course_Master'!AA129="","",'Course_Master'!AA129)</x:f>
        <x:v>1</x:v>
      </x:c>
      <x:c r="V129" s="28" t="str">
        <x:f>IF('Course_Master'!AL129="","",'Course_Master'!AL129)</x:f>
        <x:v>Verified — national register and exact BAG address</x:v>
      </x:c>
    </x:row>
    <x:row r="130">
      <x:c r="A130" s="28" t="str">
        <x:f>IF('Course_Master'!B130="","",'Course_Master'!B130)</x:f>
        <x:v>NL-0129</x:v>
      </x:c>
      <x:c r="B130" s="28" t="str">
        <x:f>IF('Course_Master'!C130="","",'Course_Master'!C130)</x:f>
        <x:v>Golf-Resort Brunssummerheide — Geel</x:v>
      </x:c>
      <x:c r="C130" s="28" t="str">
        <x:f>IF('Course_Master'!D130="","",'Course_Master'!D130)</x:f>
        <x:v>Golf-Resort Brunssummerheide</x:v>
      </x:c>
      <x:c r="D130" s="28" t="str">
        <x:f>IF('Course_Master'!E130="","",'Course_Master'!E130)</x:f>
        <x:v>Geel</x:v>
      </x:c>
      <x:c r="E130" s="28" t="str">
        <x:f>IF('Course_Master'!F130="","",'Course_Master'!F130)</x:f>
        <x:v>Netherlands</x:v>
      </x:c>
      <x:c r="F130" s="28" t="str">
        <x:f>IF('Course_Master'!G130="","",'Course_Master'!G130)</x:f>
        <x:v>Limburg</x:v>
      </x:c>
      <x:c r="G130" s="28" t="str">
        <x:f>IF('Course_Master'!H130="","",'Course_Master'!H130)</x:f>
        <x:v>Brunssum</x:v>
      </x:c>
      <x:c r="H130" s="28" t="str">
        <x:f>IF('Course_Master'!I130="","",'Course_Master'!I130)</x:f>
        <x:v>Brunssum</x:v>
      </x:c>
      <x:c r="I130" s="28" t="str">
        <x:f>IF('Course_Master'!K130="","",'Course_Master'!K130)</x:f>
        <x:v>6445 PA</x:v>
      </x:c>
      <x:c r="J130" s="34" t="n">
        <x:f>IF('Course_Master'!L130="","",'Course_Master'!L130)</x:f>
        <x:v>50.93492692</x:v>
      </x:c>
      <x:c r="K130" s="34" t="n">
        <x:f>IF('Course_Master'!M130="","",'Course_Master'!M130)</x:f>
        <x:v>6.00964086</x:v>
      </x:c>
      <x:c r="L130" s="28" t="n">
        <x:f>IF('Course_Master'!S130="","",'Course_Master'!S130)</x:f>
        <x:v>9</x:v>
      </x:c>
      <x:c r="M130" s="28" t="n">
        <x:f>IF('Course_Master'!T130="","",'Course_Master'!T130)</x:f>
        <x:v>36</x:v>
      </x:c>
      <x:c r="N130" s="28" t="n">
        <x:f>IF('Course_Master'!Q130="","",'Course_Master'!Q130)</x:f>
        <x:v>3430</x:v>
      </x:c>
      <x:c r="O130" s="28" t="n">
        <x:f>IF('Course_Master'!R130="","",'Course_Master'!R130)</x:f>
        <x:v>3136</x:v>
      </x:c>
      <x:c r="P130" s="28" t="str">
        <x:f>IF('Course_Master'!U130="","",'Course_Master'!U130)</x:f>
        <x:v>Full-length course</x:v>
      </x:c>
      <x:c r="Q130" s="28" t="str">
        <x:f>IF('Course_Master'!AD130="","",'Course_Master'!AD130)</x:f>
        <x:v>Public — handicap 54 or lower</x:v>
      </x:c>
      <x:c r="R130" s="28" t="str">
        <x:f>IF('Course_Master'!AC130="","",'Course_Master'!AC130)</x:f>
        <x:v>Open</x:v>
      </x:c>
      <x:c r="S130" s="28" t="str">
        <x:f>IF('Course_Master'!Y130="","",'Course_Master'!Y130)</x:f>
        <x:v>https://www.golfclubbrunssummerheide.nl/</x:v>
      </x:c>
      <x:c r="T130" s="28" t="b">
        <x:f>IF('Course_Master'!Z130="","",'Course_Master'!Z130)</x:f>
        <x:v>1</x:v>
      </x:c>
      <x:c r="U130" s="28" t="b">
        <x:f>IF('Course_Master'!AA130="","",'Course_Master'!AA130)</x:f>
        <x:v>1</x:v>
      </x:c>
      <x:c r="V130" s="28" t="str">
        <x:f>IF('Course_Master'!AL130="","",'Course_Master'!AL130)</x:f>
        <x:v>Verified — national register and exact BAG address</x:v>
      </x:c>
    </x:row>
    <x:row r="131">
      <x:c r="A131" s="28" t="str">
        <x:f>IF('Course_Master'!B131="","",'Course_Master'!B131)</x:f>
        <x:v>NL-0130</x:v>
      </x:c>
      <x:c r="B131" s="28" t="str">
        <x:f>IF('Course_Master'!C131="","",'Course_Master'!C131)</x:f>
        <x:v>Golf-Resort Brunssummerheide — Groen</x:v>
      </x:c>
      <x:c r="C131" s="28" t="str">
        <x:f>IF('Course_Master'!D131="","",'Course_Master'!D131)</x:f>
        <x:v>Golf-Resort Brunssummerheide</x:v>
      </x:c>
      <x:c r="D131" s="28" t="str">
        <x:f>IF('Course_Master'!E131="","",'Course_Master'!E131)</x:f>
        <x:v>Groen</x:v>
      </x:c>
      <x:c r="E131" s="28" t="str">
        <x:f>IF('Course_Master'!F131="","",'Course_Master'!F131)</x:f>
        <x:v>Netherlands</x:v>
      </x:c>
      <x:c r="F131" s="28" t="str">
        <x:f>IF('Course_Master'!G131="","",'Course_Master'!G131)</x:f>
        <x:v>Limburg</x:v>
      </x:c>
      <x:c r="G131" s="28" t="str">
        <x:f>IF('Course_Master'!H131="","",'Course_Master'!H131)</x:f>
        <x:v>Brunssum</x:v>
      </x:c>
      <x:c r="H131" s="28" t="str">
        <x:f>IF('Course_Master'!I131="","",'Course_Master'!I131)</x:f>
        <x:v>Brunssum</x:v>
      </x:c>
      <x:c r="I131" s="28" t="str">
        <x:f>IF('Course_Master'!K131="","",'Course_Master'!K131)</x:f>
        <x:v>6445 PA</x:v>
      </x:c>
      <x:c r="J131" s="34" t="n">
        <x:f>IF('Course_Master'!L131="","",'Course_Master'!L131)</x:f>
        <x:v>50.93492692</x:v>
      </x:c>
      <x:c r="K131" s="34" t="n">
        <x:f>IF('Course_Master'!M131="","",'Course_Master'!M131)</x:f>
        <x:v>6.00964086</x:v>
      </x:c>
      <x:c r="L131" s="28" t="n">
        <x:f>IF('Course_Master'!S131="","",'Course_Master'!S131)</x:f>
        <x:v>9</x:v>
      </x:c>
      <x:c r="M131" s="28" t="n">
        <x:f>IF('Course_Master'!T131="","",'Course_Master'!T131)</x:f>
        <x:v>31</x:v>
      </x:c>
      <x:c r="N131" s="28" t="n">
        <x:f>IF('Course_Master'!Q131="","",'Course_Master'!Q131)</x:f>
        <x:v>1755</x:v>
      </x:c>
      <x:c r="O131" s="28" t="n">
        <x:f>IF('Course_Master'!R131="","",'Course_Master'!R131)</x:f>
        <x:v>1605</x:v>
      </x:c>
      <x:c r="P131" s="28" t="str">
        <x:f>IF('Course_Master'!U131="","",'Course_Master'!U131)</x:f>
        <x:v>Par-3/4 course</x:v>
      </x:c>
      <x:c r="Q131" s="28" t="str">
        <x:f>IF('Course_Master'!AD131="","",'Course_Master'!AD131)</x:f>
        <x:v>Public — NGF course permission</x:v>
      </x:c>
      <x:c r="R131" s="28" t="str">
        <x:f>IF('Course_Master'!AC131="","",'Course_Master'!AC131)</x:f>
        <x:v>Open</x:v>
      </x:c>
      <x:c r="S131" s="28" t="str">
        <x:f>IF('Course_Master'!Y131="","",'Course_Master'!Y131)</x:f>
        <x:v>https://www.golfclubbrunssummerheide.nl/</x:v>
      </x:c>
      <x:c r="T131" s="28" t="b">
        <x:f>IF('Course_Master'!Z131="","",'Course_Master'!Z131)</x:f>
        <x:v>1</x:v>
      </x:c>
      <x:c r="U131" s="28" t="b">
        <x:f>IF('Course_Master'!AA131="","",'Course_Master'!AA131)</x:f>
        <x:v>1</x:v>
      </x:c>
      <x:c r="V131" s="28" t="str">
        <x:f>IF('Course_Master'!AL131="","",'Course_Master'!AL131)</x:f>
        <x:v>Verified — national register and exact BAG address</x:v>
      </x:c>
    </x:row>
    <x:row r="132">
      <x:c r="A132" s="28" t="str">
        <x:f>IF('Course_Master'!B132="","",'Course_Master'!B132)</x:f>
        <x:v>NL-0131</x:v>
      </x:c>
      <x:c r="B132" s="28" t="str">
        <x:f>IF('Course_Master'!C132="","",'Course_Master'!C132)</x:f>
        <x:v>Golf-Resort Brunssummerheide — Oefenbaan</x:v>
      </x:c>
      <x:c r="C132" s="28" t="str">
        <x:f>IF('Course_Master'!D132="","",'Course_Master'!D132)</x:f>
        <x:v>Golf-Resort Brunssummerheide</x:v>
      </x:c>
      <x:c r="D132" s="28" t="str">
        <x:f>IF('Course_Master'!E132="","",'Course_Master'!E132)</x:f>
        <x:v>Oefenbaan</x:v>
      </x:c>
      <x:c r="E132" s="28" t="str">
        <x:f>IF('Course_Master'!F132="","",'Course_Master'!F132)</x:f>
        <x:v>Netherlands</x:v>
      </x:c>
      <x:c r="F132" s="28" t="str">
        <x:f>IF('Course_Master'!G132="","",'Course_Master'!G132)</x:f>
        <x:v>Limburg</x:v>
      </x:c>
      <x:c r="G132" s="28" t="str">
        <x:f>IF('Course_Master'!H132="","",'Course_Master'!H132)</x:f>
        <x:v>Brunssum</x:v>
      </x:c>
      <x:c r="H132" s="28" t="str">
        <x:f>IF('Course_Master'!I132="","",'Course_Master'!I132)</x:f>
        <x:v>Brunssum</x:v>
      </x:c>
      <x:c r="I132" s="28" t="str">
        <x:f>IF('Course_Master'!K132="","",'Course_Master'!K132)</x:f>
        <x:v>6445 PA</x:v>
      </x:c>
      <x:c r="J132" s="34" t="n">
        <x:f>IF('Course_Master'!L132="","",'Course_Master'!L132)</x:f>
        <x:v>50.93492692</x:v>
      </x:c>
      <x:c r="K132" s="34" t="n">
        <x:f>IF('Course_Master'!M132="","",'Course_Master'!M132)</x:f>
        <x:v>6.00964086</x:v>
      </x:c>
      <x:c r="L132" s="28" t="n">
        <x:f>IF('Course_Master'!S132="","",'Course_Master'!S132)</x:f>
        <x:v>9</x:v>
      </x:c>
      <x:c r="M132" s="28" t="n">
        <x:f>IF('Course_Master'!T132="","",'Course_Master'!T132)</x:f>
        <x:v>27</x:v>
      </x:c>
      <x:c r="N132" s="28" t="n">
        <x:f>IF('Course_Master'!Q132="","",'Course_Master'!Q132)</x:f>
        <x:v>1288</x:v>
      </x:c>
      <x:c r="O132" s="28" t="n">
        <x:f>IF('Course_Master'!R132="","",'Course_Master'!R132)</x:f>
        <x:v>1178</x:v>
      </x:c>
      <x:c r="P132" s="28" t="str">
        <x:f>IF('Course_Master'!U132="","",'Course_Master'!U132)</x:f>
        <x:v>Par-3 course</x:v>
      </x:c>
      <x:c r="Q132" s="28" t="str">
        <x:f>IF('Course_Master'!AD132="","",'Course_Master'!AD132)</x:f>
        <x:v>Public — no playing requirement</x:v>
      </x:c>
      <x:c r="R132" s="28" t="str">
        <x:f>IF('Course_Master'!AC132="","",'Course_Master'!AC132)</x:f>
        <x:v>Open</x:v>
      </x:c>
      <x:c r="S132" s="28" t="str">
        <x:f>IF('Course_Master'!Y132="","",'Course_Master'!Y132)</x:f>
        <x:v>https://www.golfclubbrunssummerheide.nl/</x:v>
      </x:c>
      <x:c r="T132" s="28" t="b">
        <x:f>IF('Course_Master'!Z132="","",'Course_Master'!Z132)</x:f>
        <x:v>1</x:v>
      </x:c>
      <x:c r="U132" s="28" t="b">
        <x:f>IF('Course_Master'!AA132="","",'Course_Master'!AA132)</x:f>
        <x:v>1</x:v>
      </x:c>
      <x:c r="V132" s="28" t="str">
        <x:f>IF('Course_Master'!AL132="","",'Course_Master'!AL132)</x:f>
        <x:v>Verified — national register and exact BAG address</x:v>
      </x:c>
    </x:row>
    <x:row r="133">
      <x:c r="A133" s="28" t="str">
        <x:f>IF('Course_Master'!B133="","",'Course_Master'!B133)</x:f>
        <x:v>NL-0132</x:v>
      </x:c>
      <x:c r="B133" s="28" t="str">
        <x:f>IF('Course_Master'!C133="","",'Course_Master'!C133)</x:f>
        <x:v>Golf-Resort Brunssummerheide — Rood</x:v>
      </x:c>
      <x:c r="C133" s="28" t="str">
        <x:f>IF('Course_Master'!D133="","",'Course_Master'!D133)</x:f>
        <x:v>Golf-Resort Brunssummerheide</x:v>
      </x:c>
      <x:c r="D133" s="28" t="str">
        <x:f>IF('Course_Master'!E133="","",'Course_Master'!E133)</x:f>
        <x:v>Rood</x:v>
      </x:c>
      <x:c r="E133" s="28" t="str">
        <x:f>IF('Course_Master'!F133="","",'Course_Master'!F133)</x:f>
        <x:v>Netherlands</x:v>
      </x:c>
      <x:c r="F133" s="28" t="str">
        <x:f>IF('Course_Master'!G133="","",'Course_Master'!G133)</x:f>
        <x:v>Limburg</x:v>
      </x:c>
      <x:c r="G133" s="28" t="str">
        <x:f>IF('Course_Master'!H133="","",'Course_Master'!H133)</x:f>
        <x:v>Brunssum</x:v>
      </x:c>
      <x:c r="H133" s="28" t="str">
        <x:f>IF('Course_Master'!I133="","",'Course_Master'!I133)</x:f>
        <x:v>Brunssum</x:v>
      </x:c>
      <x:c r="I133" s="28" t="str">
        <x:f>IF('Course_Master'!K133="","",'Course_Master'!K133)</x:f>
        <x:v>6445 PA</x:v>
      </x:c>
      <x:c r="J133" s="34" t="n">
        <x:f>IF('Course_Master'!L133="","",'Course_Master'!L133)</x:f>
        <x:v>50.93492692</x:v>
      </x:c>
      <x:c r="K133" s="34" t="n">
        <x:f>IF('Course_Master'!M133="","",'Course_Master'!M133)</x:f>
        <x:v>6.00964086</x:v>
      </x:c>
      <x:c r="L133" s="28" t="n">
        <x:f>IF('Course_Master'!S133="","",'Course_Master'!S133)</x:f>
        <x:v>9</x:v>
      </x:c>
      <x:c r="M133" s="28" t="n">
        <x:f>IF('Course_Master'!T133="","",'Course_Master'!T133)</x:f>
        <x:v>36</x:v>
      </x:c>
      <x:c r="N133" s="28" t="n">
        <x:f>IF('Course_Master'!Q133="","",'Course_Master'!Q133)</x:f>
        <x:v>3365</x:v>
      </x:c>
      <x:c r="O133" s="28" t="n">
        <x:f>IF('Course_Master'!R133="","",'Course_Master'!R133)</x:f>
        <x:v>3077</x:v>
      </x:c>
      <x:c r="P133" s="28" t="str">
        <x:f>IF('Course_Master'!U133="","",'Course_Master'!U133)</x:f>
        <x:v>Full-length course</x:v>
      </x:c>
      <x:c r="Q133" s="28" t="str">
        <x:f>IF('Course_Master'!AD133="","",'Course_Master'!AD133)</x:f>
        <x:v>Public — handicap 54 or lower</x:v>
      </x:c>
      <x:c r="R133" s="28" t="str">
        <x:f>IF('Course_Master'!AC133="","",'Course_Master'!AC133)</x:f>
        <x:v>Open</x:v>
      </x:c>
      <x:c r="S133" s="28" t="str">
        <x:f>IF('Course_Master'!Y133="","",'Course_Master'!Y133)</x:f>
        <x:v>https://www.golfclubbrunssummerheide.nl/</x:v>
      </x:c>
      <x:c r="T133" s="28" t="b">
        <x:f>IF('Course_Master'!Z133="","",'Course_Master'!Z133)</x:f>
        <x:v>1</x:v>
      </x:c>
      <x:c r="U133" s="28" t="b">
        <x:f>IF('Course_Master'!AA133="","",'Course_Master'!AA133)</x:f>
        <x:v>1</x:v>
      </x:c>
      <x:c r="V133" s="28" t="str">
        <x:f>IF('Course_Master'!AL133="","",'Course_Master'!AL133)</x:f>
        <x:v>Verified — national register and exact BAG address</x:v>
      </x:c>
    </x:row>
    <x:row r="134">
      <x:c r="A134" s="28" t="str">
        <x:f>IF('Course_Master'!B134="","",'Course_Master'!B134)</x:f>
        <x:v>NL-0133</x:v>
      </x:c>
      <x:c r="B134" s="28" t="str">
        <x:f>IF('Course_Master'!C134="","",'Course_Master'!C134)</x:f>
        <x:v>Golfbaan De Golfhorst — Americabaan</x:v>
      </x:c>
      <x:c r="C134" s="28" t="str">
        <x:f>IF('Course_Master'!D134="","",'Course_Master'!D134)</x:f>
        <x:v>Golfbaan De Golfhorst</x:v>
      </x:c>
      <x:c r="D134" s="28" t="str">
        <x:f>IF('Course_Master'!E134="","",'Course_Master'!E134)</x:f>
        <x:v>Americabaan</x:v>
      </x:c>
      <x:c r="E134" s="28" t="str">
        <x:f>IF('Course_Master'!F134="","",'Course_Master'!F134)</x:f>
        <x:v>Netherlands</x:v>
      </x:c>
      <x:c r="F134" s="28" t="str">
        <x:f>IF('Course_Master'!G134="","",'Course_Master'!G134)</x:f>
        <x:v>Limburg</x:v>
      </x:c>
      <x:c r="G134" s="28" t="str">
        <x:f>IF('Course_Master'!H134="","",'Course_Master'!H134)</x:f>
        <x:v>Horst aan de Maas</x:v>
      </x:c>
      <x:c r="H134" s="28" t="str">
        <x:f>IF('Course_Master'!I134="","",'Course_Master'!I134)</x:f>
        <x:v>America</x:v>
      </x:c>
      <x:c r="I134" s="28" t="str">
        <x:f>IF('Course_Master'!K134="","",'Course_Master'!K134)</x:f>
        <x:v>5966 RM</x:v>
      </x:c>
      <x:c r="J134" s="34" t="n">
        <x:f>IF('Course_Master'!L134="","",'Course_Master'!L134)</x:f>
        <x:v>51.42650262</x:v>
      </x:c>
      <x:c r="K134" s="34" t="n">
        <x:f>IF('Course_Master'!M134="","",'Course_Master'!M134)</x:f>
        <x:v>5.96823637</x:v>
      </x:c>
      <x:c r="L134" s="28" t="n">
        <x:f>IF('Course_Master'!S134="","",'Course_Master'!S134)</x:f>
        <x:v>9</x:v>
      </x:c>
      <x:c r="M134" s="28" t="n">
        <x:f>IF('Course_Master'!T134="","",'Course_Master'!T134)</x:f>
        <x:v>27</x:v>
      </x:c>
      <x:c r="N134" s="28" t="n">
        <x:f>IF('Course_Master'!Q134="","",'Course_Master'!Q134)</x:f>
        <x:v>1065</x:v>
      </x:c>
      <x:c r="O134" s="28" t="n">
        <x:f>IF('Course_Master'!R134="","",'Course_Master'!R134)</x:f>
        <x:v>974</x:v>
      </x:c>
      <x:c r="P134" s="28" t="str">
        <x:f>IF('Course_Master'!U134="","",'Course_Master'!U134)</x:f>
        <x:v>Par-3 course</x:v>
      </x:c>
      <x:c r="Q134" s="28" t="str">
        <x:f>IF('Course_Master'!AD134="","",'Course_Master'!AD134)</x:f>
        <x:v>Public — NGF course permission</x:v>
      </x:c>
      <x:c r="R134" s="28" t="str">
        <x:f>IF('Course_Master'!AC134="","",'Course_Master'!AC134)</x:f>
        <x:v>Open</x:v>
      </x:c>
      <x:c r="S134" s="28" t="str">
        <x:f>IF('Course_Master'!Y134="","",'Course_Master'!Y134)</x:f>
        <x:v>https://www.golfbaandegolfhorst.nl/</x:v>
      </x:c>
      <x:c r="T134" s="28" t="b">
        <x:f>IF('Course_Master'!Z134="","",'Course_Master'!Z134)</x:f>
        <x:v>1</x:v>
      </x:c>
      <x:c r="U134" s="28" t="b">
        <x:f>IF('Course_Master'!AA134="","",'Course_Master'!AA134)</x:f>
        <x:v>1</x:v>
      </x:c>
      <x:c r="V134" s="28" t="str">
        <x:f>IF('Course_Master'!AL134="","",'Course_Master'!AL134)</x:f>
        <x:v>Verified — national register and exact BAG address</x:v>
      </x:c>
    </x:row>
    <x:row r="135">
      <x:c r="A135" s="28" t="str">
        <x:f>IF('Course_Master'!B135="","",'Course_Master'!B135)</x:f>
        <x:v>NL-0134</x:v>
      </x:c>
      <x:c r="B135" s="28" t="str">
        <x:f>IF('Course_Master'!C135="","",'Course_Master'!C135)</x:f>
        <x:v>Golfbaan De Golfhorst — Main Course</x:v>
      </x:c>
      <x:c r="C135" s="28" t="str">
        <x:f>IF('Course_Master'!D135="","",'Course_Master'!D135)</x:f>
        <x:v>Golfbaan De Golfhorst</x:v>
      </x:c>
      <x:c r="D135" s="28" t="str">
        <x:f>IF('Course_Master'!E135="","",'Course_Master'!E135)</x:f>
        <x:v>Main Course</x:v>
      </x:c>
      <x:c r="E135" s="28" t="str">
        <x:f>IF('Course_Master'!F135="","",'Course_Master'!F135)</x:f>
        <x:v>Netherlands</x:v>
      </x:c>
      <x:c r="F135" s="28" t="str">
        <x:f>IF('Course_Master'!G135="","",'Course_Master'!G135)</x:f>
        <x:v>Limburg</x:v>
      </x:c>
      <x:c r="G135" s="28" t="str">
        <x:f>IF('Course_Master'!H135="","",'Course_Master'!H135)</x:f>
        <x:v>Horst aan de Maas</x:v>
      </x:c>
      <x:c r="H135" s="28" t="str">
        <x:f>IF('Course_Master'!I135="","",'Course_Master'!I135)</x:f>
        <x:v>America</x:v>
      </x:c>
      <x:c r="I135" s="28" t="str">
        <x:f>IF('Course_Master'!K135="","",'Course_Master'!K135)</x:f>
        <x:v>5966 RM</x:v>
      </x:c>
      <x:c r="J135" s="34" t="n">
        <x:f>IF('Course_Master'!L135="","",'Course_Master'!L135)</x:f>
        <x:v>51.42650262</x:v>
      </x:c>
      <x:c r="K135" s="34" t="n">
        <x:f>IF('Course_Master'!M135="","",'Course_Master'!M135)</x:f>
        <x:v>5.96823637</x:v>
      </x:c>
      <x:c r="L135" s="28" t="n">
        <x:f>IF('Course_Master'!S135="","",'Course_Master'!S135)</x:f>
        <x:v>18</x:v>
      </x:c>
      <x:c r="M135" s="28" t="n">
        <x:f>IF('Course_Master'!T135="","",'Course_Master'!T135)</x:f>
        <x:v>70</x:v>
      </x:c>
      <x:c r="N135" s="28" t="n">
        <x:f>IF('Course_Master'!Q135="","",'Course_Master'!Q135)</x:f>
        <x:v>5575</x:v>
      </x:c>
      <x:c r="O135" s="28" t="n">
        <x:f>IF('Course_Master'!R135="","",'Course_Master'!R135)</x:f>
        <x:v>5098</x:v>
      </x:c>
      <x:c r="P135" s="28" t="str">
        <x:f>IF('Course_Master'!U135="","",'Course_Master'!U135)</x:f>
        <x:v>Full-length course</x:v>
      </x:c>
      <x:c r="Q135" s="28" t="str">
        <x:f>IF('Course_Master'!AD135="","",'Course_Master'!AD135)</x:f>
        <x:v>Public — handicap 54 or lower</x:v>
      </x:c>
      <x:c r="R135" s="28" t="str">
        <x:f>IF('Course_Master'!AC135="","",'Course_Master'!AC135)</x:f>
        <x:v>Open</x:v>
      </x:c>
      <x:c r="S135" s="28" t="str">
        <x:f>IF('Course_Master'!Y135="","",'Course_Master'!Y135)</x:f>
        <x:v>https://www.golfbaandegolfhorst.nl/</x:v>
      </x:c>
      <x:c r="T135" s="28" t="b">
        <x:f>IF('Course_Master'!Z135="","",'Course_Master'!Z135)</x:f>
        <x:v>1</x:v>
      </x:c>
      <x:c r="U135" s="28" t="b">
        <x:f>IF('Course_Master'!AA135="","",'Course_Master'!AA135)</x:f>
        <x:v>1</x:v>
      </x:c>
      <x:c r="V135" s="28" t="str">
        <x:f>IF('Course_Master'!AL135="","",'Course_Master'!AL135)</x:f>
        <x:v>Verified — national register and exact BAG address</x:v>
      </x:c>
    </x:row>
    <x:row r="136">
      <x:c r="A136" s="28" t="str">
        <x:f>IF('Course_Master'!B136="","",'Course_Master'!B136)</x:f>
        <x:v>NL-0135</x:v>
      </x:c>
      <x:c r="B136" s="28" t="str">
        <x:f>IF('Course_Master'!C136="","",'Course_Master'!C136)</x:f>
        <x:v>Golfbaan Echt-Susteren — Approachbaan</x:v>
      </x:c>
      <x:c r="C136" s="28" t="str">
        <x:f>IF('Course_Master'!D136="","",'Course_Master'!D136)</x:f>
        <x:v>Golfbaan Echt-Susteren</x:v>
      </x:c>
      <x:c r="D136" s="28" t="str">
        <x:f>IF('Course_Master'!E136="","",'Course_Master'!E136)</x:f>
        <x:v>Approachbaan</x:v>
      </x:c>
      <x:c r="E136" s="28" t="str">
        <x:f>IF('Course_Master'!F136="","",'Course_Master'!F136)</x:f>
        <x:v>Netherlands</x:v>
      </x:c>
      <x:c r="F136" s="28" t="str">
        <x:f>IF('Course_Master'!G136="","",'Course_Master'!G136)</x:f>
        <x:v>Limburg</x:v>
      </x:c>
      <x:c r="G136" s="28" t="str">
        <x:f>IF('Course_Master'!H136="","",'Course_Master'!H136)</x:f>
        <x:v>Echt-Susteren</x:v>
      </x:c>
      <x:c r="H136" s="28" t="str">
        <x:f>IF('Course_Master'!I136="","",'Course_Master'!I136)</x:f>
        <x:v>Susteren</x:v>
      </x:c>
      <x:c r="I136" s="28" t="str">
        <x:f>IF('Course_Master'!K136="","",'Course_Master'!K136)</x:f>
        <x:v>6114 RR</x:v>
      </x:c>
      <x:c r="J136" s="34" t="n">
        <x:f>IF('Course_Master'!L136="","",'Course_Master'!L136)</x:f>
        <x:v>51.07079696</x:v>
      </x:c>
      <x:c r="K136" s="34" t="n">
        <x:f>IF('Course_Master'!M136="","",'Course_Master'!M136)</x:f>
        <x:v>5.88970818</x:v>
      </x:c>
      <x:c r="L136" s="28" t="n">
        <x:f>IF('Course_Master'!S136="","",'Course_Master'!S136)</x:f>
        <x:v>6</x:v>
      </x:c>
      <x:c r="M136" s="28" t="n">
        <x:f>IF('Course_Master'!T136="","",'Course_Master'!T136)</x:f>
        <x:v>18</x:v>
      </x:c>
      <x:c r="N136" s="28" t="n">
        <x:f>IF('Course_Master'!Q136="","",'Course_Master'!Q136)</x:f>
        <x:v>437</x:v>
      </x:c>
      <x:c r="O136" s="28" t="n">
        <x:f>IF('Course_Master'!R136="","",'Course_Master'!R136)</x:f>
        <x:v>400</x:v>
      </x:c>
      <x:c r="P136" s="28" t="str">
        <x:f>IF('Course_Master'!U136="","",'Course_Master'!U136)</x:f>
        <x:v>Shortgolf / Pitch &amp; Putt</x:v>
      </x:c>
      <x:c r="Q136" s="28" t="str">
        <x:f>IF('Course_Master'!AD136="","",'Course_Master'!AD136)</x:f>
        <x:v>Public — no playing requirement</x:v>
      </x:c>
      <x:c r="R136" s="28" t="str">
        <x:f>IF('Course_Master'!AC136="","",'Course_Master'!AC136)</x:f>
        <x:v>Open</x:v>
      </x:c>
      <x:c r="S136" s="28" t="str">
        <x:f>IF('Course_Master'!Y136="","",'Course_Master'!Y136)</x:f>
        <x:v>https://golfbaanecht-susteren.nl/</x:v>
      </x:c>
      <x:c r="T136" s="28" t="b">
        <x:f>IF('Course_Master'!Z136="","",'Course_Master'!Z136)</x:f>
        <x:v>1</x:v>
      </x:c>
      <x:c r="U136" s="28" t="b">
        <x:f>IF('Course_Master'!AA136="","",'Course_Master'!AA136)</x:f>
        <x:v>1</x:v>
      </x:c>
      <x:c r="V136" s="28" t="str">
        <x:f>IF('Course_Master'!AL136="","",'Course_Master'!AL136)</x:f>
        <x:v>Verified — national register and exact BAG address</x:v>
      </x:c>
    </x:row>
    <x:row r="137">
      <x:c r="A137" s="28" t="str">
        <x:f>IF('Course_Master'!B137="","",'Course_Master'!B137)</x:f>
        <x:v>NL-0136</x:v>
      </x:c>
      <x:c r="B137" s="28" t="str">
        <x:f>IF('Course_Master'!C137="","",'Course_Master'!C137)</x:f>
        <x:v>Golfbaan Echt-Susteren — Main Course</x:v>
      </x:c>
      <x:c r="C137" s="28" t="str">
        <x:f>IF('Course_Master'!D137="","",'Course_Master'!D137)</x:f>
        <x:v>Golfbaan Echt-Susteren</x:v>
      </x:c>
      <x:c r="D137" s="28" t="str">
        <x:f>IF('Course_Master'!E137="","",'Course_Master'!E137)</x:f>
        <x:v>Main Course</x:v>
      </x:c>
      <x:c r="E137" s="28" t="str">
        <x:f>IF('Course_Master'!F137="","",'Course_Master'!F137)</x:f>
        <x:v>Netherlands</x:v>
      </x:c>
      <x:c r="F137" s="28" t="str">
        <x:f>IF('Course_Master'!G137="","",'Course_Master'!G137)</x:f>
        <x:v>Limburg</x:v>
      </x:c>
      <x:c r="G137" s="28" t="str">
        <x:f>IF('Course_Master'!H137="","",'Course_Master'!H137)</x:f>
        <x:v>Echt-Susteren</x:v>
      </x:c>
      <x:c r="H137" s="28" t="str">
        <x:f>IF('Course_Master'!I137="","",'Course_Master'!I137)</x:f>
        <x:v>Susteren</x:v>
      </x:c>
      <x:c r="I137" s="28" t="str">
        <x:f>IF('Course_Master'!K137="","",'Course_Master'!K137)</x:f>
        <x:v>6114 RR</x:v>
      </x:c>
      <x:c r="J137" s="34" t="n">
        <x:f>IF('Course_Master'!L137="","",'Course_Master'!L137)</x:f>
        <x:v>51.07079696</x:v>
      </x:c>
      <x:c r="K137" s="34" t="n">
        <x:f>IF('Course_Master'!M137="","",'Course_Master'!M137)</x:f>
        <x:v>5.88970818</x:v>
      </x:c>
      <x:c r="L137" s="28" t="n">
        <x:f>IF('Course_Master'!S137="","",'Course_Master'!S137)</x:f>
        <x:v>9</x:v>
      </x:c>
      <x:c r="M137" s="28" t="n">
        <x:f>IF('Course_Master'!T137="","",'Course_Master'!T137)</x:f>
        <x:v>36</x:v>
      </x:c>
      <x:c r="N137" s="28" t="n">
        <x:f>IF('Course_Master'!Q137="","",'Course_Master'!Q137)</x:f>
        <x:v>3072</x:v>
      </x:c>
      <x:c r="O137" s="28" t="n">
        <x:f>IF('Course_Master'!R137="","",'Course_Master'!R137)</x:f>
        <x:v>2809</x:v>
      </x:c>
      <x:c r="P137" s="28" t="str">
        <x:f>IF('Course_Master'!U137="","",'Course_Master'!U137)</x:f>
        <x:v>Full-length course</x:v>
      </x:c>
      <x:c r="Q137" s="28" t="str">
        <x:f>IF('Course_Master'!AD137="","",'Course_Master'!AD137)</x:f>
        <x:v>Public — NGF course permission</x:v>
      </x:c>
      <x:c r="R137" s="28" t="str">
        <x:f>IF('Course_Master'!AC137="","",'Course_Master'!AC137)</x:f>
        <x:v>Open</x:v>
      </x:c>
      <x:c r="S137" s="28" t="str">
        <x:f>IF('Course_Master'!Y137="","",'Course_Master'!Y137)</x:f>
        <x:v>https://golfbaanecht-susteren.nl/</x:v>
      </x:c>
      <x:c r="T137" s="28" t="b">
        <x:f>IF('Course_Master'!Z137="","",'Course_Master'!Z137)</x:f>
        <x:v>1</x:v>
      </x:c>
      <x:c r="U137" s="28" t="b">
        <x:f>IF('Course_Master'!AA137="","",'Course_Master'!AA137)</x:f>
        <x:v>1</x:v>
      </x:c>
      <x:c r="V137" s="28" t="str">
        <x:f>IF('Course_Master'!AL137="","",'Course_Master'!AL137)</x:f>
        <x:v>Verified — national register and exact BAG address</x:v>
      </x:c>
    </x:row>
    <x:row r="138">
      <x:c r="A138" s="28" t="str">
        <x:f>IF('Course_Master'!B138="","",'Course_Master'!B138)</x:f>
        <x:v>NL-0137</x:v>
      </x:c>
      <x:c r="B138" s="28" t="str">
        <x:f>IF('Course_Master'!C138="","",'Course_Master'!C138)</x:f>
        <x:v>Golfbaan Het Rijk van Margraten — Main Course</x:v>
      </x:c>
      <x:c r="C138" s="28" t="str">
        <x:f>IF('Course_Master'!D138="","",'Course_Master'!D138)</x:f>
        <x:v>Golfbaan Het Rijk van Margraten</x:v>
      </x:c>
      <x:c r="D138" s="28" t="str">
        <x:f>IF('Course_Master'!E138="","",'Course_Master'!E138)</x:f>
        <x:v>Main Course</x:v>
      </x:c>
      <x:c r="E138" s="28" t="str">
        <x:f>IF('Course_Master'!F138="","",'Course_Master'!F138)</x:f>
        <x:v>Netherlands</x:v>
      </x:c>
      <x:c r="F138" s="28" t="str">
        <x:f>IF('Course_Master'!G138="","",'Course_Master'!G138)</x:f>
        <x:v>Limburg</x:v>
      </x:c>
      <x:c r="G138" s="28" t="str">
        <x:f>IF('Course_Master'!H138="","",'Course_Master'!H138)</x:f>
        <x:v>Eijsden-Margraten</x:v>
      </x:c>
      <x:c r="H138" s="28" t="str">
        <x:f>IF('Course_Master'!I138="","",'Course_Master'!I138)</x:f>
        <x:v>Cadier en Keer</x:v>
      </x:c>
      <x:c r="I138" s="28" t="str">
        <x:f>IF('Course_Master'!K138="","",'Course_Master'!K138)</x:f>
        <x:v>6267 AL</x:v>
      </x:c>
      <x:c r="J138" s="34" t="n">
        <x:f>IF('Course_Master'!L138="","",'Course_Master'!L138)</x:f>
        <x:v>50.83844781</x:v>
      </x:c>
      <x:c r="K138" s="34" t="n">
        <x:f>IF('Course_Master'!M138="","",'Course_Master'!M138)</x:f>
        <x:v>5.75745721</x:v>
      </x:c>
      <x:c r="L138" s="28" t="n">
        <x:f>IF('Course_Master'!S138="","",'Course_Master'!S138)</x:f>
        <x:v>18</x:v>
      </x:c>
      <x:c r="M138" s="28" t="n">
        <x:f>IF('Course_Master'!T138="","",'Course_Master'!T138)</x:f>
        <x:v>72</x:v>
      </x:c>
      <x:c r="N138" s="28" t="n">
        <x:f>IF('Course_Master'!Q138="","",'Course_Master'!Q138)</x:f>
        <x:v>6243</x:v>
      </x:c>
      <x:c r="O138" s="28" t="n">
        <x:f>IF('Course_Master'!R138="","",'Course_Master'!R138)</x:f>
        <x:v>5709</x:v>
      </x:c>
      <x:c r="P138" s="28" t="str">
        <x:f>IF('Course_Master'!U138="","",'Course_Master'!U138)</x:f>
        <x:v>Full-length course</x:v>
      </x:c>
      <x:c r="Q138" s="28" t="str">
        <x:f>IF('Course_Master'!AD138="","",'Course_Master'!AD138)</x:f>
        <x:v>Public — handicap 54 or lower</x:v>
      </x:c>
      <x:c r="R138" s="28" t="str">
        <x:f>IF('Course_Master'!AC138="","",'Course_Master'!AC138)</x:f>
        <x:v>Open</x:v>
      </x:c>
      <x:c r="S138" s="28" t="str">
        <x:f>IF('Course_Master'!Y138="","",'Course_Master'!Y138)</x:f>
        <x:v>https://www.golfenophetrijk.nl/margraten.html</x:v>
      </x:c>
      <x:c r="T138" s="28" t="b">
        <x:f>IF('Course_Master'!Z138="","",'Course_Master'!Z138)</x:f>
        <x:v>1</x:v>
      </x:c>
      <x:c r="U138" s="28" t="b">
        <x:f>IF('Course_Master'!AA138="","",'Course_Master'!AA138)</x:f>
        <x:v>1</x:v>
      </x:c>
      <x:c r="V138" s="28" t="str">
        <x:f>IF('Course_Master'!AL138="","",'Course_Master'!AL138)</x:f>
        <x:v>Verified — national register and exact BAG address</x:v>
      </x:c>
    </x:row>
    <x:row r="139">
      <x:c r="A139" s="28" t="str">
        <x:f>IF('Course_Master'!B139="","",'Course_Master'!B139)</x:f>
        <x:v>NL-0138</x:v>
      </x:c>
      <x:c r="B139" s="28" t="str">
        <x:f>IF('Course_Master'!C139="","",'Course_Master'!C139)</x:f>
        <x:v>Golfbaan Het Rijk van Margraten — Shortgolf / Pitch &amp; Putt Course</x:v>
      </x:c>
      <x:c r="C139" s="28" t="str">
        <x:f>IF('Course_Master'!D139="","",'Course_Master'!D139)</x:f>
        <x:v>Golfbaan Het Rijk van Margraten</x:v>
      </x:c>
      <x:c r="D139" s="28" t="str">
        <x:f>IF('Course_Master'!E139="","",'Course_Master'!E139)</x:f>
        <x:v>Shortgolf / Pitch &amp; Putt Course</x:v>
      </x:c>
      <x:c r="E139" s="28" t="str">
        <x:f>IF('Course_Master'!F139="","",'Course_Master'!F139)</x:f>
        <x:v>Netherlands</x:v>
      </x:c>
      <x:c r="F139" s="28" t="str">
        <x:f>IF('Course_Master'!G139="","",'Course_Master'!G139)</x:f>
        <x:v>Limburg</x:v>
      </x:c>
      <x:c r="G139" s="28" t="str">
        <x:f>IF('Course_Master'!H139="","",'Course_Master'!H139)</x:f>
        <x:v>Eijsden-Margraten</x:v>
      </x:c>
      <x:c r="H139" s="28" t="str">
        <x:f>IF('Course_Master'!I139="","",'Course_Master'!I139)</x:f>
        <x:v>Cadier en Keer</x:v>
      </x:c>
      <x:c r="I139" s="28" t="str">
        <x:f>IF('Course_Master'!K139="","",'Course_Master'!K139)</x:f>
        <x:v>6267 AL</x:v>
      </x:c>
      <x:c r="J139" s="34" t="n">
        <x:f>IF('Course_Master'!L139="","",'Course_Master'!L139)</x:f>
        <x:v>50.83844781</x:v>
      </x:c>
      <x:c r="K139" s="34" t="n">
        <x:f>IF('Course_Master'!M139="","",'Course_Master'!M139)</x:f>
        <x:v>5.75745721</x:v>
      </x:c>
      <x:c r="L139" s="28" t="n">
        <x:f>IF('Course_Master'!S139="","",'Course_Master'!S139)</x:f>
        <x:v>9</x:v>
      </x:c>
      <x:c r="M139" s="28" t="n">
        <x:f>IF('Course_Master'!T139="","",'Course_Master'!T139)</x:f>
        <x:v>27</x:v>
      </x:c>
      <x:c r="N139" s="28" t="n">
        <x:f>IF('Course_Master'!Q139="","",'Course_Master'!Q139)</x:f>
        <x:v>547</x:v>
      </x:c>
      <x:c r="O139" s="28" t="n">
        <x:f>IF('Course_Master'!R139="","",'Course_Master'!R139)</x:f>
        <x:v>500</x:v>
      </x:c>
      <x:c r="P139" s="28" t="str">
        <x:f>IF('Course_Master'!U139="","",'Course_Master'!U139)</x:f>
        <x:v>Shortgolf / Pitch &amp; Putt</x:v>
      </x:c>
      <x:c r="Q139" s="28" t="str">
        <x:f>IF('Course_Master'!AD139="","",'Course_Master'!AD139)</x:f>
        <x:v>Public — no playing requirement</x:v>
      </x:c>
      <x:c r="R139" s="28" t="str">
        <x:f>IF('Course_Master'!AC139="","",'Course_Master'!AC139)</x:f>
        <x:v>Open</x:v>
      </x:c>
      <x:c r="S139" s="28" t="str">
        <x:f>IF('Course_Master'!Y139="","",'Course_Master'!Y139)</x:f>
        <x:v>https://www.golfenophetrijk.nl/margraten.html</x:v>
      </x:c>
      <x:c r="T139" s="28" t="b">
        <x:f>IF('Course_Master'!Z139="","",'Course_Master'!Z139)</x:f>
        <x:v>1</x:v>
      </x:c>
      <x:c r="U139" s="28" t="b">
        <x:f>IF('Course_Master'!AA139="","",'Course_Master'!AA139)</x:f>
        <x:v>1</x:v>
      </x:c>
      <x:c r="V139" s="28" t="str">
        <x:f>IF('Course_Master'!AL139="","",'Course_Master'!AL139)</x:f>
        <x:v>Verified — national register and exact BAG address</x:v>
      </x:c>
    </x:row>
    <x:row r="140">
      <x:c r="A140" s="28" t="str">
        <x:f>IF('Course_Master'!B140="","",'Course_Master'!B140)</x:f>
        <x:v>NL-0139</x:v>
      </x:c>
      <x:c r="B140" s="28" t="str">
        <x:f>IF('Course_Master'!C140="","",'Course_Master'!C140)</x:f>
        <x:v>Golfbaan Kapèlkeshof — Kapelkeshofbaan</x:v>
      </x:c>
      <x:c r="C140" s="28" t="str">
        <x:f>IF('Course_Master'!D140="","",'Course_Master'!D140)</x:f>
        <x:v>Golfbaan Kapèlkeshof</x:v>
      </x:c>
      <x:c r="D140" s="28" t="str">
        <x:f>IF('Course_Master'!E140="","",'Course_Master'!E140)</x:f>
        <x:v>Kapelkeshofbaan</x:v>
      </x:c>
      <x:c r="E140" s="28" t="str">
        <x:f>IF('Course_Master'!F140="","",'Course_Master'!F140)</x:f>
        <x:v>Netherlands</x:v>
      </x:c>
      <x:c r="F140" s="28" t="str">
        <x:f>IF('Course_Master'!G140="","",'Course_Master'!G140)</x:f>
        <x:v>Limburg</x:v>
      </x:c>
      <x:c r="G140" s="28" t="str">
        <x:f>IF('Course_Master'!H140="","",'Course_Master'!H140)</x:f>
        <x:v>Peel en Maas</x:v>
      </x:c>
      <x:c r="H140" s="28" t="str">
        <x:f>IF('Course_Master'!I140="","",'Course_Master'!I140)</x:f>
        <x:v>Grashoek</x:v>
      </x:c>
      <x:c r="I140" s="28" t="str">
        <x:f>IF('Course_Master'!K140="","",'Course_Master'!K140)</x:f>
        <x:v>5985 NS</x:v>
      </x:c>
      <x:c r="J140" s="34" t="n">
        <x:f>IF('Course_Master'!L140="","",'Course_Master'!L140)</x:f>
        <x:v>51.36545977</x:v>
      </x:c>
      <x:c r="K140" s="34" t="n">
        <x:f>IF('Course_Master'!M140="","",'Course_Master'!M140)</x:f>
        <x:v>5.94347608</x:v>
      </x:c>
      <x:c r="L140" s="28" t="n">
        <x:f>IF('Course_Master'!S140="","",'Course_Master'!S140)</x:f>
        <x:v>18</x:v>
      </x:c>
      <x:c r="M140" s="28" t="n">
        <x:f>IF('Course_Master'!T140="","",'Course_Master'!T140)</x:f>
        <x:v>54</x:v>
      </x:c>
      <x:c r="N140" s="28" t="n">
        <x:f>IF('Course_Master'!Q140="","",'Course_Master'!Q140)</x:f>
        <x:v>1305</x:v>
      </x:c>
      <x:c r="O140" s="28" t="n">
        <x:f>IF('Course_Master'!R140="","",'Course_Master'!R140)</x:f>
        <x:v>1193</x:v>
      </x:c>
      <x:c r="P140" s="28" t="str">
        <x:f>IF('Course_Master'!U140="","",'Course_Master'!U140)</x:f>
        <x:v>Par-3 course</x:v>
      </x:c>
      <x:c r="Q140" s="28" t="str">
        <x:f>IF('Course_Master'!AD140="","",'Course_Master'!AD140)</x:f>
        <x:v>Public — no playing requirement</x:v>
      </x:c>
      <x:c r="R140" s="28" t="str">
        <x:f>IF('Course_Master'!AC140="","",'Course_Master'!AC140)</x:f>
        <x:v>Open</x:v>
      </x:c>
      <x:c r="S140" s="28" t="str">
        <x:f>IF('Course_Master'!Y140="","",'Course_Master'!Y140)</x:f>
        <x:v>https://www.kapelkeshof.nl/</x:v>
      </x:c>
      <x:c r="T140" s="28" t="b">
        <x:f>IF('Course_Master'!Z140="","",'Course_Master'!Z140)</x:f>
        <x:v>1</x:v>
      </x:c>
      <x:c r="U140" s="28" t="b">
        <x:f>IF('Course_Master'!AA140="","",'Course_Master'!AA140)</x:f>
        <x:v>1</x:v>
      </x:c>
      <x:c r="V140" s="28" t="str">
        <x:f>IF('Course_Master'!AL140="","",'Course_Master'!AL140)</x:f>
        <x:v>Verified — national register and exact BAG address</x:v>
      </x:c>
    </x:row>
    <x:row r="141">
      <x:c r="A141" s="28" t="str">
        <x:f>IF('Course_Master'!B141="","",'Course_Master'!B141)</x:f>
        <x:v>NL-0140</x:v>
      </x:c>
      <x:c r="B141" s="28" t="str">
        <x:f>IF('Course_Master'!C141="","",'Course_Master'!C141)</x:f>
        <x:v>Golfbaan Kapèlkeshof — Solarisbaan</x:v>
      </x:c>
      <x:c r="C141" s="28" t="str">
        <x:f>IF('Course_Master'!D141="","",'Course_Master'!D141)</x:f>
        <x:v>Golfbaan Kapèlkeshof</x:v>
      </x:c>
      <x:c r="D141" s="28" t="str">
        <x:f>IF('Course_Master'!E141="","",'Course_Master'!E141)</x:f>
        <x:v>Solarisbaan</x:v>
      </x:c>
      <x:c r="E141" s="28" t="str">
        <x:f>IF('Course_Master'!F141="","",'Course_Master'!F141)</x:f>
        <x:v>Netherlands</x:v>
      </x:c>
      <x:c r="F141" s="28" t="str">
        <x:f>IF('Course_Master'!G141="","",'Course_Master'!G141)</x:f>
        <x:v>Limburg</x:v>
      </x:c>
      <x:c r="G141" s="28" t="str">
        <x:f>IF('Course_Master'!H141="","",'Course_Master'!H141)</x:f>
        <x:v>Peel en Maas</x:v>
      </x:c>
      <x:c r="H141" s="28" t="str">
        <x:f>IF('Course_Master'!I141="","",'Course_Master'!I141)</x:f>
        <x:v>Grashoek</x:v>
      </x:c>
      <x:c r="I141" s="28" t="str">
        <x:f>IF('Course_Master'!K141="","",'Course_Master'!K141)</x:f>
        <x:v>5985 NS</x:v>
      </x:c>
      <x:c r="J141" s="34" t="n">
        <x:f>IF('Course_Master'!L141="","",'Course_Master'!L141)</x:f>
        <x:v>51.36545977</x:v>
      </x:c>
      <x:c r="K141" s="34" t="n">
        <x:f>IF('Course_Master'!M141="","",'Course_Master'!M141)</x:f>
        <x:v>5.94347608</x:v>
      </x:c>
      <x:c r="L141" s="28" t="n">
        <x:f>IF('Course_Master'!S141="","",'Course_Master'!S141)</x:f>
        <x:v>9</x:v>
      </x:c>
      <x:c r="M141" s="28" t="n">
        <x:f>IF('Course_Master'!T141="","",'Course_Master'!T141)</x:f>
        <x:v>29</x:v>
      </x:c>
      <x:c r="N141" s="28" t="n">
        <x:f>IF('Course_Master'!Q141="","",'Course_Master'!Q141)</x:f>
        <x:v>1185</x:v>
      </x:c>
      <x:c r="O141" s="28" t="n">
        <x:f>IF('Course_Master'!R141="","",'Course_Master'!R141)</x:f>
        <x:v>1084</x:v>
      </x:c>
      <x:c r="P141" s="28" t="str">
        <x:f>IF('Course_Master'!U141="","",'Course_Master'!U141)</x:f>
        <x:v>Par-3/4 course</x:v>
      </x:c>
      <x:c r="Q141" s="28" t="str">
        <x:f>IF('Course_Master'!AD141="","",'Course_Master'!AD141)</x:f>
        <x:v>Public — NGF course permission</x:v>
      </x:c>
      <x:c r="R141" s="28" t="str">
        <x:f>IF('Course_Master'!AC141="","",'Course_Master'!AC141)</x:f>
        <x:v>Open</x:v>
      </x:c>
      <x:c r="S141" s="28" t="str">
        <x:f>IF('Course_Master'!Y141="","",'Course_Master'!Y141)</x:f>
        <x:v>https://www.kapelkeshof.nl/</x:v>
      </x:c>
      <x:c r="T141" s="28" t="b">
        <x:f>IF('Course_Master'!Z141="","",'Course_Master'!Z141)</x:f>
        <x:v>1</x:v>
      </x:c>
      <x:c r="U141" s="28" t="b">
        <x:f>IF('Course_Master'!AA141="","",'Course_Master'!AA141)</x:f>
        <x:v>1</x:v>
      </x:c>
      <x:c r="V141" s="28" t="str">
        <x:f>IF('Course_Master'!AL141="","",'Course_Master'!AL141)</x:f>
        <x:v>Verified — national register and exact BAG address</x:v>
      </x:c>
    </x:row>
    <x:row r="142">
      <x:c r="A142" s="28" t="str">
        <x:f>IF('Course_Master'!B142="","",'Course_Master'!B142)</x:f>
        <x:v>NL-0141</x:v>
      </x:c>
      <x:c r="B142" s="28" t="str">
        <x:f>IF('Course_Master'!C142="","",'Course_Master'!C142)</x:f>
        <x:v>Golfbaan Landgoed Bleijenbeek — Main Course</x:v>
      </x:c>
      <x:c r="C142" s="28" t="str">
        <x:f>IF('Course_Master'!D142="","",'Course_Master'!D142)</x:f>
        <x:v>Golfbaan Landgoed Bleijenbeek</x:v>
      </x:c>
      <x:c r="D142" s="28" t="str">
        <x:f>IF('Course_Master'!E142="","",'Course_Master'!E142)</x:f>
        <x:v>Main Course</x:v>
      </x:c>
      <x:c r="E142" s="28" t="str">
        <x:f>IF('Course_Master'!F142="","",'Course_Master'!F142)</x:f>
        <x:v>Netherlands</x:v>
      </x:c>
      <x:c r="F142" s="28" t="str">
        <x:f>IF('Course_Master'!G142="","",'Course_Master'!G142)</x:f>
        <x:v>Limburg</x:v>
      </x:c>
      <x:c r="G142" s="28" t="str">
        <x:f>IF('Course_Master'!H142="","",'Course_Master'!H142)</x:f>
        <x:v>Bergen (L)</x:v>
      </x:c>
      <x:c r="H142" s="28" t="str">
        <x:f>IF('Course_Master'!I142="","",'Course_Master'!I142)</x:f>
        <x:v>Afferden L</x:v>
      </x:c>
      <x:c r="I142" s="28" t="str">
        <x:f>IF('Course_Master'!K142="","",'Course_Master'!K142)</x:f>
        <x:v>5851 EE</x:v>
      </x:c>
      <x:c r="J142" s="34" t="n">
        <x:f>IF('Course_Master'!L142="","",'Course_Master'!L142)</x:f>
        <x:v>51.6365041</x:v>
      </x:c>
      <x:c r="K142" s="34" t="n">
        <x:f>IF('Course_Master'!M142="","",'Course_Master'!M142)</x:f>
        <x:v>6.06221715</x:v>
      </x:c>
      <x:c r="L142" s="28" t="n">
        <x:f>IF('Course_Master'!S142="","",'Course_Master'!S142)</x:f>
        <x:v>18</x:v>
      </x:c>
      <x:c r="M142" s="28" t="n">
        <x:f>IF('Course_Master'!T142="","",'Course_Master'!T142)</x:f>
        <x:v>73</x:v>
      </x:c>
      <x:c r="N142" s="28" t="n">
        <x:f>IF('Course_Master'!Q142="","",'Course_Master'!Q142)</x:f>
        <x:v>6966</x:v>
      </x:c>
      <x:c r="O142" s="28" t="n">
        <x:f>IF('Course_Master'!R142="","",'Course_Master'!R142)</x:f>
        <x:v>6370</x:v>
      </x:c>
      <x:c r="P142" s="28" t="str">
        <x:f>IF('Course_Master'!U142="","",'Course_Master'!U142)</x:f>
        <x:v>Full-length course</x:v>
      </x:c>
      <x:c r="Q142" s="28" t="str">
        <x:f>IF('Course_Master'!AD142="","",'Course_Master'!AD142)</x:f>
        <x:v>Public — handicap 54 or lower</x:v>
      </x:c>
      <x:c r="R142" s="28" t="str">
        <x:f>IF('Course_Master'!AC142="","",'Course_Master'!AC142)</x:f>
        <x:v>Open</x:v>
      </x:c>
      <x:c r="S142" s="28" t="str">
        <x:f>IF('Course_Master'!Y142="","",'Course_Master'!Y142)</x:f>
        <x:v>https://bleijenbeek.nl/</x:v>
      </x:c>
      <x:c r="T142" s="28" t="b">
        <x:f>IF('Course_Master'!Z142="","",'Course_Master'!Z142)</x:f>
        <x:v>1</x:v>
      </x:c>
      <x:c r="U142" s="28" t="b">
        <x:f>IF('Course_Master'!AA142="","",'Course_Master'!AA142)</x:f>
        <x:v>1</x:v>
      </x:c>
      <x:c r="V142" s="28" t="str">
        <x:f>IF('Course_Master'!AL142="","",'Course_Master'!AL142)</x:f>
        <x:v>Verified — national register and exact BAG address</x:v>
      </x:c>
    </x:row>
    <x:row r="143">
      <x:c r="A143" s="28" t="str">
        <x:f>IF('Course_Master'!B143="","",'Course_Master'!B143)</x:f>
        <x:v>NL-0142</x:v>
      </x:c>
      <x:c r="B143" s="28" t="str">
        <x:f>IF('Course_Master'!C143="","",'Course_Master'!C143)</x:f>
        <x:v>Golfbaan Landgoed Bleijenbeek — Par-3/4 Course</x:v>
      </x:c>
      <x:c r="C143" s="28" t="str">
        <x:f>IF('Course_Master'!D143="","",'Course_Master'!D143)</x:f>
        <x:v>Golfbaan Landgoed Bleijenbeek</x:v>
      </x:c>
      <x:c r="D143" s="28" t="str">
        <x:f>IF('Course_Master'!E143="","",'Course_Master'!E143)</x:f>
        <x:v>Par-3/4 Course</x:v>
      </x:c>
      <x:c r="E143" s="28" t="str">
        <x:f>IF('Course_Master'!F143="","",'Course_Master'!F143)</x:f>
        <x:v>Netherlands</x:v>
      </x:c>
      <x:c r="F143" s="28" t="str">
        <x:f>IF('Course_Master'!G143="","",'Course_Master'!G143)</x:f>
        <x:v>Limburg</x:v>
      </x:c>
      <x:c r="G143" s="28" t="str">
        <x:f>IF('Course_Master'!H143="","",'Course_Master'!H143)</x:f>
        <x:v>Bergen (L)</x:v>
      </x:c>
      <x:c r="H143" s="28" t="str">
        <x:f>IF('Course_Master'!I143="","",'Course_Master'!I143)</x:f>
        <x:v>Afferden L</x:v>
      </x:c>
      <x:c r="I143" s="28" t="str">
        <x:f>IF('Course_Master'!K143="","",'Course_Master'!K143)</x:f>
        <x:v>5851 EE</x:v>
      </x:c>
      <x:c r="J143" s="34" t="n">
        <x:f>IF('Course_Master'!L143="","",'Course_Master'!L143)</x:f>
        <x:v>51.6365041</x:v>
      </x:c>
      <x:c r="K143" s="34" t="n">
        <x:f>IF('Course_Master'!M143="","",'Course_Master'!M143)</x:f>
        <x:v>6.06221715</x:v>
      </x:c>
      <x:c r="L143" s="28" t="n">
        <x:f>IF('Course_Master'!S143="","",'Course_Master'!S143)</x:f>
        <x:v>9</x:v>
      </x:c>
      <x:c r="M143" s="28" t="n">
        <x:f>IF('Course_Master'!T143="","",'Course_Master'!T143)</x:f>
        <x:v>29</x:v>
      </x:c>
      <x:c r="N143" s="28" t="n">
        <x:f>IF('Course_Master'!Q143="","",'Course_Master'!Q143)</x:f>
        <x:v>1544</x:v>
      </x:c>
      <x:c r="O143" s="28" t="n">
        <x:f>IF('Course_Master'!R143="","",'Course_Master'!R143)</x:f>
        <x:v>1412</x:v>
      </x:c>
      <x:c r="P143" s="28" t="str">
        <x:f>IF('Course_Master'!U143="","",'Course_Master'!U143)</x:f>
        <x:v>Par-3/4 course</x:v>
      </x:c>
      <x:c r="Q143" s="28" t="str">
        <x:f>IF('Course_Master'!AD143="","",'Course_Master'!AD143)</x:f>
        <x:v>Public — NGF course permission</x:v>
      </x:c>
      <x:c r="R143" s="28" t="str">
        <x:f>IF('Course_Master'!AC143="","",'Course_Master'!AC143)</x:f>
        <x:v>Open</x:v>
      </x:c>
      <x:c r="S143" s="28" t="str">
        <x:f>IF('Course_Master'!Y143="","",'Course_Master'!Y143)</x:f>
        <x:v>https://bleijenbeek.nl/</x:v>
      </x:c>
      <x:c r="T143" s="28" t="b">
        <x:f>IF('Course_Master'!Z143="","",'Course_Master'!Z143)</x:f>
        <x:v>1</x:v>
      </x:c>
      <x:c r="U143" s="28" t="b">
        <x:f>IF('Course_Master'!AA143="","",'Course_Master'!AA143)</x:f>
        <x:v>1</x:v>
      </x:c>
      <x:c r="V143" s="28" t="str">
        <x:f>IF('Course_Master'!AL143="","",'Course_Master'!AL143)</x:f>
        <x:v>Verified — national register and exact BAG address</x:v>
      </x:c>
    </x:row>
    <x:row r="144">
      <x:c r="A144" s="28" t="str">
        <x:f>IF('Course_Master'!B144="","",'Course_Master'!B144)</x:f>
        <x:v>NL-0143</x:v>
      </x:c>
      <x:c r="B144" s="28" t="str">
        <x:f>IF('Course_Master'!C144="","",'Course_Master'!C144)</x:f>
        <x:v>Golfbaan Landgoed Bleijenbeek — Shortgolf / Pitch &amp; Putt Course</x:v>
      </x:c>
      <x:c r="C144" s="28" t="str">
        <x:f>IF('Course_Master'!D144="","",'Course_Master'!D144)</x:f>
        <x:v>Golfbaan Landgoed Bleijenbeek</x:v>
      </x:c>
      <x:c r="D144" s="28" t="str">
        <x:f>IF('Course_Master'!E144="","",'Course_Master'!E144)</x:f>
        <x:v>Shortgolf / Pitch &amp; Putt Course</x:v>
      </x:c>
      <x:c r="E144" s="28" t="str">
        <x:f>IF('Course_Master'!F144="","",'Course_Master'!F144)</x:f>
        <x:v>Netherlands</x:v>
      </x:c>
      <x:c r="F144" s="28" t="str">
        <x:f>IF('Course_Master'!G144="","",'Course_Master'!G144)</x:f>
        <x:v>Limburg</x:v>
      </x:c>
      <x:c r="G144" s="28" t="str">
        <x:f>IF('Course_Master'!H144="","",'Course_Master'!H144)</x:f>
        <x:v>Bergen (L)</x:v>
      </x:c>
      <x:c r="H144" s="28" t="str">
        <x:f>IF('Course_Master'!I144="","",'Course_Master'!I144)</x:f>
        <x:v>Afferden L</x:v>
      </x:c>
      <x:c r="I144" s="28" t="str">
        <x:f>IF('Course_Master'!K144="","",'Course_Master'!K144)</x:f>
        <x:v>5851 EE</x:v>
      </x:c>
      <x:c r="J144" s="34" t="n">
        <x:f>IF('Course_Master'!L144="","",'Course_Master'!L144)</x:f>
        <x:v>51.6365041</x:v>
      </x:c>
      <x:c r="K144" s="34" t="n">
        <x:f>IF('Course_Master'!M144="","",'Course_Master'!M144)</x:f>
        <x:v>6.06221715</x:v>
      </x:c>
      <x:c r="L144" s="28" t="n">
        <x:f>IF('Course_Master'!S144="","",'Course_Master'!S144)</x:f>
        <x:v>9</x:v>
      </x:c>
      <x:c r="M144" s="28" t="n">
        <x:f>IF('Course_Master'!T144="","",'Course_Master'!T144)</x:f>
        <x:v>27</x:v>
      </x:c>
      <x:c r="N144" s="28" t="n">
        <x:f>IF('Course_Master'!Q144="","",'Course_Master'!Q144)</x:f>
        <x:v>492</x:v>
      </x:c>
      <x:c r="O144" s="28" t="n">
        <x:f>IF('Course_Master'!R144="","",'Course_Master'!R144)</x:f>
        <x:v>450</x:v>
      </x:c>
      <x:c r="P144" s="28" t="str">
        <x:f>IF('Course_Master'!U144="","",'Course_Master'!U144)</x:f>
        <x:v>Shortgolf / Pitch &amp; Putt</x:v>
      </x:c>
      <x:c r="Q144" s="28" t="str">
        <x:f>IF('Course_Master'!AD144="","",'Course_Master'!AD144)</x:f>
        <x:v>Public — no playing requirement</x:v>
      </x:c>
      <x:c r="R144" s="28" t="str">
        <x:f>IF('Course_Master'!AC144="","",'Course_Master'!AC144)</x:f>
        <x:v>Open</x:v>
      </x:c>
      <x:c r="S144" s="28" t="str">
        <x:f>IF('Course_Master'!Y144="","",'Course_Master'!Y144)</x:f>
        <x:v>https://bleijenbeek.nl/</x:v>
      </x:c>
      <x:c r="T144" s="28" t="b">
        <x:f>IF('Course_Master'!Z144="","",'Course_Master'!Z144)</x:f>
        <x:v>1</x:v>
      </x:c>
      <x:c r="U144" s="28" t="b">
        <x:f>IF('Course_Master'!AA144="","",'Course_Master'!AA144)</x:f>
        <x:v>1</x:v>
      </x:c>
      <x:c r="V144" s="28" t="str">
        <x:f>IF('Course_Master'!AL144="","",'Course_Master'!AL144)</x:f>
        <x:v>Verified — national register and exact BAG address</x:v>
      </x:c>
    </x:row>
    <x:row r="145">
      <x:c r="A145" s="28" t="str">
        <x:f>IF('Course_Master'!B145="","",'Course_Master'!B145)</x:f>
        <x:v>NL-0144</x:v>
      </x:c>
      <x:c r="B145" s="28" t="str">
        <x:f>IF('Course_Master'!C145="","",'Course_Master'!C145)</x:f>
        <x:v>Golfclub De Berckt</x:v>
      </x:c>
      <x:c r="C145" s="28" t="str">
        <x:f>IF('Course_Master'!D145="","",'Course_Master'!D145)</x:f>
        <x:v>Golfclub De Berckt</x:v>
      </x:c>
      <x:c r="D145" s="28" t="str">
        <x:f>IF('Course_Master'!E145="","",'Course_Master'!E145)</x:f>
        <x:v>Course</x:v>
      </x:c>
      <x:c r="E145" s="28" t="str">
        <x:f>IF('Course_Master'!F145="","",'Course_Master'!F145)</x:f>
        <x:v>Netherlands</x:v>
      </x:c>
      <x:c r="F145" s="28" t="str">
        <x:f>IF('Course_Master'!G145="","",'Course_Master'!G145)</x:f>
        <x:v>Limburg</x:v>
      </x:c>
      <x:c r="G145" s="28" t="str">
        <x:f>IF('Course_Master'!H145="","",'Course_Master'!H145)</x:f>
        <x:v>Peel en Maas</x:v>
      </x:c>
      <x:c r="H145" s="28" t="str">
        <x:f>IF('Course_Master'!I145="","",'Course_Master'!I145)</x:f>
        <x:v>Baarlo</x:v>
      </x:c>
      <x:c r="I145" s="28" t="str">
        <x:f>IF('Course_Master'!K145="","",'Course_Master'!K145)</x:f>
        <x:v>5991 PD</x:v>
      </x:c>
      <x:c r="J145" s="34" t="n">
        <x:f>IF('Course_Master'!L145="","",'Course_Master'!L145)</x:f>
        <x:v>51.34006841</x:v>
      </x:c>
      <x:c r="K145" s="34" t="n">
        <x:f>IF('Course_Master'!M145="","",'Course_Master'!M145)</x:f>
        <x:v>6.1099039</x:v>
      </x:c>
      <x:c r="L145" s="28" t="n">
        <x:f>IF('Course_Master'!S145="","",'Course_Master'!S145)</x:f>
        <x:v>9</x:v>
      </x:c>
      <x:c r="M145" s="28" t="n">
        <x:f>IF('Course_Master'!T145="","",'Course_Master'!T145)</x:f>
        <x:v>32</x:v>
      </x:c>
      <x:c r="N145" s="28" t="n">
        <x:f>IF('Course_Master'!Q145="","",'Course_Master'!Q145)</x:f>
        <x:v>1996</x:v>
      </x:c>
      <x:c r="O145" s="28" t="n">
        <x:f>IF('Course_Master'!R145="","",'Course_Master'!R145)</x:f>
        <x:v>1825</x:v>
      </x:c>
      <x:c r="P145" s="28" t="str">
        <x:f>IF('Course_Master'!U145="","",'Course_Master'!U145)</x:f>
        <x:v>Full-length course</x:v>
      </x:c>
      <x:c r="Q145" s="28" t="str">
        <x:f>IF('Course_Master'!AD145="","",'Course_Master'!AD145)</x:f>
        <x:v>Public — NGF course permission</x:v>
      </x:c>
      <x:c r="R145" s="28" t="str">
        <x:f>IF('Course_Master'!AC145="","",'Course_Master'!AC145)</x:f>
        <x:v>Open</x:v>
      </x:c>
      <x:c r="S145" s="28" t="str">
        <x:f>IF('Course_Master'!Y145="","",'Course_Master'!Y145)</x:f>
        <x:v>https://golfclubdeberckt.nl/</x:v>
      </x:c>
      <x:c r="T145" s="28" t="b">
        <x:f>IF('Course_Master'!Z145="","",'Course_Master'!Z145)</x:f>
        <x:v>1</x:v>
      </x:c>
      <x:c r="U145" s="28" t="b">
        <x:f>IF('Course_Master'!AA145="","",'Course_Master'!AA145)</x:f>
        <x:v>1</x:v>
      </x:c>
      <x:c r="V145" s="28" t="str">
        <x:f>IF('Course_Master'!AL145="","",'Course_Master'!AL145)</x:f>
        <x:v>Verified — national register and exact BAG address</x:v>
      </x:c>
    </x:row>
    <x:row r="146">
      <x:c r="A146" s="28" t="str">
        <x:f>IF('Course_Master'!B146="","",'Course_Master'!B146)</x:f>
        <x:v>NL-0145</x:v>
      </x:c>
      <x:c r="B146" s="28" t="str">
        <x:f>IF('Course_Master'!C146="","",'Course_Master'!C146)</x:f>
        <x:v>Golfclub Meerssen</x:v>
      </x:c>
      <x:c r="C146" s="28" t="str">
        <x:f>IF('Course_Master'!D146="","",'Course_Master'!D146)</x:f>
        <x:v>Golfclub Meerssen</x:v>
      </x:c>
      <x:c r="D146" s="28" t="str">
        <x:f>IF('Course_Master'!E146="","",'Course_Master'!E146)</x:f>
        <x:v>Course</x:v>
      </x:c>
      <x:c r="E146" s="28" t="str">
        <x:f>IF('Course_Master'!F146="","",'Course_Master'!F146)</x:f>
        <x:v>Netherlands</x:v>
      </x:c>
      <x:c r="F146" s="28" t="str">
        <x:f>IF('Course_Master'!G146="","",'Course_Master'!G146)</x:f>
        <x:v>Limburg</x:v>
      </x:c>
      <x:c r="G146" s="28" t="str">
        <x:f>IF('Course_Master'!H146="","",'Course_Master'!H146)</x:f>
        <x:v>Meerssen</x:v>
      </x:c>
      <x:c r="H146" s="28" t="str">
        <x:f>IF('Course_Master'!I146="","",'Course_Master'!I146)</x:f>
        <x:v>Bunde</x:v>
      </x:c>
      <x:c r="I146" s="28" t="str">
        <x:f>IF('Course_Master'!K146="","",'Course_Master'!K146)</x:f>
        <x:v>6241 EK</x:v>
      </x:c>
      <x:c r="J146" s="34" t="n">
        <x:f>IF('Course_Master'!L146="","",'Course_Master'!L146)</x:f>
        <x:v>50.8966041</x:v>
      </x:c>
      <x:c r="K146" s="34" t="n">
        <x:f>IF('Course_Master'!M146="","",'Course_Master'!M146)</x:f>
        <x:v>5.74470455</x:v>
      </x:c>
      <x:c r="L146" s="28" t="n">
        <x:f>IF('Course_Master'!S146="","",'Course_Master'!S146)</x:f>
        <x:v>9</x:v>
      </x:c>
      <x:c r="M146" s="28" t="n">
        <x:f>IF('Course_Master'!T146="","",'Course_Master'!T146)</x:f>
        <x:v>29</x:v>
      </x:c>
      <x:c r="N146" s="28" t="n">
        <x:f>IF('Course_Master'!Q146="","",'Course_Master'!Q146)</x:f>
        <x:v>1640</x:v>
      </x:c>
      <x:c r="O146" s="28" t="n">
        <x:f>IF('Course_Master'!R146="","",'Course_Master'!R146)</x:f>
        <x:v>1500</x:v>
      </x:c>
      <x:c r="P146" s="28" t="str">
        <x:f>IF('Course_Master'!U146="","",'Course_Master'!U146)</x:f>
        <x:v>Par-3/4 course</x:v>
      </x:c>
      <x:c r="Q146" s="28" t="str">
        <x:f>IF('Course_Master'!AD146="","",'Course_Master'!AD146)</x:f>
        <x:v>Public — handicap 54 or lower</x:v>
      </x:c>
      <x:c r="R146" s="28" t="str">
        <x:f>IF('Course_Master'!AC146="","",'Course_Master'!AC146)</x:f>
        <x:v>Open</x:v>
      </x:c>
      <x:c r="S146" s="28" t="str">
        <x:f>IF('Course_Master'!Y146="","",'Course_Master'!Y146)</x:f>
        <x:v>https://www.golfclubmeerssen.nl/</x:v>
      </x:c>
      <x:c r="T146" s="28" t="b">
        <x:f>IF('Course_Master'!Z146="","",'Course_Master'!Z146)</x:f>
        <x:v>1</x:v>
      </x:c>
      <x:c r="U146" s="28" t="b">
        <x:f>IF('Course_Master'!AA146="","",'Course_Master'!AA146)</x:f>
        <x:v>1</x:v>
      </x:c>
      <x:c r="V146" s="28" t="str">
        <x:f>IF('Course_Master'!AL146="","",'Course_Master'!AL146)</x:f>
        <x:v>Verified — national register and exact BAG address</x:v>
      </x:c>
    </x:row>
    <x:row r="147">
      <x:c r="A147" s="28" t="str">
        <x:f>IF('Course_Master'!B147="","",'Course_Master'!B147)</x:f>
        <x:v>NL-0146</x:v>
      </x:c>
      <x:c r="B147" s="28" t="str">
        <x:f>IF('Course_Master'!C147="","",'Course_Master'!C147)</x:f>
        <x:v>Golfclub Slottermolen</x:v>
      </x:c>
      <x:c r="C147" s="28" t="str">
        <x:f>IF('Course_Master'!D147="","",'Course_Master'!D147)</x:f>
        <x:v>Golfclub Slottermolen</x:v>
      </x:c>
      <x:c r="D147" s="28" t="str">
        <x:f>IF('Course_Master'!E147="","",'Course_Master'!E147)</x:f>
        <x:v>Course</x:v>
      </x:c>
      <x:c r="E147" s="28" t="str">
        <x:f>IF('Course_Master'!F147="","",'Course_Master'!F147)</x:f>
        <x:v>Netherlands</x:v>
      </x:c>
      <x:c r="F147" s="28" t="str">
        <x:f>IF('Course_Master'!G147="","",'Course_Master'!G147)</x:f>
        <x:v>Limburg</x:v>
      </x:c>
      <x:c r="G147" s="28" t="str">
        <x:f>IF('Course_Master'!H147="","",'Course_Master'!H147)</x:f>
        <x:v>Horst aan de Maas</x:v>
      </x:c>
      <x:c r="H147" s="28" t="str">
        <x:f>IF('Course_Master'!I147="","",'Course_Master'!I147)</x:f>
        <x:v>Grubbenvorst</x:v>
      </x:c>
      <x:c r="I147" s="28" t="str">
        <x:f>IF('Course_Master'!K147="","",'Course_Master'!K147)</x:f>
        <x:v>5971 PB</x:v>
      </x:c>
      <x:c r="J147" s="34" t="n">
        <x:f>IF('Course_Master'!L147="","",'Course_Master'!L147)</x:f>
        <x:v>51.40925593</x:v>
      </x:c>
      <x:c r="K147" s="34" t="n">
        <x:f>IF('Course_Master'!M147="","",'Course_Master'!M147)</x:f>
        <x:v>6.14603095</x:v>
      </x:c>
      <x:c r="L147" s="28" t="n">
        <x:f>IF('Course_Master'!S147="","",'Course_Master'!S147)</x:f>
        <x:v>9</x:v>
      </x:c>
      <x:c r="M147" s="28" t="n">
        <x:f>IF('Course_Master'!T147="","",'Course_Master'!T147)</x:f>
        <x:v>27</x:v>
      </x:c>
      <x:c r="N147" s="28" t="n">
        <x:f>IF('Course_Master'!Q147="","",'Course_Master'!Q147)</x:f>
        <x:v>1165</x:v>
      </x:c>
      <x:c r="O147" s="28" t="n">
        <x:f>IF('Course_Master'!R147="","",'Course_Master'!R147)</x:f>
        <x:v>1065</x:v>
      </x:c>
      <x:c r="P147" s="28" t="str">
        <x:f>IF('Course_Master'!U147="","",'Course_Master'!U147)</x:f>
        <x:v>Par-3 course</x:v>
      </x:c>
      <x:c r="Q147" s="28" t="str">
        <x:f>IF('Course_Master'!AD147="","",'Course_Master'!AD147)</x:f>
        <x:v>Public — no playing requirement</x:v>
      </x:c>
      <x:c r="R147" s="28" t="str">
        <x:f>IF('Course_Master'!AC147="","",'Course_Master'!AC147)</x:f>
        <x:v>Open</x:v>
      </x:c>
      <x:c r="S147" s="28" t="str">
        <x:f>IF('Course_Master'!Y147="","",'Course_Master'!Y147)</x:f>
        <x:v>https://www.golf.nl/banen-en-clubs/waar-kan-ik-golfen/622/slottermolen</x:v>
      </x:c>
      <x:c r="T147" s="28" t="b">
        <x:f>IF('Course_Master'!Z147="","",'Course_Master'!Z147)</x:f>
        <x:v>1</x:v>
      </x:c>
      <x:c r="U147" s="28" t="b">
        <x:f>IF('Course_Master'!AA147="","",'Course_Master'!AA147)</x:f>
        <x:v>1</x:v>
      </x:c>
      <x:c r="V147" s="28" t="str">
        <x:f>IF('Course_Master'!AL147="","",'Course_Master'!AL147)</x:f>
        <x:v>Verified — national register and exact BAG address</x:v>
      </x:c>
    </x:row>
    <x:row r="148">
      <x:c r="A148" s="28" t="str">
        <x:f>IF('Course_Master'!B148="","",'Course_Master'!B148)</x:f>
        <x:v>NL-0147</x:v>
      </x:c>
      <x:c r="B148" s="28" t="str">
        <x:f>IF('Course_Master'!C148="","",'Course_Master'!C148)</x:f>
        <x:v>Golfclub Velden</x:v>
      </x:c>
      <x:c r="C148" s="28" t="str">
        <x:f>IF('Course_Master'!D148="","",'Course_Master'!D148)</x:f>
        <x:v>Golfclub Velden</x:v>
      </x:c>
      <x:c r="D148" s="28" t="str">
        <x:f>IF('Course_Master'!E148="","",'Course_Master'!E148)</x:f>
        <x:v>Course</x:v>
      </x:c>
      <x:c r="E148" s="28" t="str">
        <x:f>IF('Course_Master'!F148="","",'Course_Master'!F148)</x:f>
        <x:v>Netherlands</x:v>
      </x:c>
      <x:c r="F148" s="28" t="str">
        <x:f>IF('Course_Master'!G148="","",'Course_Master'!G148)</x:f>
        <x:v>Limburg</x:v>
      </x:c>
      <x:c r="G148" s="28" t="str">
        <x:f>IF('Course_Master'!H148="","",'Course_Master'!H148)</x:f>
        <x:v>Venlo</x:v>
      </x:c>
      <x:c r="H148" s="28" t="str">
        <x:f>IF('Course_Master'!I148="","",'Course_Master'!I148)</x:f>
        <x:v>Velden</x:v>
      </x:c>
      <x:c r="I148" s="28" t="str">
        <x:f>IF('Course_Master'!K148="","",'Course_Master'!K148)</x:f>
        <x:v>5941 CP</x:v>
      </x:c>
      <x:c r="J148" s="34" t="n">
        <x:f>IF('Course_Master'!L148="","",'Course_Master'!L148)</x:f>
        <x:v>51.41547297</x:v>
      </x:c>
      <x:c r="K148" s="34" t="n">
        <x:f>IF('Course_Master'!M148="","",'Course_Master'!M148)</x:f>
        <x:v>6.16981933</x:v>
      </x:c>
      <x:c r="L148" s="28" t="n">
        <x:f>IF('Course_Master'!S148="","",'Course_Master'!S148)</x:f>
        <x:v>9</x:v>
      </x:c>
      <x:c r="M148" s="28" t="n">
        <x:f>IF('Course_Master'!T148="","",'Course_Master'!T148)</x:f>
        <x:v>27</x:v>
      </x:c>
      <x:c r="N148" s="28" t="n">
        <x:f>IF('Course_Master'!Q148="","",'Course_Master'!Q148)</x:f>
        <x:v>1255</x:v>
      </x:c>
      <x:c r="O148" s="28" t="n">
        <x:f>IF('Course_Master'!R148="","",'Course_Master'!R148)</x:f>
        <x:v>1148</x:v>
      </x:c>
      <x:c r="P148" s="28" t="str">
        <x:f>IF('Course_Master'!U148="","",'Course_Master'!U148)</x:f>
        <x:v>Par-3 course</x:v>
      </x:c>
      <x:c r="Q148" s="28" t="str">
        <x:f>IF('Course_Master'!AD148="","",'Course_Master'!AD148)</x:f>
        <x:v>Public — NGF course permission</x:v>
      </x:c>
      <x:c r="R148" s="28" t="str">
        <x:f>IF('Course_Master'!AC148="","",'Course_Master'!AC148)</x:f>
        <x:v>Open</x:v>
      </x:c>
      <x:c r="S148" s="28" t="str">
        <x:f>IF('Course_Master'!Y148="","",'Course_Master'!Y148)</x:f>
        <x:v>https://www.sportkernvelden.nl/golfclub-velden/</x:v>
      </x:c>
      <x:c r="T148" s="28" t="b">
        <x:f>IF('Course_Master'!Z148="","",'Course_Master'!Z148)</x:f>
        <x:v>1</x:v>
      </x:c>
      <x:c r="U148" s="28" t="b">
        <x:f>IF('Course_Master'!AA148="","",'Course_Master'!AA148)</x:f>
        <x:v>1</x:v>
      </x:c>
      <x:c r="V148" s="28" t="str">
        <x:f>IF('Course_Master'!AL148="","",'Course_Master'!AL148)</x:f>
        <x:v>Verified — national register and exact BAG address</x:v>
      </x:c>
    </x:row>
    <x:row r="149">
      <x:c r="A149" s="28" t="str">
        <x:f>IF('Course_Master'!B149="","",'Course_Master'!B149)</x:f>
        <x:v>NL-0148</x:v>
      </x:c>
      <x:c r="B149" s="28" t="str">
        <x:f>IF('Course_Master'!C149="","",'Course_Master'!C149)</x:f>
        <x:v>Golfpark Land van Thorn</x:v>
      </x:c>
      <x:c r="C149" s="28" t="str">
        <x:f>IF('Course_Master'!D149="","",'Course_Master'!D149)</x:f>
        <x:v>Golfpark Land van Thorn</x:v>
      </x:c>
      <x:c r="D149" s="28" t="str">
        <x:f>IF('Course_Master'!E149="","",'Course_Master'!E149)</x:f>
        <x:v>Course</x:v>
      </x:c>
      <x:c r="E149" s="28" t="str">
        <x:f>IF('Course_Master'!F149="","",'Course_Master'!F149)</x:f>
        <x:v>Netherlands</x:v>
      </x:c>
      <x:c r="F149" s="28" t="str">
        <x:f>IF('Course_Master'!G149="","",'Course_Master'!G149)</x:f>
        <x:v>Limburg</x:v>
      </x:c>
      <x:c r="G149" s="28" t="str">
        <x:f>IF('Course_Master'!H149="","",'Course_Master'!H149)</x:f>
        <x:v>Leudal</x:v>
      </x:c>
      <x:c r="H149" s="28" t="str">
        <x:f>IF('Course_Master'!I149="","",'Course_Master'!I149)</x:f>
        <x:v>Hunsel</x:v>
      </x:c>
      <x:c r="I149" s="28" t="str">
        <x:f>IF('Course_Master'!K149="","",'Course_Master'!K149)</x:f>
        <x:v>6013 RM</x:v>
      </x:c>
      <x:c r="J149" s="34" t="n">
        <x:f>IF('Course_Master'!L149="","",'Course_Master'!L149)</x:f>
        <x:v>51.18729696</x:v>
      </x:c>
      <x:c r="K149" s="34" t="n">
        <x:f>IF('Course_Master'!M149="","",'Course_Master'!M149)</x:f>
        <x:v>5.81858718</x:v>
      </x:c>
      <x:c r="L149" s="28" t="n">
        <x:f>IF('Course_Master'!S149="","",'Course_Master'!S149)</x:f>
        <x:v>9</x:v>
      </x:c>
      <x:c r="M149" s="28" t="n">
        <x:f>IF('Course_Master'!T149="","",'Course_Master'!T149)</x:f>
        <x:v>36</x:v>
      </x:c>
      <x:c r="N149" s="28" t="n">
        <x:f>IF('Course_Master'!Q149="","",'Course_Master'!Q149)</x:f>
        <x:v>3021</x:v>
      </x:c>
      <x:c r="O149" s="28" t="n">
        <x:f>IF('Course_Master'!R149="","",'Course_Master'!R149)</x:f>
        <x:v>2762</x:v>
      </x:c>
      <x:c r="P149" s="28" t="str">
        <x:f>IF('Course_Master'!U149="","",'Course_Master'!U149)</x:f>
        <x:v>Full-length course</x:v>
      </x:c>
      <x:c r="Q149" s="28" t="str">
        <x:f>IF('Course_Master'!AD149="","",'Course_Master'!AD149)</x:f>
        <x:v>Public — handicap 54 or lower</x:v>
      </x:c>
      <x:c r="R149" s="28" t="str">
        <x:f>IF('Course_Master'!AC149="","",'Course_Master'!AC149)</x:f>
        <x:v>Open</x:v>
      </x:c>
      <x:c r="S149" s="28" t="str">
        <x:f>IF('Course_Master'!Y149="","",'Course_Master'!Y149)</x:f>
        <x:v>https://www.hollandschegolfclub.nl/golfpark/land-van-thorn/</x:v>
      </x:c>
      <x:c r="T149" s="28" t="b">
        <x:f>IF('Course_Master'!Z149="","",'Course_Master'!Z149)</x:f>
        <x:v>1</x:v>
      </x:c>
      <x:c r="U149" s="28" t="b">
        <x:f>IF('Course_Master'!AA149="","",'Course_Master'!AA149)</x:f>
        <x:v>1</x:v>
      </x:c>
      <x:c r="V149" s="28" t="str">
        <x:f>IF('Course_Master'!AL149="","",'Course_Master'!AL149)</x:f>
        <x:v>Verified — national register and exact BAG address</x:v>
      </x:c>
    </x:row>
    <x:row r="150">
      <x:c r="A150" s="28" t="str">
        <x:f>IF('Course_Master'!B150="","",'Course_Master'!B150)</x:f>
        <x:v>NL-0149</x:v>
      </x:c>
      <x:c r="B150" s="28" t="str">
        <x:f>IF('Course_Master'!C150="","",'Course_Master'!C150)</x:f>
        <x:v>Hoenshuis Golf — Main Course</x:v>
      </x:c>
      <x:c r="C150" s="28" t="str">
        <x:f>IF('Course_Master'!D150="","",'Course_Master'!D150)</x:f>
        <x:v>Hoenshuis Golf</x:v>
      </x:c>
      <x:c r="D150" s="28" t="str">
        <x:f>IF('Course_Master'!E150="","",'Course_Master'!E150)</x:f>
        <x:v>Main Course</x:v>
      </x:c>
      <x:c r="E150" s="28" t="str">
        <x:f>IF('Course_Master'!F150="","",'Course_Master'!F150)</x:f>
        <x:v>Netherlands</x:v>
      </x:c>
      <x:c r="F150" s="28" t="str">
        <x:f>IF('Course_Master'!G150="","",'Course_Master'!G150)</x:f>
        <x:v>Limburg</x:v>
      </x:c>
      <x:c r="G150" s="28" t="str">
        <x:f>IF('Course_Master'!H150="","",'Course_Master'!H150)</x:f>
        <x:v>Voerendaal</x:v>
      </x:c>
      <x:c r="H150" s="28" t="str">
        <x:f>IF('Course_Master'!I150="","",'Course_Master'!I150)</x:f>
        <x:v>Voerendaal</x:v>
      </x:c>
      <x:c r="I150" s="28" t="str">
        <x:f>IF('Course_Master'!K150="","",'Course_Master'!K150)</x:f>
        <x:v>6367 GN</x:v>
      </x:c>
      <x:c r="J150" s="34" t="n">
        <x:f>IF('Course_Master'!L150="","",'Course_Master'!L150)</x:f>
        <x:v>50.88479523</x:v>
      </x:c>
      <x:c r="K150" s="34" t="n">
        <x:f>IF('Course_Master'!M150="","",'Course_Master'!M150)</x:f>
        <x:v>5.91757742</x:v>
      </x:c>
      <x:c r="L150" s="28" t="n">
        <x:f>IF('Course_Master'!S150="","",'Course_Master'!S150)</x:f>
        <x:v>18</x:v>
      </x:c>
      <x:c r="M150" s="28" t="n">
        <x:f>IF('Course_Master'!T150="","",'Course_Master'!T150)</x:f>
        <x:v>72</x:v>
      </x:c>
      <x:c r="N150" s="28" t="n">
        <x:f>IF('Course_Master'!Q150="","",'Course_Master'!Q150)</x:f>
        <x:v>6874</x:v>
      </x:c>
      <x:c r="O150" s="28" t="n">
        <x:f>IF('Course_Master'!R150="","",'Course_Master'!R150)</x:f>
        <x:v>6286</x:v>
      </x:c>
      <x:c r="P150" s="28" t="str">
        <x:f>IF('Course_Master'!U150="","",'Course_Master'!U150)</x:f>
        <x:v>Full-length course</x:v>
      </x:c>
      <x:c r="Q150" s="28" t="str">
        <x:f>IF('Course_Master'!AD150="","",'Course_Master'!AD150)</x:f>
        <x:v>Public — handicap 36 or lower</x:v>
      </x:c>
      <x:c r="R150" s="28" t="str">
        <x:f>IF('Course_Master'!AC150="","",'Course_Master'!AC150)</x:f>
        <x:v>Open</x:v>
      </x:c>
      <x:c r="S150" s="28" t="str">
        <x:f>IF('Course_Master'!Y150="","",'Course_Master'!Y150)</x:f>
        <x:v>https://hoenshuis.nl/nl</x:v>
      </x:c>
      <x:c r="T150" s="28" t="b">
        <x:f>IF('Course_Master'!Z150="","",'Course_Master'!Z150)</x:f>
        <x:v>1</x:v>
      </x:c>
      <x:c r="U150" s="28" t="b">
        <x:f>IF('Course_Master'!AA150="","",'Course_Master'!AA150)</x:f>
        <x:v>1</x:v>
      </x:c>
      <x:c r="V150" s="28" t="str">
        <x:f>IF('Course_Master'!AL150="","",'Course_Master'!AL150)</x:f>
        <x:v>Verified — national register and exact BAG address</x:v>
      </x:c>
    </x:row>
    <x:row r="151">
      <x:c r="A151" s="28" t="str">
        <x:f>IF('Course_Master'!B151="","",'Course_Master'!B151)</x:f>
        <x:v>NL-0150</x:v>
      </x:c>
      <x:c r="B151" s="28" t="str">
        <x:f>IF('Course_Master'!C151="","",'Course_Master'!C151)</x:f>
        <x:v>International Golf Maastricht — Limburg Course</x:v>
      </x:c>
      <x:c r="C151" s="28" t="str">
        <x:f>IF('Course_Master'!D151="","",'Course_Master'!D151)</x:f>
        <x:v>International Golf Maastricht</x:v>
      </x:c>
      <x:c r="D151" s="28" t="str">
        <x:f>IF('Course_Master'!E151="","",'Course_Master'!E151)</x:f>
        <x:v>Limburg Course</x:v>
      </x:c>
      <x:c r="E151" s="28" t="str">
        <x:f>IF('Course_Master'!F151="","",'Course_Master'!F151)</x:f>
        <x:v>Netherlands</x:v>
      </x:c>
      <x:c r="F151" s="28" t="str">
        <x:f>IF('Course_Master'!G151="","",'Course_Master'!G151)</x:f>
        <x:v>Limburg</x:v>
      </x:c>
      <x:c r="G151" s="28" t="str">
        <x:f>IF('Course_Master'!H151="","",'Course_Master'!H151)</x:f>
        <x:v>Maastricht</x:v>
      </x:c>
      <x:c r="H151" s="28" t="str">
        <x:f>IF('Course_Master'!I151="","",'Course_Master'!I151)</x:f>
        <x:v>Maastricht</x:v>
      </x:c>
      <x:c r="I151" s="28" t="str">
        <x:f>IF('Course_Master'!K151="","",'Course_Master'!K151)</x:f>
        <x:v>6216 GC</x:v>
      </x:c>
      <x:c r="J151" s="34" t="n">
        <x:f>IF('Course_Master'!L151="","",'Course_Master'!L151)</x:f>
        <x:v>50.8557007</x:v>
      </x:c>
      <x:c r="K151" s="34" t="n">
        <x:f>IF('Course_Master'!M151="","",'Course_Master'!M151)</x:f>
        <x:v>5.64293637</x:v>
      </x:c>
      <x:c r="L151" s="28" t="n">
        <x:f>IF('Course_Master'!S151="","",'Course_Master'!S151)</x:f>
        <x:v>9</x:v>
      </x:c>
      <x:c r="M151" s="28" t="n">
        <x:f>IF('Course_Master'!T151="","",'Course_Master'!T151)</x:f>
        <x:v>35</x:v>
      </x:c>
      <x:c r="N151" s="28" t="n">
        <x:f>IF('Course_Master'!Q151="","",'Course_Master'!Q151)</x:f>
        <x:v>2396</x:v>
      </x:c>
      <x:c r="O151" s="28" t="n">
        <x:f>IF('Course_Master'!R151="","",'Course_Master'!R151)</x:f>
        <x:v>2191</x:v>
      </x:c>
      <x:c r="P151" s="28" t="str">
        <x:f>IF('Course_Master'!U151="","",'Course_Master'!U151)</x:f>
        <x:v>Full-length course</x:v>
      </x:c>
      <x:c r="Q151" s="28" t="str">
        <x:f>IF('Course_Master'!AD151="","",'Course_Master'!AD151)</x:f>
        <x:v>Public — NGF course permission</x:v>
      </x:c>
      <x:c r="R151" s="28" t="str">
        <x:f>IF('Course_Master'!AC151="","",'Course_Master'!AC151)</x:f>
        <x:v>Open</x:v>
      </x:c>
      <x:c r="S151" s="28" t="str">
        <x:f>IF('Course_Master'!Y151="","",'Course_Master'!Y151)</x:f>
        <x:v>https://www.internationalgolfmaastricht.com/</x:v>
      </x:c>
      <x:c r="T151" s="28" t="b">
        <x:f>IF('Course_Master'!Z151="","",'Course_Master'!Z151)</x:f>
        <x:v>1</x:v>
      </x:c>
      <x:c r="U151" s="28" t="b">
        <x:f>IF('Course_Master'!AA151="","",'Course_Master'!AA151)</x:f>
        <x:v>1</x:v>
      </x:c>
      <x:c r="V151" s="28" t="str">
        <x:f>IF('Course_Master'!AL151="","",'Course_Master'!AL151)</x:f>
        <x:v>Verified — national register and exact BAG address</x:v>
      </x:c>
    </x:row>
    <x:row r="152">
      <x:c r="A152" s="28" t="str">
        <x:f>IF('Course_Master'!B152="","",'Course_Master'!B152)</x:f>
        <x:v>NL-0151</x:v>
      </x:c>
      <x:c r="B152" s="28" t="str">
        <x:f>IF('Course_Master'!C152="","",'Course_Master'!C152)</x:f>
        <x:v>International Golf Maastricht — Main Course</x:v>
      </x:c>
      <x:c r="C152" s="28" t="str">
        <x:f>IF('Course_Master'!D152="","",'Course_Master'!D152)</x:f>
        <x:v>International Golf Maastricht</x:v>
      </x:c>
      <x:c r="D152" s="28" t="str">
        <x:f>IF('Course_Master'!E152="","",'Course_Master'!E152)</x:f>
        <x:v>Main Course</x:v>
      </x:c>
      <x:c r="E152" s="28" t="str">
        <x:f>IF('Course_Master'!F152="","",'Course_Master'!F152)</x:f>
        <x:v>Netherlands</x:v>
      </x:c>
      <x:c r="F152" s="28" t="str">
        <x:f>IF('Course_Master'!G152="","",'Course_Master'!G152)</x:f>
        <x:v>Limburg</x:v>
      </x:c>
      <x:c r="G152" s="28" t="str">
        <x:f>IF('Course_Master'!H152="","",'Course_Master'!H152)</x:f>
        <x:v>Maastricht</x:v>
      </x:c>
      <x:c r="H152" s="28" t="str">
        <x:f>IF('Course_Master'!I152="","",'Course_Master'!I152)</x:f>
        <x:v>Maastricht</x:v>
      </x:c>
      <x:c r="I152" s="28" t="str">
        <x:f>IF('Course_Master'!K152="","",'Course_Master'!K152)</x:f>
        <x:v>6216 GC</x:v>
      </x:c>
      <x:c r="J152" s="34" t="n">
        <x:f>IF('Course_Master'!L152="","",'Course_Master'!L152)</x:f>
        <x:v>50.8557007</x:v>
      </x:c>
      <x:c r="K152" s="34" t="n">
        <x:f>IF('Course_Master'!M152="","",'Course_Master'!M152)</x:f>
        <x:v>5.64293637</x:v>
      </x:c>
      <x:c r="L152" s="28" t="n">
        <x:f>IF('Course_Master'!S152="","",'Course_Master'!S152)</x:f>
        <x:v>18</x:v>
      </x:c>
      <x:c r="M152" s="28" t="n">
        <x:f>IF('Course_Master'!T152="","",'Course_Master'!T152)</x:f>
        <x:v>72</x:v>
      </x:c>
      <x:c r="N152" s="28" t="n">
        <x:f>IF('Course_Master'!Q152="","",'Course_Master'!Q152)</x:f>
        <x:v>6526</x:v>
      </x:c>
      <x:c r="O152" s="28" t="n">
        <x:f>IF('Course_Master'!R152="","",'Course_Master'!R152)</x:f>
        <x:v>5967</x:v>
      </x:c>
      <x:c r="P152" s="28" t="str">
        <x:f>IF('Course_Master'!U152="","",'Course_Master'!U152)</x:f>
        <x:v>Full-length course</x:v>
      </x:c>
      <x:c r="Q152" s="28" t="str">
        <x:f>IF('Course_Master'!AD152="","",'Course_Master'!AD152)</x:f>
        <x:v>Public — handicap 36 or lower</x:v>
      </x:c>
      <x:c r="R152" s="28" t="str">
        <x:f>IF('Course_Master'!AC152="","",'Course_Master'!AC152)</x:f>
        <x:v>Open</x:v>
      </x:c>
      <x:c r="S152" s="28" t="str">
        <x:f>IF('Course_Master'!Y152="","",'Course_Master'!Y152)</x:f>
        <x:v>https://www.internationalgolfmaastricht.com/</x:v>
      </x:c>
      <x:c r="T152" s="28" t="b">
        <x:f>IF('Course_Master'!Z152="","",'Course_Master'!Z152)</x:f>
        <x:v>1</x:v>
      </x:c>
      <x:c r="U152" s="28" t="b">
        <x:f>IF('Course_Master'!AA152="","",'Course_Master'!AA152)</x:f>
        <x:v>1</x:v>
      </x:c>
      <x:c r="V152" s="28" t="str">
        <x:f>IF('Course_Master'!AL152="","",'Course_Master'!AL152)</x:f>
        <x:v>Verified — national register and exact BAG address</x:v>
      </x:c>
    </x:row>
    <x:row r="153">
      <x:c r="A153" s="28" t="str">
        <x:f>IF('Course_Master'!B153="","",'Course_Master'!B153)</x:f>
        <x:v>NL-0152</x:v>
      </x:c>
      <x:c r="B153" s="28" t="str">
        <x:f>IF('Course_Master'!C153="","",'Course_Master'!C153)</x:f>
        <x:v>Shortgolf Eyserhof</x:v>
      </x:c>
      <x:c r="C153" s="28" t="str">
        <x:f>IF('Course_Master'!D153="","",'Course_Master'!D153)</x:f>
        <x:v>Shortgolf Eyserhof</x:v>
      </x:c>
      <x:c r="D153" s="28" t="str">
        <x:f>IF('Course_Master'!E153="","",'Course_Master'!E153)</x:f>
        <x:v>Course</x:v>
      </x:c>
      <x:c r="E153" s="28" t="str">
        <x:f>IF('Course_Master'!F153="","",'Course_Master'!F153)</x:f>
        <x:v>Netherlands</x:v>
      </x:c>
      <x:c r="F153" s="28" t="str">
        <x:f>IF('Course_Master'!G153="","",'Course_Master'!G153)</x:f>
        <x:v>Limburg</x:v>
      </x:c>
      <x:c r="G153" s="28" t="str">
        <x:f>IF('Course_Master'!H153="","",'Course_Master'!H153)</x:f>
        <x:v>Gulpen-Wittem</x:v>
      </x:c>
      <x:c r="H153" s="28" t="str">
        <x:f>IF('Course_Master'!I153="","",'Course_Master'!I153)</x:f>
        <x:v>Eys</x:v>
      </x:c>
      <x:c r="I153" s="28" t="str">
        <x:f>IF('Course_Master'!K153="","",'Course_Master'!K153)</x:f>
        <x:v>6287 AA</x:v>
      </x:c>
      <x:c r="J153" s="34" t="n">
        <x:f>IF('Course_Master'!L153="","",'Course_Master'!L153)</x:f>
        <x:v>50.82427671</x:v>
      </x:c>
      <x:c r="K153" s="34" t="n">
        <x:f>IF('Course_Master'!M153="","",'Course_Master'!M153)</x:f>
        <x:v>5.92914268</x:v>
      </x:c>
      <x:c r="L153" s="28" t="n">
        <x:f>IF('Course_Master'!S153="","",'Course_Master'!S153)</x:f>
        <x:v>9</x:v>
      </x:c>
      <x:c r="M153" s="28" t="n">
        <x:f>IF('Course_Master'!T153="","",'Course_Master'!T153)</x:f>
        <x:v>27</x:v>
      </x:c>
      <x:c r="N153" s="28" t="n">
        <x:f>IF('Course_Master'!Q153="","",'Course_Master'!Q153)</x:f>
        <x:v>726</x:v>
      </x:c>
      <x:c r="O153" s="28" t="n">
        <x:f>IF('Course_Master'!R153="","",'Course_Master'!R153)</x:f>
        <x:v>664</x:v>
      </x:c>
      <x:c r="P153" s="28" t="str">
        <x:f>IF('Course_Master'!U153="","",'Course_Master'!U153)</x:f>
        <x:v>Par-3 course</x:v>
      </x:c>
      <x:c r="Q153" s="28" t="str">
        <x:f>IF('Course_Master'!AD153="","",'Course_Master'!AD153)</x:f>
        <x:v>Public — no playing requirement</x:v>
      </x:c>
      <x:c r="R153" s="28" t="str">
        <x:f>IF('Course_Master'!AC153="","",'Course_Master'!AC153)</x:f>
        <x:v>Open</x:v>
      </x:c>
      <x:c r="S153" s="28" t="str">
        <x:f>IF('Course_Master'!Y153="","",'Course_Master'!Y153)</x:f>
        <x:v>https://www.eyserhof.nl/</x:v>
      </x:c>
      <x:c r="T153" s="28" t="b">
        <x:f>IF('Course_Master'!Z153="","",'Course_Master'!Z153)</x:f>
        <x:v>1</x:v>
      </x:c>
      <x:c r="U153" s="28" t="b">
        <x:f>IF('Course_Master'!AA153="","",'Course_Master'!AA153)</x:f>
        <x:v>1</x:v>
      </x:c>
      <x:c r="V153" s="28" t="str">
        <x:f>IF('Course_Master'!AL153="","",'Course_Master'!AL153)</x:f>
        <x:v>Verified — national register and exact BAG address</x:v>
      </x:c>
    </x:row>
    <x:row r="154">
      <x:c r="A154" s="28" t="str">
        <x:f>IF('Course_Master'!B154="","",'Course_Master'!B154)</x:f>
        <x:v>NL-0153</x:v>
      </x:c>
      <x:c r="B154" s="28" t="str">
        <x:f>IF('Course_Master'!C154="","",'Course_Master'!C154)</x:f>
        <x:v>The Fox — Main Course</x:v>
      </x:c>
      <x:c r="C154" s="28" t="str">
        <x:f>IF('Course_Master'!D154="","",'Course_Master'!D154)</x:f>
        <x:v>The Fox</x:v>
      </x:c>
      <x:c r="D154" s="28" t="str">
        <x:f>IF('Course_Master'!E154="","",'Course_Master'!E154)</x:f>
        <x:v>Main Course</x:v>
      </x:c>
      <x:c r="E154" s="28" t="str">
        <x:f>IF('Course_Master'!F154="","",'Course_Master'!F154)</x:f>
        <x:v>Netherlands</x:v>
      </x:c>
      <x:c r="F154" s="28" t="str">
        <x:f>IF('Course_Master'!G154="","",'Course_Master'!G154)</x:f>
        <x:v>Limburg</x:v>
      </x:c>
      <x:c r="G154" s="28" t="str">
        <x:f>IF('Course_Master'!H154="","",'Course_Master'!H154)</x:f>
        <x:v>Venlo</x:v>
      </x:c>
      <x:c r="H154" s="28" t="str">
        <x:f>IF('Course_Master'!I154="","",'Course_Master'!I154)</x:f>
        <x:v>Venlo</x:v>
      </x:c>
      <x:c r="I154" s="28" t="str">
        <x:f>IF('Course_Master'!K154="","",'Course_Master'!K154)</x:f>
        <x:v>5928 RM</x:v>
      </x:c>
      <x:c r="J154" s="34" t="n">
        <x:f>IF('Course_Master'!L154="","",'Course_Master'!L154)</x:f>
        <x:v>51.40702004</x:v>
      </x:c>
      <x:c r="K154" s="34" t="n">
        <x:f>IF('Course_Master'!M154="","",'Course_Master'!M154)</x:f>
        <x:v>6.10752055</x:v>
      </x:c>
      <x:c r="L154" s="28" t="n">
        <x:f>IF('Course_Master'!S154="","",'Course_Master'!S154)</x:f>
        <x:v>18</x:v>
      </x:c>
      <x:c r="M154" s="28" t="n">
        <x:f>IF('Course_Master'!T154="","",'Course_Master'!T154)</x:f>
        <x:v>72</x:v>
      </x:c>
      <x:c r="N154" s="28" t="n">
        <x:f>IF('Course_Master'!Q154="","",'Course_Master'!Q154)</x:f>
        <x:v>6995</x:v>
      </x:c>
      <x:c r="O154" s="28" t="n">
        <x:f>IF('Course_Master'!R154="","",'Course_Master'!R154)</x:f>
        <x:v>6396</x:v>
      </x:c>
      <x:c r="P154" s="28" t="str">
        <x:f>IF('Course_Master'!U154="","",'Course_Master'!U154)</x:f>
        <x:v>Full-length course</x:v>
      </x:c>
      <x:c r="Q154" s="28" t="str">
        <x:f>IF('Course_Master'!AD154="","",'Course_Master'!AD154)</x:f>
        <x:v>Public — handicap 54 or lower</x:v>
      </x:c>
      <x:c r="R154" s="28" t="str">
        <x:f>IF('Course_Master'!AC154="","",'Course_Master'!AC154)</x:f>
        <x:v>Open</x:v>
      </x:c>
      <x:c r="S154" s="28" t="str">
        <x:f>IF('Course_Master'!Y154="","",'Course_Master'!Y154)</x:f>
        <x:v>https://www.thefoxgolf.nl/</x:v>
      </x:c>
      <x:c r="T154" s="28" t="b">
        <x:f>IF('Course_Master'!Z154="","",'Course_Master'!Z154)</x:f>
        <x:v>1</x:v>
      </x:c>
      <x:c r="U154" s="28" t="b">
        <x:f>IF('Course_Master'!AA154="","",'Course_Master'!AA154)</x:f>
        <x:v>1</x:v>
      </x:c>
      <x:c r="V154" s="28" t="str">
        <x:f>IF('Course_Master'!AL154="","",'Course_Master'!AL154)</x:f>
        <x:v>Verified — national register and exact BAG address</x:v>
      </x:c>
    </x:row>
    <x:row r="155">
      <x:c r="A155" s="28" t="str">
        <x:f>IF('Course_Master'!B155="","",'Course_Master'!B155)</x:f>
        <x:v>NL-0154</x:v>
      </x:c>
      <x:c r="B155" s="28" t="str">
        <x:f>IF('Course_Master'!C155="","",'Course_Master'!C155)</x:f>
        <x:v>Akkermans Leisure &amp; Golf</x:v>
      </x:c>
      <x:c r="C155" s="28" t="str">
        <x:f>IF('Course_Master'!D155="","",'Course_Master'!D155)</x:f>
        <x:v>Akkermans Leisure &amp; Golf</x:v>
      </x:c>
      <x:c r="D155" s="28" t="str">
        <x:f>IF('Course_Master'!E155="","",'Course_Master'!E155)</x:f>
        <x:v>Course</x:v>
      </x:c>
      <x:c r="E155" s="28" t="str">
        <x:f>IF('Course_Master'!F155="","",'Course_Master'!F155)</x:f>
        <x:v>Netherlands</x:v>
      </x:c>
      <x:c r="F155" s="28" t="str">
        <x:f>IF('Course_Master'!G155="","",'Course_Master'!G155)</x:f>
        <x:v>Noord-Brabant</x:v>
      </x:c>
      <x:c r="G155" s="28" t="str">
        <x:f>IF('Course_Master'!H155="","",'Course_Master'!H155)</x:f>
        <x:v>Steenbergen</x:v>
      </x:c>
      <x:c r="H155" s="28" t="str">
        <x:f>IF('Course_Master'!I155="","",'Course_Master'!I155)</x:f>
        <x:v>De Heen</x:v>
      </x:c>
      <x:c r="I155" s="28" t="str">
        <x:f>IF('Course_Master'!K155="","",'Course_Master'!K155)</x:f>
        <x:v>4655 TB</x:v>
      </x:c>
      <x:c r="J155" s="34" t="n">
        <x:f>IF('Course_Master'!L155="","",'Course_Master'!L155)</x:f>
        <x:v>51.60704054</x:v>
      </x:c>
      <x:c r="K155" s="34" t="n">
        <x:f>IF('Course_Master'!M155="","",'Course_Master'!M155)</x:f>
        <x:v>4.24536295</x:v>
      </x:c>
      <x:c r="L155" s="28" t="n">
        <x:f>IF('Course_Master'!S155="","",'Course_Master'!S155)</x:f>
        <x:v>9</x:v>
      </x:c>
      <x:c r="M155" s="28" t="n">
        <x:f>IF('Course_Master'!T155="","",'Course_Master'!T155)</x:f>
        <x:v>27</x:v>
      </x:c>
      <x:c r="N155" s="28" t="n">
        <x:f>IF('Course_Master'!Q155="","",'Course_Master'!Q155)</x:f>
        <x:v>733</x:v>
      </x:c>
      <x:c r="O155" s="28" t="n">
        <x:f>IF('Course_Master'!R155="","",'Course_Master'!R155)</x:f>
        <x:v>670</x:v>
      </x:c>
      <x:c r="P155" s="28" t="str">
        <x:f>IF('Course_Master'!U155="","",'Course_Master'!U155)</x:f>
        <x:v>Par-3 course</x:v>
      </x:c>
      <x:c r="Q155" s="28" t="str">
        <x:f>IF('Course_Master'!AD155="","",'Course_Master'!AD155)</x:f>
        <x:v>Public — NGF course permission</x:v>
      </x:c>
      <x:c r="R155" s="28" t="str">
        <x:f>IF('Course_Master'!AC155="","",'Course_Master'!AC155)</x:f>
        <x:v>Open</x:v>
      </x:c>
      <x:c r="S155" s="28" t="str">
        <x:f>IF('Course_Master'!Y155="","",'Course_Master'!Y155)</x:f>
        <x:v>https://akkermans.com/golfbaan/</x:v>
      </x:c>
      <x:c r="T155" s="28" t="b">
        <x:f>IF('Course_Master'!Z155="","",'Course_Master'!Z155)</x:f>
        <x:v>1</x:v>
      </x:c>
      <x:c r="U155" s="28" t="b">
        <x:f>IF('Course_Master'!AA155="","",'Course_Master'!AA155)</x:f>
        <x:v>1</x:v>
      </x:c>
      <x:c r="V155" s="28" t="str">
        <x:f>IF('Course_Master'!AL155="","",'Course_Master'!AL155)</x:f>
        <x:v>Verified — national register and exact BAG address</x:v>
      </x:c>
    </x:row>
    <x:row r="156">
      <x:c r="A156" s="28" t="str">
        <x:f>IF('Course_Master'!B156="","",'Course_Master'!B156)</x:f>
        <x:v>NL-0155</x:v>
      </x:c>
      <x:c r="B156" s="28" t="str">
        <x:f>IF('Course_Master'!C156="","",'Course_Master'!C156)</x:f>
        <x:v>Bernardus Golf — Main Course</x:v>
      </x:c>
      <x:c r="C156" s="28" t="str">
        <x:f>IF('Course_Master'!D156="","",'Course_Master'!D156)</x:f>
        <x:v>Bernardus Golf</x:v>
      </x:c>
      <x:c r="D156" s="28" t="str">
        <x:f>IF('Course_Master'!E156="","",'Course_Master'!E156)</x:f>
        <x:v>Main Course</x:v>
      </x:c>
      <x:c r="E156" s="28" t="str">
        <x:f>IF('Course_Master'!F156="","",'Course_Master'!F156)</x:f>
        <x:v>Netherlands</x:v>
      </x:c>
      <x:c r="F156" s="28" t="str">
        <x:f>IF('Course_Master'!G156="","",'Course_Master'!G156)</x:f>
        <x:v>Noord-Brabant</x:v>
      </x:c>
      <x:c r="G156" s="28" t="str">
        <x:f>IF('Course_Master'!H156="","",'Course_Master'!H156)</x:f>
        <x:v>Vught</x:v>
      </x:c>
      <x:c r="H156" s="28" t="str">
        <x:f>IF('Course_Master'!I156="","",'Course_Master'!I156)</x:f>
        <x:v>Cromvoirt</x:v>
      </x:c>
      <x:c r="I156" s="28" t="str">
        <x:f>IF('Course_Master'!K156="","",'Course_Master'!K156)</x:f>
        <x:v>5266 AW</x:v>
      </x:c>
      <x:c r="J156" s="34" t="n">
        <x:f>IF('Course_Master'!L156="","",'Course_Master'!L156)</x:f>
        <x:v>51.6651777</x:v>
      </x:c>
      <x:c r="K156" s="34" t="n">
        <x:f>IF('Course_Master'!M156="","",'Course_Master'!M156)</x:f>
        <x:v>5.22971583</x:v>
      </x:c>
      <x:c r="L156" s="28" t="n">
        <x:f>IF('Course_Master'!S156="","",'Course_Master'!S156)</x:f>
        <x:v>18</x:v>
      </x:c>
      <x:c r="M156" s="28" t="n">
        <x:f>IF('Course_Master'!T156="","",'Course_Master'!T156)</x:f>
        <x:v>72</x:v>
      </x:c>
      <x:c r="N156" s="28" t="n">
        <x:f>IF('Course_Master'!Q156="","",'Course_Master'!Q156)</x:f>
        <x:v>6557</x:v>
      </x:c>
      <x:c r="O156" s="28" t="n">
        <x:f>IF('Course_Master'!R156="","",'Course_Master'!R156)</x:f>
        <x:v>5996</x:v>
      </x:c>
      <x:c r="P156" s="28" t="str">
        <x:f>IF('Course_Master'!U156="","",'Course_Master'!U156)</x:f>
        <x:v>Full-length course</x:v>
      </x:c>
      <x:c r="Q156" s="28" t="str">
        <x:f>IF('Course_Master'!AD156="","",'Course_Master'!AD156)</x:f>
        <x:v>Public — handicap 54 or lower</x:v>
      </x:c>
      <x:c r="R156" s="28" t="str">
        <x:f>IF('Course_Master'!AC156="","",'Course_Master'!AC156)</x:f>
        <x:v>Open</x:v>
      </x:c>
      <x:c r="S156" s="28" t="str">
        <x:f>IF('Course_Master'!Y156="","",'Course_Master'!Y156)</x:f>
        <x:v>https://bernardusgolf.com/</x:v>
      </x:c>
      <x:c r="T156" s="28" t="b">
        <x:f>IF('Course_Master'!Z156="","",'Course_Master'!Z156)</x:f>
        <x:v>1</x:v>
      </x:c>
      <x:c r="U156" s="28" t="b">
        <x:f>IF('Course_Master'!AA156="","",'Course_Master'!AA156)</x:f>
        <x:v>1</x:v>
      </x:c>
      <x:c r="V156" s="28" t="str">
        <x:f>IF('Course_Master'!AL156="","",'Course_Master'!AL156)</x:f>
        <x:v>Verified — national register and exact BAG address</x:v>
      </x:c>
    </x:row>
    <x:row r="157">
      <x:c r="A157" s="28" t="str">
        <x:f>IF('Course_Master'!B157="","",'Course_Master'!B157)</x:f>
        <x:v>NL-0156</x:v>
      </x:c>
      <x:c r="B157" s="28" t="str">
        <x:f>IF('Course_Master'!C157="","",'Course_Master'!C157)</x:f>
        <x:v>Best Golf — Main Course</x:v>
      </x:c>
      <x:c r="C157" s="28" t="str">
        <x:f>IF('Course_Master'!D157="","",'Course_Master'!D157)</x:f>
        <x:v>Best Golf</x:v>
      </x:c>
      <x:c r="D157" s="28" t="str">
        <x:f>IF('Course_Master'!E157="","",'Course_Master'!E157)</x:f>
        <x:v>Main Course</x:v>
      </x:c>
      <x:c r="E157" s="28" t="str">
        <x:f>IF('Course_Master'!F157="","",'Course_Master'!F157)</x:f>
        <x:v>Netherlands</x:v>
      </x:c>
      <x:c r="F157" s="28" t="str">
        <x:f>IF('Course_Master'!G157="","",'Course_Master'!G157)</x:f>
        <x:v>Noord-Brabant</x:v>
      </x:c>
      <x:c r="G157" s="28" t="str">
        <x:f>IF('Course_Master'!H157="","",'Course_Master'!H157)</x:f>
        <x:v>Best</x:v>
      </x:c>
      <x:c r="H157" s="28" t="str">
        <x:f>IF('Course_Master'!I157="","",'Course_Master'!I157)</x:f>
        <x:v>Best</x:v>
      </x:c>
      <x:c r="I157" s="28" t="str">
        <x:f>IF('Course_Master'!K157="","",'Course_Master'!K157)</x:f>
        <x:v>5683 RZ</x:v>
      </x:c>
      <x:c r="J157" s="34" t="n">
        <x:f>IF('Course_Master'!L157="","",'Course_Master'!L157)</x:f>
        <x:v>51.49234674</x:v>
      </x:c>
      <x:c r="K157" s="34" t="n">
        <x:f>IF('Course_Master'!M157="","",'Course_Master'!M157)</x:f>
        <x:v>5.41031277</x:v>
      </x:c>
      <x:c r="L157" s="28" t="n">
        <x:f>IF('Course_Master'!S157="","",'Course_Master'!S157)</x:f>
        <x:v>18</x:v>
      </x:c>
      <x:c r="M157" s="28" t="n">
        <x:f>IF('Course_Master'!T157="","",'Course_Master'!T157)</x:f>
        <x:v>72</x:v>
      </x:c>
      <x:c r="N157" s="28" t="n">
        <x:f>IF('Course_Master'!Q157="","",'Course_Master'!Q157)</x:f>
        <x:v>6566</x:v>
      </x:c>
      <x:c r="O157" s="28" t="n">
        <x:f>IF('Course_Master'!R157="","",'Course_Master'!R157)</x:f>
        <x:v>6004</x:v>
      </x:c>
      <x:c r="P157" s="28" t="str">
        <x:f>IF('Course_Master'!U157="","",'Course_Master'!U157)</x:f>
        <x:v>Full-length course</x:v>
      </x:c>
      <x:c r="Q157" s="28" t="str">
        <x:f>IF('Course_Master'!AD157="","",'Course_Master'!AD157)</x:f>
        <x:v>Public — handicap 54 or lower</x:v>
      </x:c>
      <x:c r="R157" s="28" t="str">
        <x:f>IF('Course_Master'!AC157="","",'Course_Master'!AC157)</x:f>
        <x:v>Open</x:v>
      </x:c>
      <x:c r="S157" s="28" t="str">
        <x:f>IF('Course_Master'!Y157="","",'Course_Master'!Y157)</x:f>
        <x:v>https://bestgolf.nl/nl</x:v>
      </x:c>
      <x:c r="T157" s="28" t="b">
        <x:f>IF('Course_Master'!Z157="","",'Course_Master'!Z157)</x:f>
        <x:v>1</x:v>
      </x:c>
      <x:c r="U157" s="28" t="b">
        <x:f>IF('Course_Master'!AA157="","",'Course_Master'!AA157)</x:f>
        <x:v>1</x:v>
      </x:c>
      <x:c r="V157" s="28" t="str">
        <x:f>IF('Course_Master'!AL157="","",'Course_Master'!AL157)</x:f>
        <x:v>Verified — national register and exact BAG address</x:v>
      </x:c>
    </x:row>
    <x:row r="158">
      <x:c r="A158" s="28" t="str">
        <x:f>IF('Course_Master'!B158="","",'Course_Master'!B158)</x:f>
        <x:v>NL-0157</x:v>
      </x:c>
      <x:c r="B158" s="28" t="str">
        <x:f>IF('Course_Master'!C158="","",'Course_Master'!C158)</x:f>
        <x:v>Best Golf — Par-3 Course</x:v>
      </x:c>
      <x:c r="C158" s="28" t="str">
        <x:f>IF('Course_Master'!D158="","",'Course_Master'!D158)</x:f>
        <x:v>Best Golf</x:v>
      </x:c>
      <x:c r="D158" s="28" t="str">
        <x:f>IF('Course_Master'!E158="","",'Course_Master'!E158)</x:f>
        <x:v>Par-3 Course</x:v>
      </x:c>
      <x:c r="E158" s="28" t="str">
        <x:f>IF('Course_Master'!F158="","",'Course_Master'!F158)</x:f>
        <x:v>Netherlands</x:v>
      </x:c>
      <x:c r="F158" s="28" t="str">
        <x:f>IF('Course_Master'!G158="","",'Course_Master'!G158)</x:f>
        <x:v>Noord-Brabant</x:v>
      </x:c>
      <x:c r="G158" s="28" t="str">
        <x:f>IF('Course_Master'!H158="","",'Course_Master'!H158)</x:f>
        <x:v>Best</x:v>
      </x:c>
      <x:c r="H158" s="28" t="str">
        <x:f>IF('Course_Master'!I158="","",'Course_Master'!I158)</x:f>
        <x:v>Best</x:v>
      </x:c>
      <x:c r="I158" s="28" t="str">
        <x:f>IF('Course_Master'!K158="","",'Course_Master'!K158)</x:f>
        <x:v>5683 RZ</x:v>
      </x:c>
      <x:c r="J158" s="34" t="n">
        <x:f>IF('Course_Master'!L158="","",'Course_Master'!L158)</x:f>
        <x:v>51.49234674</x:v>
      </x:c>
      <x:c r="K158" s="34" t="n">
        <x:f>IF('Course_Master'!M158="","",'Course_Master'!M158)</x:f>
        <x:v>5.41031277</x:v>
      </x:c>
      <x:c r="L158" s="28" t="n">
        <x:f>IF('Course_Master'!S158="","",'Course_Master'!S158)</x:f>
        <x:v>9</x:v>
      </x:c>
      <x:c r="M158" s="28" t="n">
        <x:f>IF('Course_Master'!T158="","",'Course_Master'!T158)</x:f>
        <x:v>27</x:v>
      </x:c>
      <x:c r="N158" s="28" t="n">
        <x:f>IF('Course_Master'!Q158="","",'Course_Master'!Q158)</x:f>
        <x:v>606</x:v>
      </x:c>
      <x:c r="O158" s="28" t="n">
        <x:f>IF('Course_Master'!R158="","",'Course_Master'!R158)</x:f>
        <x:v>554</x:v>
      </x:c>
      <x:c r="P158" s="28" t="str">
        <x:f>IF('Course_Master'!U158="","",'Course_Master'!U158)</x:f>
        <x:v>Par-3 course</x:v>
      </x:c>
      <x:c r="Q158" s="28" t="str">
        <x:f>IF('Course_Master'!AD158="","",'Course_Master'!AD158)</x:f>
        <x:v>Public — no playing requirement</x:v>
      </x:c>
      <x:c r="R158" s="28" t="str">
        <x:f>IF('Course_Master'!AC158="","",'Course_Master'!AC158)</x:f>
        <x:v>Open</x:v>
      </x:c>
      <x:c r="S158" s="28" t="str">
        <x:f>IF('Course_Master'!Y158="","",'Course_Master'!Y158)</x:f>
        <x:v>https://bestgolf.nl/nl</x:v>
      </x:c>
      <x:c r="T158" s="28" t="b">
        <x:f>IF('Course_Master'!Z158="","",'Course_Master'!Z158)</x:f>
        <x:v>1</x:v>
      </x:c>
      <x:c r="U158" s="28" t="b">
        <x:f>IF('Course_Master'!AA158="","",'Course_Master'!AA158)</x:f>
        <x:v>1</x:v>
      </x:c>
      <x:c r="V158" s="28" t="str">
        <x:f>IF('Course_Master'!AL158="","",'Course_Master'!AL158)</x:f>
        <x:v>Verified — national register and exact BAG address</x:v>
      </x:c>
    </x:row>
    <x:row r="159">
      <x:c r="A159" s="28" t="str">
        <x:f>IF('Course_Master'!B159="","",'Course_Master'!B159)</x:f>
        <x:v>NL-0158</x:v>
      </x:c>
      <x:c r="B159" s="28" t="str">
        <x:f>IF('Course_Master'!C159="","",'Course_Master'!C159)</x:f>
        <x:v>Brabant Golf</x:v>
      </x:c>
      <x:c r="C159" s="28" t="str">
        <x:f>IF('Course_Master'!D159="","",'Course_Master'!D159)</x:f>
        <x:v>Brabant Golf</x:v>
      </x:c>
      <x:c r="D159" s="28" t="str">
        <x:f>IF('Course_Master'!E159="","",'Course_Master'!E159)</x:f>
        <x:v>Course</x:v>
      </x:c>
      <x:c r="E159" s="28" t="str">
        <x:f>IF('Course_Master'!F159="","",'Course_Master'!F159)</x:f>
        <x:v>Netherlands</x:v>
      </x:c>
      <x:c r="F159" s="28" t="str">
        <x:f>IF('Course_Master'!G159="","",'Course_Master'!G159)</x:f>
        <x:v>Noord-Brabant</x:v>
      </x:c>
      <x:c r="G159" s="28" t="str">
        <x:f>IF('Course_Master'!H159="","",'Course_Master'!H159)</x:f>
        <x:v>Gilze en Rijen</x:v>
      </x:c>
      <x:c r="H159" s="28" t="str">
        <x:f>IF('Course_Master'!I159="","",'Course_Master'!I159)</x:f>
        <x:v>Rijen</x:v>
      </x:c>
      <x:c r="I159" s="28" t="str">
        <x:f>IF('Course_Master'!K159="","",'Course_Master'!K159)</x:f>
        <x:v>5121 HD</x:v>
      </x:c>
      <x:c r="J159" s="34" t="n">
        <x:f>IF('Course_Master'!L159="","",'Course_Master'!L159)</x:f>
        <x:v>51.5961392</x:v>
      </x:c>
      <x:c r="K159" s="34" t="n">
        <x:f>IF('Course_Master'!M159="","",'Course_Master'!M159)</x:f>
        <x:v>4.91086145</x:v>
      </x:c>
      <x:c r="L159" s="28" t="n">
        <x:f>IF('Course_Master'!S159="","",'Course_Master'!S159)</x:f>
        <x:v>6</x:v>
      </x:c>
      <x:c r="M159" s="28" t="n">
        <x:f>IF('Course_Master'!T159="","",'Course_Master'!T159)</x:f>
        <x:v>19</x:v>
      </x:c>
      <x:c r="N159" s="28" t="n">
        <x:f>IF('Course_Master'!Q159="","",'Course_Master'!Q159)</x:f>
        <x:v>1312</x:v>
      </x:c>
      <x:c r="O159" s="28" t="n">
        <x:f>IF('Course_Master'!R159="","",'Course_Master'!R159)</x:f>
        <x:v>1200</x:v>
      </x:c>
      <x:c r="P159" s="28" t="str">
        <x:f>IF('Course_Master'!U159="","",'Course_Master'!U159)</x:f>
        <x:v>Par-3/4 course</x:v>
      </x:c>
      <x:c r="Q159" s="28" t="str">
        <x:f>IF('Course_Master'!AD159="","",'Course_Master'!AD159)</x:f>
        <x:v>Public — handicap 54 or lower</x:v>
      </x:c>
      <x:c r="R159" s="28" t="str">
        <x:f>IF('Course_Master'!AC159="","",'Course_Master'!AC159)</x:f>
        <x:v>Open</x:v>
      </x:c>
      <x:c r="S159" s="28" t="str">
        <x:f>IF('Course_Master'!Y159="","",'Course_Master'!Y159)</x:f>
        <x:v>https://www.brabantgolf.nl/</x:v>
      </x:c>
      <x:c r="T159" s="28" t="b">
        <x:f>IF('Course_Master'!Z159="","",'Course_Master'!Z159)</x:f>
        <x:v>1</x:v>
      </x:c>
      <x:c r="U159" s="28" t="b">
        <x:f>IF('Course_Master'!AA159="","",'Course_Master'!AA159)</x:f>
        <x:v>1</x:v>
      </x:c>
      <x:c r="V159" s="28" t="str">
        <x:f>IF('Course_Master'!AL159="","",'Course_Master'!AL159)</x:f>
        <x:v>Verified — national register and exact BAG address</x:v>
      </x:c>
    </x:row>
    <x:row r="160">
      <x:c r="A160" s="28" t="str">
        <x:f>IF('Course_Master'!B160="","",'Course_Master'!B160)</x:f>
        <x:v>NL-0159</x:v>
      </x:c>
      <x:c r="B160" s="28" t="str">
        <x:f>IF('Course_Master'!C160="","",'Course_Master'!C160)</x:f>
        <x:v>De Peelse Golf — Broekbosbaan</x:v>
      </x:c>
      <x:c r="C160" s="28" t="str">
        <x:f>IF('Course_Master'!D160="","",'Course_Master'!D160)</x:f>
        <x:v>De Peelse Golf</x:v>
      </x:c>
      <x:c r="D160" s="28" t="str">
        <x:f>IF('Course_Master'!E160="","",'Course_Master'!E160)</x:f>
        <x:v>Broekbosbaan</x:v>
      </x:c>
      <x:c r="E160" s="28" t="str">
        <x:f>IF('Course_Master'!F160="","",'Course_Master'!F160)</x:f>
        <x:v>Netherlands</x:v>
      </x:c>
      <x:c r="F160" s="28" t="str">
        <x:f>IF('Course_Master'!G160="","",'Course_Master'!G160)</x:f>
        <x:v>Noord-Brabant</x:v>
      </x:c>
      <x:c r="G160" s="28" t="str">
        <x:f>IF('Course_Master'!H160="","",'Course_Master'!H160)</x:f>
        <x:v>Horst aan de Maas</x:v>
      </x:c>
      <x:c r="H160" s="28" t="str">
        <x:f>IF('Course_Master'!I160="","",'Course_Master'!I160)</x:f>
        <x:v>Evertsoord</x:v>
      </x:c>
      <x:c r="I160" s="28" t="str">
        <x:f>IF('Course_Master'!K160="","",'Course_Master'!K160)</x:f>
        <x:v>5977 NP</x:v>
      </x:c>
      <x:c r="J160" s="34" t="n">
        <x:f>IF('Course_Master'!L160="","",'Course_Master'!L160)</x:f>
        <x:v>51.38426322</x:v>
      </x:c>
      <x:c r="K160" s="34" t="n">
        <x:f>IF('Course_Master'!M160="","",'Course_Master'!M160)</x:f>
        <x:v>5.9627341</x:v>
      </x:c>
      <x:c r="L160" s="28" t="n">
        <x:f>IF('Course_Master'!S160="","",'Course_Master'!S160)</x:f>
        <x:v>9</x:v>
      </x:c>
      <x:c r="M160" s="28" t="n">
        <x:f>IF('Course_Master'!T160="","",'Course_Master'!T160)</x:f>
        <x:v>27</x:v>
      </x:c>
      <x:c r="N160" s="28" t="n">
        <x:f>IF('Course_Master'!Q160="","",'Course_Master'!Q160)</x:f>
        <x:v>785</x:v>
      </x:c>
      <x:c r="O160" s="28" t="n">
        <x:f>IF('Course_Master'!R160="","",'Course_Master'!R160)</x:f>
        <x:v>718</x:v>
      </x:c>
      <x:c r="P160" s="28" t="str">
        <x:f>IF('Course_Master'!U160="","",'Course_Master'!U160)</x:f>
        <x:v>Par-3 course</x:v>
      </x:c>
      <x:c r="Q160" s="28" t="str">
        <x:f>IF('Course_Master'!AD160="","",'Course_Master'!AD160)</x:f>
        <x:v>Public — no playing requirement</x:v>
      </x:c>
      <x:c r="R160" s="28" t="str">
        <x:f>IF('Course_Master'!AC160="","",'Course_Master'!AC160)</x:f>
        <x:v>Open</x:v>
      </x:c>
      <x:c r="S160" s="28" t="str">
        <x:f>IF('Course_Master'!Y160="","",'Course_Master'!Y160)</x:f>
        <x:v>https://www.depeelsegolf.nl/</x:v>
      </x:c>
      <x:c r="T160" s="28" t="b">
        <x:f>IF('Course_Master'!Z160="","",'Course_Master'!Z160)</x:f>
        <x:v>1</x:v>
      </x:c>
      <x:c r="U160" s="28" t="b">
        <x:f>IF('Course_Master'!AA160="","",'Course_Master'!AA160)</x:f>
        <x:v>1</x:v>
      </x:c>
      <x:c r="V160" s="28" t="str">
        <x:f>IF('Course_Master'!AL160="","",'Course_Master'!AL160)</x:f>
        <x:v>Verified — national register and exact BAG address</x:v>
      </x:c>
    </x:row>
    <x:row r="161">
      <x:c r="A161" s="28" t="str">
        <x:f>IF('Course_Master'!B161="","",'Course_Master'!B161)</x:f>
        <x:v>NL-0160</x:v>
      </x:c>
      <x:c r="B161" s="28" t="str">
        <x:f>IF('Course_Master'!C161="","",'Course_Master'!C161)</x:f>
        <x:v>De Peelse Golf — Main Course</x:v>
      </x:c>
      <x:c r="C161" s="28" t="str">
        <x:f>IF('Course_Master'!D161="","",'Course_Master'!D161)</x:f>
        <x:v>De Peelse Golf</x:v>
      </x:c>
      <x:c r="D161" s="28" t="str">
        <x:f>IF('Course_Master'!E161="","",'Course_Master'!E161)</x:f>
        <x:v>Main Course</x:v>
      </x:c>
      <x:c r="E161" s="28" t="str">
        <x:f>IF('Course_Master'!F161="","",'Course_Master'!F161)</x:f>
        <x:v>Netherlands</x:v>
      </x:c>
      <x:c r="F161" s="28" t="str">
        <x:f>IF('Course_Master'!G161="","",'Course_Master'!G161)</x:f>
        <x:v>Noord-Brabant</x:v>
      </x:c>
      <x:c r="G161" s="28" t="str">
        <x:f>IF('Course_Master'!H161="","",'Course_Master'!H161)</x:f>
        <x:v>Horst aan de Maas</x:v>
      </x:c>
      <x:c r="H161" s="28" t="str">
        <x:f>IF('Course_Master'!I161="","",'Course_Master'!I161)</x:f>
        <x:v>Evertsoord</x:v>
      </x:c>
      <x:c r="I161" s="28" t="str">
        <x:f>IF('Course_Master'!K161="","",'Course_Master'!K161)</x:f>
        <x:v>5977 NP</x:v>
      </x:c>
      <x:c r="J161" s="34" t="n">
        <x:f>IF('Course_Master'!L161="","",'Course_Master'!L161)</x:f>
        <x:v>51.38426322</x:v>
      </x:c>
      <x:c r="K161" s="34" t="n">
        <x:f>IF('Course_Master'!M161="","",'Course_Master'!M161)</x:f>
        <x:v>5.9627341</x:v>
      </x:c>
      <x:c r="L161" s="28" t="n">
        <x:f>IF('Course_Master'!S161="","",'Course_Master'!S161)</x:f>
        <x:v>18</x:v>
      </x:c>
      <x:c r="M161" s="28" t="n">
        <x:f>IF('Course_Master'!T161="","",'Course_Master'!T161)</x:f>
        <x:v>72</x:v>
      </x:c>
      <x:c r="N161" s="28" t="n">
        <x:f>IF('Course_Master'!Q161="","",'Course_Master'!Q161)</x:f>
        <x:v>6613</x:v>
      </x:c>
      <x:c r="O161" s="28" t="n">
        <x:f>IF('Course_Master'!R161="","",'Course_Master'!R161)</x:f>
        <x:v>6047</x:v>
      </x:c>
      <x:c r="P161" s="28" t="str">
        <x:f>IF('Course_Master'!U161="","",'Course_Master'!U161)</x:f>
        <x:v>Full-length course</x:v>
      </x:c>
      <x:c r="Q161" s="28" t="str">
        <x:f>IF('Course_Master'!AD161="","",'Course_Master'!AD161)</x:f>
        <x:v>Public — handicap 54 or lower</x:v>
      </x:c>
      <x:c r="R161" s="28" t="str">
        <x:f>IF('Course_Master'!AC161="","",'Course_Master'!AC161)</x:f>
        <x:v>Open</x:v>
      </x:c>
      <x:c r="S161" s="28" t="str">
        <x:f>IF('Course_Master'!Y161="","",'Course_Master'!Y161)</x:f>
        <x:v>https://www.depeelsegolf.nl/</x:v>
      </x:c>
      <x:c r="T161" s="28" t="b">
        <x:f>IF('Course_Master'!Z161="","",'Course_Master'!Z161)</x:f>
        <x:v>1</x:v>
      </x:c>
      <x:c r="U161" s="28" t="b">
        <x:f>IF('Course_Master'!AA161="","",'Course_Master'!AA161)</x:f>
        <x:v>1</x:v>
      </x:c>
      <x:c r="V161" s="28" t="str">
        <x:f>IF('Course_Master'!AL161="","",'Course_Master'!AL161)</x:f>
        <x:v>Verified — national register and exact BAG address</x:v>
      </x:c>
    </x:row>
    <x:row r="162">
      <x:c r="A162" s="28" t="str">
        <x:f>IF('Course_Master'!B162="","",'Course_Master'!B162)</x:f>
        <x:v>NL-0161</x:v>
      </x:c>
      <x:c r="B162" s="28" t="str">
        <x:f>IF('Course_Master'!C162="","",'Course_Master'!C162)</x:f>
        <x:v>Eindhovensche Golf — Main Course</x:v>
      </x:c>
      <x:c r="C162" s="28" t="str">
        <x:f>IF('Course_Master'!D162="","",'Course_Master'!D162)</x:f>
        <x:v>Eindhovensche Golf</x:v>
      </x:c>
      <x:c r="D162" s="28" t="str">
        <x:f>IF('Course_Master'!E162="","",'Course_Master'!E162)</x:f>
        <x:v>Main Course</x:v>
      </x:c>
      <x:c r="E162" s="28" t="str">
        <x:f>IF('Course_Master'!F162="","",'Course_Master'!F162)</x:f>
        <x:v>Netherlands</x:v>
      </x:c>
      <x:c r="F162" s="28" t="str">
        <x:f>IF('Course_Master'!G162="","",'Course_Master'!G162)</x:f>
        <x:v>Noord-Brabant</x:v>
      </x:c>
      <x:c r="G162" s="28" t="str">
        <x:f>IF('Course_Master'!H162="","",'Course_Master'!H162)</x:f>
        <x:v>Valkenswaard</x:v>
      </x:c>
      <x:c r="H162" s="28" t="str">
        <x:f>IF('Course_Master'!I162="","",'Course_Master'!I162)</x:f>
        <x:v>Valkenswaard</x:v>
      </x:c>
      <x:c r="I162" s="28" t="str">
        <x:f>IF('Course_Master'!K162="","",'Course_Master'!K162)</x:f>
        <x:v>5553 VB</x:v>
      </x:c>
      <x:c r="J162" s="34" t="n">
        <x:f>IF('Course_Master'!L162="","",'Course_Master'!L162)</x:f>
        <x:v>51.36989979</x:v>
      </x:c>
      <x:c r="K162" s="34" t="n">
        <x:f>IF('Course_Master'!M162="","",'Course_Master'!M162)</x:f>
        <x:v>5.47602902</x:v>
      </x:c>
      <x:c r="L162" s="28" t="n">
        <x:f>IF('Course_Master'!S162="","",'Course_Master'!S162)</x:f>
        <x:v>18</x:v>
      </x:c>
      <x:c r="M162" s="28" t="n">
        <x:f>IF('Course_Master'!T162="","",'Course_Master'!T162)</x:f>
        <x:v>72</x:v>
      </x:c>
      <x:c r="N162" s="28" t="n">
        <x:f>IF('Course_Master'!Q162="","",'Course_Master'!Q162)</x:f>
        <x:v>6916</x:v>
      </x:c>
      <x:c r="O162" s="28" t="n">
        <x:f>IF('Course_Master'!R162="","",'Course_Master'!R162)</x:f>
        <x:v>6324</x:v>
      </x:c>
      <x:c r="P162" s="28" t="str">
        <x:f>IF('Course_Master'!U162="","",'Course_Master'!U162)</x:f>
        <x:v>Full-length course</x:v>
      </x:c>
      <x:c r="Q162" s="28" t="str">
        <x:f>IF('Course_Master'!AD162="","",'Course_Master'!AD162)</x:f>
        <x:v>Public — handicap 24 or lower</x:v>
      </x:c>
      <x:c r="R162" s="28" t="str">
        <x:f>IF('Course_Master'!AC162="","",'Course_Master'!AC162)</x:f>
        <x:v>Open</x:v>
      </x:c>
      <x:c r="S162" s="28" t="str">
        <x:f>IF('Course_Master'!Y162="","",'Course_Master'!Y162)</x:f>
        <x:v>https://www.eindhovenschegolf.nl/</x:v>
      </x:c>
      <x:c r="T162" s="28" t="b">
        <x:f>IF('Course_Master'!Z162="","",'Course_Master'!Z162)</x:f>
        <x:v>1</x:v>
      </x:c>
      <x:c r="U162" s="28" t="b">
        <x:f>IF('Course_Master'!AA162="","",'Course_Master'!AA162)</x:f>
        <x:v>1</x:v>
      </x:c>
      <x:c r="V162" s="28" t="str">
        <x:f>IF('Course_Master'!AL162="","",'Course_Master'!AL162)</x:f>
        <x:v>Verified — national register and exact BAG address</x:v>
      </x:c>
    </x:row>
    <x:row r="163">
      <x:c r="A163" s="28" t="str">
        <x:f>IF('Course_Master'!B163="","",'Course_Master'!B163)</x:f>
        <x:v>NL-0162</x:v>
      </x:c>
      <x:c r="B163" s="28" t="str">
        <x:f>IF('Course_Master'!C163="","",'Course_Master'!C163)</x:f>
        <x:v>Golf &amp; Country Course De Schoot</x:v>
      </x:c>
      <x:c r="C163" s="28" t="str">
        <x:f>IF('Course_Master'!D163="","",'Course_Master'!D163)</x:f>
        <x:v>Golf &amp; Country Course De Schoot</x:v>
      </x:c>
      <x:c r="D163" s="28" t="str">
        <x:f>IF('Course_Master'!E163="","",'Course_Master'!E163)</x:f>
        <x:v>Course</x:v>
      </x:c>
      <x:c r="E163" s="28" t="str">
        <x:f>IF('Course_Master'!F163="","",'Course_Master'!F163)</x:f>
        <x:v>Netherlands</x:v>
      </x:c>
      <x:c r="F163" s="28" t="str">
        <x:f>IF('Course_Master'!G163="","",'Course_Master'!G163)</x:f>
        <x:v>Noord-Brabant</x:v>
      </x:c>
      <x:c r="G163" s="28" t="str">
        <x:f>IF('Course_Master'!H163="","",'Course_Master'!H163)</x:f>
        <x:v>Meierijstad</x:v>
      </x:c>
      <x:c r="H163" s="28" t="str">
        <x:f>IF('Course_Master'!I163="","",'Course_Master'!I163)</x:f>
        <x:v>Sint-Oedenrode</x:v>
      </x:c>
      <x:c r="I163" s="28" t="str">
        <x:f>IF('Course_Master'!K163="","",'Course_Master'!K163)</x:f>
        <x:v>5491 TD</x:v>
      </x:c>
      <x:c r="J163" s="34" t="n">
        <x:f>IF('Course_Master'!L163="","",'Course_Master'!L163)</x:f>
        <x:v>51.58436264</x:v>
      </x:c>
      <x:c r="K163" s="34" t="n">
        <x:f>IF('Course_Master'!M163="","",'Course_Master'!M163)</x:f>
        <x:v>5.44082089</x:v>
      </x:c>
      <x:c r="L163" s="28" t="n">
        <x:f>IF('Course_Master'!S163="","",'Course_Master'!S163)</x:f>
        <x:v>9</x:v>
      </x:c>
      <x:c r="M163" s="28" t="n">
        <x:f>IF('Course_Master'!T163="","",'Course_Master'!T163)</x:f>
        <x:v>36</x:v>
      </x:c>
      <x:c r="N163" s="28" t="n">
        <x:f>IF('Course_Master'!Q163="","",'Course_Master'!Q163)</x:f>
        <x:v>3138</x:v>
      </x:c>
      <x:c r="O163" s="28" t="n">
        <x:f>IF('Course_Master'!R163="","",'Course_Master'!R163)</x:f>
        <x:v>2869</x:v>
      </x:c>
      <x:c r="P163" s="28" t="str">
        <x:f>IF('Course_Master'!U163="","",'Course_Master'!U163)</x:f>
        <x:v>Full-length course</x:v>
      </x:c>
      <x:c r="Q163" s="28" t="str">
        <x:f>IF('Course_Master'!AD163="","",'Course_Master'!AD163)</x:f>
        <x:v>Public — handicap 54 or lower</x:v>
      </x:c>
      <x:c r="R163" s="28" t="str">
        <x:f>IF('Course_Master'!AC163="","",'Course_Master'!AC163)</x:f>
        <x:v>Open</x:v>
      </x:c>
      <x:c r="S163" s="28" t="str">
        <x:f>IF('Course_Master'!Y163="","",'Course_Master'!Y163)</x:f>
        <x:v>https://www.golfbaandeschoot.nl/</x:v>
      </x:c>
      <x:c r="T163" s="28" t="b">
        <x:f>IF('Course_Master'!Z163="","",'Course_Master'!Z163)</x:f>
        <x:v>1</x:v>
      </x:c>
      <x:c r="U163" s="28" t="b">
        <x:f>IF('Course_Master'!AA163="","",'Course_Master'!AA163)</x:f>
        <x:v>1</x:v>
      </x:c>
      <x:c r="V163" s="28" t="str">
        <x:f>IF('Course_Master'!AL163="","",'Course_Master'!AL163)</x:f>
        <x:v>Verified — national register and exact BAG address</x:v>
      </x:c>
    </x:row>
    <x:row r="164">
      <x:c r="A164" s="28" t="str">
        <x:f>IF('Course_Master'!B164="","",'Course_Master'!B164)</x:f>
        <x:v>NL-0163</x:v>
      </x:c>
      <x:c r="B164" s="28" t="str">
        <x:f>IF('Course_Master'!C164="","",'Course_Master'!C164)</x:f>
        <x:v>Golf &amp; Countryclub de Tongelreep — Main Course</x:v>
      </x:c>
      <x:c r="C164" s="28" t="str">
        <x:f>IF('Course_Master'!D164="","",'Course_Master'!D164)</x:f>
        <x:v>Golf &amp; Countryclub de Tongelreep</x:v>
      </x:c>
      <x:c r="D164" s="28" t="str">
        <x:f>IF('Course_Master'!E164="","",'Course_Master'!E164)</x:f>
        <x:v>Main Course</x:v>
      </x:c>
      <x:c r="E164" s="28" t="str">
        <x:f>IF('Course_Master'!F164="","",'Course_Master'!F164)</x:f>
        <x:v>Netherlands</x:v>
      </x:c>
      <x:c r="F164" s="28" t="str">
        <x:f>IF('Course_Master'!G164="","",'Course_Master'!G164)</x:f>
        <x:v>Noord-Brabant</x:v>
      </x:c>
      <x:c r="G164" s="28" t="str">
        <x:f>IF('Course_Master'!H164="","",'Course_Master'!H164)</x:f>
        <x:v>Eindhoven</x:v>
      </x:c>
      <x:c r="H164" s="28" t="str">
        <x:f>IF('Course_Master'!I164="","",'Course_Master'!I164)</x:f>
        <x:v>Eindhoven</x:v>
      </x:c>
      <x:c r="I164" s="28" t="str">
        <x:f>IF('Course_Master'!K164="","",'Course_Master'!K164)</x:f>
        <x:v>5644 HX</x:v>
      </x:c>
      <x:c r="J164" s="34" t="n">
        <x:f>IF('Course_Master'!L164="","",'Course_Master'!L164)</x:f>
        <x:v>51.40836511</x:v>
      </x:c>
      <x:c r="K164" s="34" t="n">
        <x:f>IF('Course_Master'!M164="","",'Course_Master'!M164)</x:f>
        <x:v>5.47382227</x:v>
      </x:c>
      <x:c r="L164" s="28" t="n">
        <x:f>IF('Course_Master'!S164="","",'Course_Master'!S164)</x:f>
        <x:v>9</x:v>
      </x:c>
      <x:c r="M164" s="28" t="n">
        <x:f>IF('Course_Master'!T164="","",'Course_Master'!T164)</x:f>
        <x:v>35</x:v>
      </x:c>
      <x:c r="N164" s="28" t="n">
        <x:f>IF('Course_Master'!Q164="","",'Course_Master'!Q164)</x:f>
        <x:v>2937</x:v>
      </x:c>
      <x:c r="O164" s="28" t="n">
        <x:f>IF('Course_Master'!R164="","",'Course_Master'!R164)</x:f>
        <x:v>2686</x:v>
      </x:c>
      <x:c r="P164" s="28" t="str">
        <x:f>IF('Course_Master'!U164="","",'Course_Master'!U164)</x:f>
        <x:v>Full-length course</x:v>
      </x:c>
      <x:c r="Q164" s="28" t="str">
        <x:f>IF('Course_Master'!AD164="","",'Course_Master'!AD164)</x:f>
        <x:v>Public — handicap 36 or lower</x:v>
      </x:c>
      <x:c r="R164" s="28" t="str">
        <x:f>IF('Course_Master'!AC164="","",'Course_Master'!AC164)</x:f>
        <x:v>Open</x:v>
      </x:c>
      <x:c r="S164" s="28" t="str">
        <x:f>IF('Course_Master'!Y164="","",'Course_Master'!Y164)</x:f>
        <x:v>https://www.golfdetongelreep.nl/</x:v>
      </x:c>
      <x:c r="T164" s="28" t="b">
        <x:f>IF('Course_Master'!Z164="","",'Course_Master'!Z164)</x:f>
        <x:v>1</x:v>
      </x:c>
      <x:c r="U164" s="28" t="b">
        <x:f>IF('Course_Master'!AA164="","",'Course_Master'!AA164)</x:f>
        <x:v>1</x:v>
      </x:c>
      <x:c r="V164" s="28" t="str">
        <x:f>IF('Course_Master'!AL164="","",'Course_Master'!AL164)</x:f>
        <x:v>Verified — national register and exact BAG address</x:v>
      </x:c>
    </x:row>
    <x:row r="165">
      <x:c r="A165" s="28" t="str">
        <x:f>IF('Course_Master'!B165="","",'Course_Master'!B165)</x:f>
        <x:v>NL-0164</x:v>
      </x:c>
      <x:c r="B165" s="28" t="str">
        <x:f>IF('Course_Master'!C165="","",'Course_Master'!C165)</x:f>
        <x:v>Golf &amp; Countryclub de Tongelreep — Par-3 Course</x:v>
      </x:c>
      <x:c r="C165" s="28" t="str">
        <x:f>IF('Course_Master'!D165="","",'Course_Master'!D165)</x:f>
        <x:v>Golf &amp; Countryclub de Tongelreep</x:v>
      </x:c>
      <x:c r="D165" s="28" t="str">
        <x:f>IF('Course_Master'!E165="","",'Course_Master'!E165)</x:f>
        <x:v>Par-3 Course</x:v>
      </x:c>
      <x:c r="E165" s="28" t="str">
        <x:f>IF('Course_Master'!F165="","",'Course_Master'!F165)</x:f>
        <x:v>Netherlands</x:v>
      </x:c>
      <x:c r="F165" s="28" t="str">
        <x:f>IF('Course_Master'!G165="","",'Course_Master'!G165)</x:f>
        <x:v>Noord-Brabant</x:v>
      </x:c>
      <x:c r="G165" s="28" t="str">
        <x:f>IF('Course_Master'!H165="","",'Course_Master'!H165)</x:f>
        <x:v>Eindhoven</x:v>
      </x:c>
      <x:c r="H165" s="28" t="str">
        <x:f>IF('Course_Master'!I165="","",'Course_Master'!I165)</x:f>
        <x:v>Eindhoven</x:v>
      </x:c>
      <x:c r="I165" s="28" t="str">
        <x:f>IF('Course_Master'!K165="","",'Course_Master'!K165)</x:f>
        <x:v>5644 HX</x:v>
      </x:c>
      <x:c r="J165" s="34" t="n">
        <x:f>IF('Course_Master'!L165="","",'Course_Master'!L165)</x:f>
        <x:v>51.40836511</x:v>
      </x:c>
      <x:c r="K165" s="34" t="n">
        <x:f>IF('Course_Master'!M165="","",'Course_Master'!M165)</x:f>
        <x:v>5.47382227</x:v>
      </x:c>
      <x:c r="L165" s="28" t="n">
        <x:f>IF('Course_Master'!S165="","",'Course_Master'!S165)</x:f>
        <x:v>9</x:v>
      </x:c>
      <x:c r="M165" s="28" t="n">
        <x:f>IF('Course_Master'!T165="","",'Course_Master'!T165)</x:f>
        <x:v>27</x:v>
      </x:c>
      <x:c r="N165" s="28" t="n">
        <x:f>IF('Course_Master'!Q165="","",'Course_Master'!Q165)</x:f>
        <x:v>313</x:v>
      </x:c>
      <x:c r="O165" s="28" t="n">
        <x:f>IF('Course_Master'!R165="","",'Course_Master'!R165)</x:f>
        <x:v>286</x:v>
      </x:c>
      <x:c r="P165" s="28" t="str">
        <x:f>IF('Course_Master'!U165="","",'Course_Master'!U165)</x:f>
        <x:v>Par-3 course</x:v>
      </x:c>
      <x:c r="Q165" s="28" t="str">
        <x:f>IF('Course_Master'!AD165="","",'Course_Master'!AD165)</x:f>
        <x:v>Public — NGF course permission</x:v>
      </x:c>
      <x:c r="R165" s="28" t="str">
        <x:f>IF('Course_Master'!AC165="","",'Course_Master'!AC165)</x:f>
        <x:v>Open</x:v>
      </x:c>
      <x:c r="S165" s="28" t="str">
        <x:f>IF('Course_Master'!Y165="","",'Course_Master'!Y165)</x:f>
        <x:v>https://www.golfdetongelreep.nl/</x:v>
      </x:c>
      <x:c r="T165" s="28" t="b">
        <x:f>IF('Course_Master'!Z165="","",'Course_Master'!Z165)</x:f>
        <x:v>1</x:v>
      </x:c>
      <x:c r="U165" s="28" t="b">
        <x:f>IF('Course_Master'!AA165="","",'Course_Master'!AA165)</x:f>
        <x:v>1</x:v>
      </x:c>
      <x:c r="V165" s="28" t="str">
        <x:f>IF('Course_Master'!AL165="","",'Course_Master'!AL165)</x:f>
        <x:v>Verified — national register and exact BAG address</x:v>
      </x:c>
    </x:row>
    <x:row r="166">
      <x:c r="A166" s="28" t="str">
        <x:f>IF('Course_Master'!B166="","",'Course_Master'!B166)</x:f>
        <x:v>NL-0165</x:v>
      </x:c>
      <x:c r="B166" s="28" t="str">
        <x:f>IF('Course_Master'!C166="","",'Course_Master'!C166)</x:f>
        <x:v>Golf &amp; Recreatiepark 't Caves — Main Course</x:v>
      </x:c>
      <x:c r="C166" s="28" t="str">
        <x:f>IF('Course_Master'!D166="","",'Course_Master'!D166)</x:f>
        <x:v>Golf &amp; Recreatiepark 't Caves</x:v>
      </x:c>
      <x:c r="D166" s="28" t="str">
        <x:f>IF('Course_Master'!E166="","",'Course_Master'!E166)</x:f>
        <x:v>Main Course</x:v>
      </x:c>
      <x:c r="E166" s="28" t="str">
        <x:f>IF('Course_Master'!F166="","",'Course_Master'!F166)</x:f>
        <x:v>Netherlands</x:v>
      </x:c>
      <x:c r="F166" s="28" t="str">
        <x:f>IF('Course_Master'!G166="","",'Course_Master'!G166)</x:f>
        <x:v>Noord-Brabant</x:v>
      </x:c>
      <x:c r="G166" s="28" t="str">
        <x:f>IF('Course_Master'!H166="","",'Course_Master'!H166)</x:f>
        <x:v>Eersel</x:v>
      </x:c>
      <x:c r="H166" s="28" t="str">
        <x:f>IF('Course_Master'!I166="","",'Course_Master'!I166)</x:f>
        <x:v>Wintelre</x:v>
      </x:c>
      <x:c r="I166" s="28" t="str">
        <x:f>IF('Course_Master'!K166="","",'Course_Master'!K166)</x:f>
        <x:v>5513 NE</x:v>
      </x:c>
      <x:c r="J166" s="34" t="n">
        <x:f>IF('Course_Master'!L166="","",'Course_Master'!L166)</x:f>
        <x:v>51.43723818</x:v>
      </x:c>
      <x:c r="K166" s="34" t="n">
        <x:f>IF('Course_Master'!M166="","",'Course_Master'!M166)</x:f>
        <x:v>5.33723358</x:v>
      </x:c>
      <x:c r="L166" s="28" t="n">
        <x:f>IF('Course_Master'!S166="","",'Course_Master'!S166)</x:f>
        <x:v>9</x:v>
      </x:c>
      <x:c r="M166" s="28" t="n">
        <x:f>IF('Course_Master'!T166="","",'Course_Master'!T166)</x:f>
        <x:v>32</x:v>
      </x:c>
      <x:c r="N166" s="28" t="n">
        <x:f>IF('Course_Master'!Q166="","",'Course_Master'!Q166)</x:f>
        <x:v>2118</x:v>
      </x:c>
      <x:c r="O166" s="28" t="n">
        <x:f>IF('Course_Master'!R166="","",'Course_Master'!R166)</x:f>
        <x:v>1937</x:v>
      </x:c>
      <x:c r="P166" s="28" t="str">
        <x:f>IF('Course_Master'!U166="","",'Course_Master'!U166)</x:f>
        <x:v>Full-length course</x:v>
      </x:c>
      <x:c r="Q166" s="28" t="str">
        <x:f>IF('Course_Master'!AD166="","",'Course_Master'!AD166)</x:f>
        <x:v>Public — handicap 54 or lower</x:v>
      </x:c>
      <x:c r="R166" s="28" t="str">
        <x:f>IF('Course_Master'!AC166="","",'Course_Master'!AC166)</x:f>
        <x:v>Open</x:v>
      </x:c>
      <x:c r="S166" s="28" t="str">
        <x:f>IF('Course_Master'!Y166="","",'Course_Master'!Y166)</x:f>
        <x:v>https://hetcaves.nl/</x:v>
      </x:c>
      <x:c r="T166" s="28" t="b">
        <x:f>IF('Course_Master'!Z166="","",'Course_Master'!Z166)</x:f>
        <x:v>1</x:v>
      </x:c>
      <x:c r="U166" s="28" t="b">
        <x:f>IF('Course_Master'!AA166="","",'Course_Master'!AA166)</x:f>
        <x:v>1</x:v>
      </x:c>
      <x:c r="V166" s="28" t="str">
        <x:f>IF('Course_Master'!AL166="","",'Course_Master'!AL166)</x:f>
        <x:v>Verified — national register and exact BAG address</x:v>
      </x:c>
    </x:row>
    <x:row r="167">
      <x:c r="A167" s="28" t="str">
        <x:f>IF('Course_Master'!B167="","",'Course_Master'!B167)</x:f>
        <x:v>NL-0166</x:v>
      </x:c>
      <x:c r="B167" s="28" t="str">
        <x:f>IF('Course_Master'!C167="","",'Course_Master'!C167)</x:f>
        <x:v>Golf &amp; Recreatiepark 't Caves — Par-3 Course</x:v>
      </x:c>
      <x:c r="C167" s="28" t="str">
        <x:f>IF('Course_Master'!D167="","",'Course_Master'!D167)</x:f>
        <x:v>Golf &amp; Recreatiepark 't Caves</x:v>
      </x:c>
      <x:c r="D167" s="28" t="str">
        <x:f>IF('Course_Master'!E167="","",'Course_Master'!E167)</x:f>
        <x:v>Par-3 Course</x:v>
      </x:c>
      <x:c r="E167" s="28" t="str">
        <x:f>IF('Course_Master'!F167="","",'Course_Master'!F167)</x:f>
        <x:v>Netherlands</x:v>
      </x:c>
      <x:c r="F167" s="28" t="str">
        <x:f>IF('Course_Master'!G167="","",'Course_Master'!G167)</x:f>
        <x:v>Noord-Brabant</x:v>
      </x:c>
      <x:c r="G167" s="28" t="str">
        <x:f>IF('Course_Master'!H167="","",'Course_Master'!H167)</x:f>
        <x:v>Eersel</x:v>
      </x:c>
      <x:c r="H167" s="28" t="str">
        <x:f>IF('Course_Master'!I167="","",'Course_Master'!I167)</x:f>
        <x:v>Wintelre</x:v>
      </x:c>
      <x:c r="I167" s="28" t="str">
        <x:f>IF('Course_Master'!K167="","",'Course_Master'!K167)</x:f>
        <x:v>5513 NE</x:v>
      </x:c>
      <x:c r="J167" s="34" t="n">
        <x:f>IF('Course_Master'!L167="","",'Course_Master'!L167)</x:f>
        <x:v>51.43723818</x:v>
      </x:c>
      <x:c r="K167" s="34" t="n">
        <x:f>IF('Course_Master'!M167="","",'Course_Master'!M167)</x:f>
        <x:v>5.33723358</x:v>
      </x:c>
      <x:c r="L167" s="28" t="n">
        <x:f>IF('Course_Master'!S167="","",'Course_Master'!S167)</x:f>
        <x:v>9</x:v>
      </x:c>
      <x:c r="M167" s="28" t="n">
        <x:f>IF('Course_Master'!T167="","",'Course_Master'!T167)</x:f>
        <x:v>27</x:v>
      </x:c>
      <x:c r="N167" s="28" t="n">
        <x:f>IF('Course_Master'!Q167="","",'Course_Master'!Q167)</x:f>
        <x:v>794</x:v>
      </x:c>
      <x:c r="O167" s="28" t="n">
        <x:f>IF('Course_Master'!R167="","",'Course_Master'!R167)</x:f>
        <x:v>726</x:v>
      </x:c>
      <x:c r="P167" s="28" t="str">
        <x:f>IF('Course_Master'!U167="","",'Course_Master'!U167)</x:f>
        <x:v>Par-3 course</x:v>
      </x:c>
      <x:c r="Q167" s="28" t="str">
        <x:f>IF('Course_Master'!AD167="","",'Course_Master'!AD167)</x:f>
        <x:v>Public — no playing requirement</x:v>
      </x:c>
      <x:c r="R167" s="28" t="str">
        <x:f>IF('Course_Master'!AC167="","",'Course_Master'!AC167)</x:f>
        <x:v>Open</x:v>
      </x:c>
      <x:c r="S167" s="28" t="str">
        <x:f>IF('Course_Master'!Y167="","",'Course_Master'!Y167)</x:f>
        <x:v>https://hetcaves.nl/</x:v>
      </x:c>
      <x:c r="T167" s="28" t="b">
        <x:f>IF('Course_Master'!Z167="","",'Course_Master'!Z167)</x:f>
        <x:v>1</x:v>
      </x:c>
      <x:c r="U167" s="28" t="b">
        <x:f>IF('Course_Master'!AA167="","",'Course_Master'!AA167)</x:f>
        <x:v>1</x:v>
      </x:c>
      <x:c r="V167" s="28" t="str">
        <x:f>IF('Course_Master'!AL167="","",'Course_Master'!AL167)</x:f>
        <x:v>Verified — national register and exact BAG address</x:v>
      </x:c>
    </x:row>
    <x:row r="168">
      <x:c r="A168" s="28" t="str">
        <x:f>IF('Course_Master'!B168="","",'Course_Master'!B168)</x:f>
        <x:v>NL-0167</x:v>
      </x:c>
      <x:c r="B168" s="28" t="str">
        <x:f>IF('Course_Master'!C168="","",'Course_Master'!C168)</x:f>
        <x:v>Golf De Gulbergen — Libellenbaan</x:v>
      </x:c>
      <x:c r="C168" s="28" t="str">
        <x:f>IF('Course_Master'!D168="","",'Course_Master'!D168)</x:f>
        <x:v>Golf De Gulbergen</x:v>
      </x:c>
      <x:c r="D168" s="28" t="str">
        <x:f>IF('Course_Master'!E168="","",'Course_Master'!E168)</x:f>
        <x:v>Libellenbaan</x:v>
      </x:c>
      <x:c r="E168" s="28" t="str">
        <x:f>IF('Course_Master'!F168="","",'Course_Master'!F168)</x:f>
        <x:v>Netherlands</x:v>
      </x:c>
      <x:c r="F168" s="28" t="str">
        <x:f>IF('Course_Master'!G168="","",'Course_Master'!G168)</x:f>
        <x:v>Noord-Brabant</x:v>
      </x:c>
      <x:c r="G168" s="28" t="str">
        <x:f>IF('Course_Master'!H168="","",'Course_Master'!H168)</x:f>
        <x:v>Geldrop-Mierlo</x:v>
      </x:c>
      <x:c r="H168" s="28" t="str">
        <x:f>IF('Course_Master'!I168="","",'Course_Master'!I168)</x:f>
        <x:v>Mierlo</x:v>
      </x:c>
      <x:c r="I168" s="28" t="str">
        <x:f>IF('Course_Master'!K168="","",'Course_Master'!K168)</x:f>
        <x:v>5731 RG</x:v>
      </x:c>
      <x:c r="J168" s="34" t="n">
        <x:f>IF('Course_Master'!L168="","",'Course_Master'!L168)</x:f>
        <x:v>51.45167952</x:v>
      </x:c>
      <x:c r="K168" s="34" t="n">
        <x:f>IF('Course_Master'!M168="","",'Course_Master'!M168)</x:f>
        <x:v>5.58086931</x:v>
      </x:c>
      <x:c r="L168" s="28" t="n">
        <x:f>IF('Course_Master'!S168="","",'Course_Master'!S168)</x:f>
        <x:v>9</x:v>
      </x:c>
      <x:c r="M168" s="28" t="n">
        <x:f>IF('Course_Master'!T168="","",'Course_Master'!T168)</x:f>
        <x:v>36</x:v>
      </x:c>
      <x:c r="N168" s="28" t="n">
        <x:f>IF('Course_Master'!Q168="","",'Course_Master'!Q168)</x:f>
        <x:v>3188</x:v>
      </x:c>
      <x:c r="O168" s="28" t="n">
        <x:f>IF('Course_Master'!R168="","",'Course_Master'!R168)</x:f>
        <x:v>2915</x:v>
      </x:c>
      <x:c r="P168" s="28" t="str">
        <x:f>IF('Course_Master'!U168="","",'Course_Master'!U168)</x:f>
        <x:v>Full-length course</x:v>
      </x:c>
      <x:c r="Q168" s="28" t="str">
        <x:f>IF('Course_Master'!AD168="","",'Course_Master'!AD168)</x:f>
        <x:v>Public — handicap 54 or lower</x:v>
      </x:c>
      <x:c r="R168" s="28" t="str">
        <x:f>IF('Course_Master'!AC168="","",'Course_Master'!AC168)</x:f>
        <x:v>Open</x:v>
      </x:c>
      <x:c r="S168" s="28" t="str">
        <x:f>IF('Course_Master'!Y168="","",'Course_Master'!Y168)</x:f>
        <x:v>https://www.golfdegulbergen.nl/</x:v>
      </x:c>
      <x:c r="T168" s="28" t="b">
        <x:f>IF('Course_Master'!Z168="","",'Course_Master'!Z168)</x:f>
        <x:v>1</x:v>
      </x:c>
      <x:c r="U168" s="28" t="b">
        <x:f>IF('Course_Master'!AA168="","",'Course_Master'!AA168)</x:f>
        <x:v>1</x:v>
      </x:c>
      <x:c r="V168" s="28" t="str">
        <x:f>IF('Course_Master'!AL168="","",'Course_Master'!AL168)</x:f>
        <x:v>Verified — national register and exact BAG address</x:v>
      </x:c>
    </x:row>
    <x:row r="169">
      <x:c r="A169" s="28" t="str">
        <x:f>IF('Course_Master'!B169="","",'Course_Master'!B169)</x:f>
        <x:v>NL-0168</x:v>
      </x:c>
      <x:c r="B169" s="28" t="str">
        <x:f>IF('Course_Master'!C169="","",'Course_Master'!C169)</x:f>
        <x:v>Golf De Gulbergen — Old Course</x:v>
      </x:c>
      <x:c r="C169" s="28" t="str">
        <x:f>IF('Course_Master'!D169="","",'Course_Master'!D169)</x:f>
        <x:v>Golf De Gulbergen</x:v>
      </x:c>
      <x:c r="D169" s="28" t="str">
        <x:f>IF('Course_Master'!E169="","",'Course_Master'!E169)</x:f>
        <x:v>Old Course</x:v>
      </x:c>
      <x:c r="E169" s="28" t="str">
        <x:f>IF('Course_Master'!F169="","",'Course_Master'!F169)</x:f>
        <x:v>Netherlands</x:v>
      </x:c>
      <x:c r="F169" s="28" t="str">
        <x:f>IF('Course_Master'!G169="","",'Course_Master'!G169)</x:f>
        <x:v>Noord-Brabant</x:v>
      </x:c>
      <x:c r="G169" s="28" t="str">
        <x:f>IF('Course_Master'!H169="","",'Course_Master'!H169)</x:f>
        <x:v>Geldrop-Mierlo</x:v>
      </x:c>
      <x:c r="H169" s="28" t="str">
        <x:f>IF('Course_Master'!I169="","",'Course_Master'!I169)</x:f>
        <x:v>Mierlo</x:v>
      </x:c>
      <x:c r="I169" s="28" t="str">
        <x:f>IF('Course_Master'!K169="","",'Course_Master'!K169)</x:f>
        <x:v>5731 RG</x:v>
      </x:c>
      <x:c r="J169" s="34" t="n">
        <x:f>IF('Course_Master'!L169="","",'Course_Master'!L169)</x:f>
        <x:v>51.45167952</x:v>
      </x:c>
      <x:c r="K169" s="34" t="n">
        <x:f>IF('Course_Master'!M169="","",'Course_Master'!M169)</x:f>
        <x:v>5.58086931</x:v>
      </x:c>
      <x:c r="L169" s="28" t="n">
        <x:f>IF('Course_Master'!S169="","",'Course_Master'!S169)</x:f>
        <x:v>9</x:v>
      </x:c>
      <x:c r="M169" s="28" t="n">
        <x:f>IF('Course_Master'!T169="","",'Course_Master'!T169)</x:f>
        <x:v>32</x:v>
      </x:c>
      <x:c r="N169" s="28" t="n">
        <x:f>IF('Course_Master'!Q169="","",'Course_Master'!Q169)</x:f>
        <x:v>1925</x:v>
      </x:c>
      <x:c r="O169" s="28" t="n">
        <x:f>IF('Course_Master'!R169="","",'Course_Master'!R169)</x:f>
        <x:v>1760</x:v>
      </x:c>
      <x:c r="P169" s="28" t="str">
        <x:f>IF('Course_Master'!U169="","",'Course_Master'!U169)</x:f>
        <x:v>Par-3/4 course</x:v>
      </x:c>
      <x:c r="Q169" s="28" t="str">
        <x:f>IF('Course_Master'!AD169="","",'Course_Master'!AD169)</x:f>
        <x:v>Public — NGF course permission</x:v>
      </x:c>
      <x:c r="R169" s="28" t="str">
        <x:f>IF('Course_Master'!AC169="","",'Course_Master'!AC169)</x:f>
        <x:v>Open</x:v>
      </x:c>
      <x:c r="S169" s="28" t="str">
        <x:f>IF('Course_Master'!Y169="","",'Course_Master'!Y169)</x:f>
        <x:v>https://www.golfdegulbergen.nl/</x:v>
      </x:c>
      <x:c r="T169" s="28" t="b">
        <x:f>IF('Course_Master'!Z169="","",'Course_Master'!Z169)</x:f>
        <x:v>1</x:v>
      </x:c>
      <x:c r="U169" s="28" t="b">
        <x:f>IF('Course_Master'!AA169="","",'Course_Master'!AA169)</x:f>
        <x:v>1</x:v>
      </x:c>
      <x:c r="V169" s="28" t="str">
        <x:f>IF('Course_Master'!AL169="","",'Course_Master'!AL169)</x:f>
        <x:v>Verified — national register and exact BAG address</x:v>
      </x:c>
    </x:row>
    <x:row r="170">
      <x:c r="A170" s="28" t="str">
        <x:f>IF('Course_Master'!B170="","",'Course_Master'!B170)</x:f>
        <x:v>NL-0169</x:v>
      </x:c>
      <x:c r="B170" s="28" t="str">
        <x:f>IF('Course_Master'!C170="","",'Course_Master'!C170)</x:f>
        <x:v>Golf De Gulbergen — Sprookjesbaan</x:v>
      </x:c>
      <x:c r="C170" s="28" t="str">
        <x:f>IF('Course_Master'!D170="","",'Course_Master'!D170)</x:f>
        <x:v>Golf De Gulbergen</x:v>
      </x:c>
      <x:c r="D170" s="28" t="str">
        <x:f>IF('Course_Master'!E170="","",'Course_Master'!E170)</x:f>
        <x:v>Sprookjesbaan</x:v>
      </x:c>
      <x:c r="E170" s="28" t="str">
        <x:f>IF('Course_Master'!F170="","",'Course_Master'!F170)</x:f>
        <x:v>Netherlands</x:v>
      </x:c>
      <x:c r="F170" s="28" t="str">
        <x:f>IF('Course_Master'!G170="","",'Course_Master'!G170)</x:f>
        <x:v>Noord-Brabant</x:v>
      </x:c>
      <x:c r="G170" s="28" t="str">
        <x:f>IF('Course_Master'!H170="","",'Course_Master'!H170)</x:f>
        <x:v>Geldrop-Mierlo</x:v>
      </x:c>
      <x:c r="H170" s="28" t="str">
        <x:f>IF('Course_Master'!I170="","",'Course_Master'!I170)</x:f>
        <x:v>Mierlo</x:v>
      </x:c>
      <x:c r="I170" s="28" t="str">
        <x:f>IF('Course_Master'!K170="","",'Course_Master'!K170)</x:f>
        <x:v>5731 RG</x:v>
      </x:c>
      <x:c r="J170" s="34" t="n">
        <x:f>IF('Course_Master'!L170="","",'Course_Master'!L170)</x:f>
        <x:v>51.45167952</x:v>
      </x:c>
      <x:c r="K170" s="34" t="n">
        <x:f>IF('Course_Master'!M170="","",'Course_Master'!M170)</x:f>
        <x:v>5.58086931</x:v>
      </x:c>
      <x:c r="L170" s="28" t="n">
        <x:f>IF('Course_Master'!S170="","",'Course_Master'!S170)</x:f>
        <x:v>9</x:v>
      </x:c>
      <x:c r="M170" s="28" t="n">
        <x:f>IF('Course_Master'!T170="","",'Course_Master'!T170)</x:f>
        <x:v>34</x:v>
      </x:c>
      <x:c r="N170" s="28" t="n">
        <x:f>IF('Course_Master'!Q170="","",'Course_Master'!Q170)</x:f>
        <x:v>2997</x:v>
      </x:c>
      <x:c r="O170" s="28" t="n">
        <x:f>IF('Course_Master'!R170="","",'Course_Master'!R170)</x:f>
        <x:v>2740</x:v>
      </x:c>
      <x:c r="P170" s="28" t="str">
        <x:f>IF('Course_Master'!U170="","",'Course_Master'!U170)</x:f>
        <x:v>Full-length course</x:v>
      </x:c>
      <x:c r="Q170" s="28" t="str">
        <x:f>IF('Course_Master'!AD170="","",'Course_Master'!AD170)</x:f>
        <x:v>Public — handicap 54 or lower</x:v>
      </x:c>
      <x:c r="R170" s="28" t="str">
        <x:f>IF('Course_Master'!AC170="","",'Course_Master'!AC170)</x:f>
        <x:v>Open</x:v>
      </x:c>
      <x:c r="S170" s="28" t="str">
        <x:f>IF('Course_Master'!Y170="","",'Course_Master'!Y170)</x:f>
        <x:v>https://www.golfdegulbergen.nl/</x:v>
      </x:c>
      <x:c r="T170" s="28" t="b">
        <x:f>IF('Course_Master'!Z170="","",'Course_Master'!Z170)</x:f>
        <x:v>1</x:v>
      </x:c>
      <x:c r="U170" s="28" t="b">
        <x:f>IF('Course_Master'!AA170="","",'Course_Master'!AA170)</x:f>
        <x:v>1</x:v>
      </x:c>
      <x:c r="V170" s="28" t="str">
        <x:f>IF('Course_Master'!AL170="","",'Course_Master'!AL170)</x:f>
        <x:v>Verified — national register and exact BAG address</x:v>
      </x:c>
    </x:row>
    <x:row r="171">
      <x:c r="A171" s="28" t="str">
        <x:f>IF('Course_Master'!B171="","",'Course_Master'!B171)</x:f>
        <x:v>NL-0170</x:v>
      </x:c>
      <x:c r="B171" s="28" t="str">
        <x:f>IF('Course_Master'!C171="","",'Course_Master'!C171)</x:f>
        <x:v>Golf Parc De Pettelaar</x:v>
      </x:c>
      <x:c r="C171" s="28" t="str">
        <x:f>IF('Course_Master'!D171="","",'Course_Master'!D171)</x:f>
        <x:v>Golf Parc De Pettelaar</x:v>
      </x:c>
      <x:c r="D171" s="28" t="str">
        <x:f>IF('Course_Master'!E171="","",'Course_Master'!E171)</x:f>
        <x:v>Course</x:v>
      </x:c>
      <x:c r="E171" s="28" t="str">
        <x:f>IF('Course_Master'!F171="","",'Course_Master'!F171)</x:f>
        <x:v>Netherlands</x:v>
      </x:c>
      <x:c r="F171" s="28" t="str">
        <x:f>IF('Course_Master'!G171="","",'Course_Master'!G171)</x:f>
        <x:v>Noord-Brabant</x:v>
      </x:c>
      <x:c r="G171" s="28" t="str">
        <x:f>IF('Course_Master'!H171="","",'Course_Master'!H171)</x:f>
        <x:v>'s-Hertogenbosch</x:v>
      </x:c>
      <x:c r="H171" s="28" t="str">
        <x:f>IF('Course_Master'!I171="","",'Course_Master'!I171)</x:f>
        <x:v>'s-Hertogenbosch</x:v>
      </x:c>
      <x:c r="I171" s="28" t="str">
        <x:f>IF('Course_Master'!K171="","",'Course_Master'!K171)</x:f>
        <x:v>5216 TZ</x:v>
      </x:c>
      <x:c r="J171" s="34" t="n">
        <x:f>IF('Course_Master'!L171="","",'Course_Master'!L171)</x:f>
        <x:v>51.67810109</x:v>
      </x:c>
      <x:c r="K171" s="34" t="n">
        <x:f>IF('Course_Master'!M171="","",'Course_Master'!M171)</x:f>
        <x:v>5.33770002</x:v>
      </x:c>
      <x:c r="L171" s="28" t="n">
        <x:f>IF('Course_Master'!S171="","",'Course_Master'!S171)</x:f>
        <x:v>9</x:v>
      </x:c>
      <x:c r="M171" s="28" t="n">
        <x:f>IF('Course_Master'!T171="","",'Course_Master'!T171)</x:f>
        <x:v>29</x:v>
      </x:c>
      <x:c r="N171" s="28" t="n">
        <x:f>IF('Course_Master'!Q171="","",'Course_Master'!Q171)</x:f>
        <x:v>3621</x:v>
      </x:c>
      <x:c r="O171" s="28" t="n">
        <x:f>IF('Course_Master'!R171="","",'Course_Master'!R171)</x:f>
        <x:v>3311</x:v>
      </x:c>
      <x:c r="P171" s="28" t="str">
        <x:f>IF('Course_Master'!U171="","",'Course_Master'!U171)</x:f>
        <x:v>Par-3/4 course</x:v>
      </x:c>
      <x:c r="Q171" s="28" t="str">
        <x:f>IF('Course_Master'!AD171="","",'Course_Master'!AD171)</x:f>
        <x:v>Public — NGF course permission</x:v>
      </x:c>
      <x:c r="R171" s="28" t="str">
        <x:f>IF('Course_Master'!AC171="","",'Course_Master'!AC171)</x:f>
        <x:v>Open</x:v>
      </x:c>
      <x:c r="S171" s="28" t="str">
        <x:f>IF('Course_Master'!Y171="","",'Course_Master'!Y171)</x:f>
        <x:v>https://www.golfparcdepettelaar.nl/</x:v>
      </x:c>
      <x:c r="T171" s="28" t="b">
        <x:f>IF('Course_Master'!Z171="","",'Course_Master'!Z171)</x:f>
        <x:v>1</x:v>
      </x:c>
      <x:c r="U171" s="28" t="b">
        <x:f>IF('Course_Master'!AA171="","",'Course_Master'!AA171)</x:f>
        <x:v>1</x:v>
      </x:c>
      <x:c r="V171" s="28" t="str">
        <x:f>IF('Course_Master'!AL171="","",'Course_Master'!AL171)</x:f>
        <x:v>Verified — national register and exact BAG address</x:v>
      </x:c>
    </x:row>
    <x:row r="172">
      <x:c r="A172" s="28" t="str">
        <x:f>IF('Course_Master'!B172="","",'Course_Master'!B172)</x:f>
        <x:v>NL-0171</x:v>
      </x:c>
      <x:c r="B172" s="28" t="str">
        <x:f>IF('Course_Master'!C172="","",'Course_Master'!C172)</x:f>
        <x:v>Golfbaan De Swinkelsche — Main Course</x:v>
      </x:c>
      <x:c r="C172" s="28" t="str">
        <x:f>IF('Course_Master'!D172="","",'Course_Master'!D172)</x:f>
        <x:v>Golfbaan De Swinkelsche</x:v>
      </x:c>
      <x:c r="D172" s="28" t="str">
        <x:f>IF('Course_Master'!E172="","",'Course_Master'!E172)</x:f>
        <x:v>Main Course</x:v>
      </x:c>
      <x:c r="E172" s="28" t="str">
        <x:f>IF('Course_Master'!F172="","",'Course_Master'!F172)</x:f>
        <x:v>Netherlands</x:v>
      </x:c>
      <x:c r="F172" s="28" t="str">
        <x:f>IF('Course_Master'!G172="","",'Course_Master'!G172)</x:f>
        <x:v>Noord-Brabant</x:v>
      </x:c>
      <x:c r="G172" s="28" t="str">
        <x:f>IF('Course_Master'!H172="","",'Course_Master'!H172)</x:f>
        <x:v>Someren</x:v>
      </x:c>
      <x:c r="H172" s="28" t="str">
        <x:f>IF('Course_Master'!I172="","",'Course_Master'!I172)</x:f>
        <x:v>Someren</x:v>
      </x:c>
      <x:c r="I172" s="28" t="str">
        <x:f>IF('Course_Master'!K172="","",'Course_Master'!K172)</x:f>
        <x:v>5712 PC</x:v>
      </x:c>
      <x:c r="J172" s="34" t="n">
        <x:f>IF('Course_Master'!L172="","",'Course_Master'!L172)</x:f>
        <x:v>51.37389146</x:v>
      </x:c>
      <x:c r="K172" s="34" t="n">
        <x:f>IF('Course_Master'!M172="","",'Course_Master'!M172)</x:f>
        <x:v>5.66731292</x:v>
      </x:c>
      <x:c r="L172" s="28" t="n">
        <x:f>IF('Course_Master'!S172="","",'Course_Master'!S172)</x:f>
        <x:v>18</x:v>
      </x:c>
      <x:c r="M172" s="28" t="n">
        <x:f>IF('Course_Master'!T172="","",'Course_Master'!T172)</x:f>
        <x:v>72</x:v>
      </x:c>
      <x:c r="N172" s="28" t="n">
        <x:f>IF('Course_Master'!Q172="","",'Course_Master'!Q172)</x:f>
        <x:v>7000</x:v>
      </x:c>
      <x:c r="O172" s="28" t="n">
        <x:f>IF('Course_Master'!R172="","",'Course_Master'!R172)</x:f>
        <x:v>6401</x:v>
      </x:c>
      <x:c r="P172" s="28" t="str">
        <x:f>IF('Course_Master'!U172="","",'Course_Master'!U172)</x:f>
        <x:v>Full-length course</x:v>
      </x:c>
      <x:c r="Q172" s="28" t="str">
        <x:f>IF('Course_Master'!AD172="","",'Course_Master'!AD172)</x:f>
        <x:v>Public — handicap 54 or lower</x:v>
      </x:c>
      <x:c r="R172" s="28" t="str">
        <x:f>IF('Course_Master'!AC172="","",'Course_Master'!AC172)</x:f>
        <x:v>Open</x:v>
      </x:c>
      <x:c r="S172" s="28" t="str">
        <x:f>IF('Course_Master'!Y172="","",'Course_Master'!Y172)</x:f>
        <x:v>https://www.golfbaandeswinkelsche.nl/</x:v>
      </x:c>
      <x:c r="T172" s="28" t="b">
        <x:f>IF('Course_Master'!Z172="","",'Course_Master'!Z172)</x:f>
        <x:v>1</x:v>
      </x:c>
      <x:c r="U172" s="28" t="b">
        <x:f>IF('Course_Master'!AA172="","",'Course_Master'!AA172)</x:f>
        <x:v>1</x:v>
      </x:c>
      <x:c r="V172" s="28" t="str">
        <x:f>IF('Course_Master'!AL172="","",'Course_Master'!AL172)</x:f>
        <x:v>Verified — national register and exact BAG address</x:v>
      </x:c>
    </x:row>
    <x:row r="173">
      <x:c r="A173" s="28" t="str">
        <x:f>IF('Course_Master'!B173="","",'Course_Master'!B173)</x:f>
        <x:v>NL-0172</x:v>
      </x:c>
      <x:c r="B173" s="28" t="str">
        <x:f>IF('Course_Master'!C173="","",'Course_Master'!C173)</x:f>
        <x:v>Golfbaan De Swinkelsche — Peelrijtbaan</x:v>
      </x:c>
      <x:c r="C173" s="28" t="str">
        <x:f>IF('Course_Master'!D173="","",'Course_Master'!D173)</x:f>
        <x:v>Golfbaan De Swinkelsche</x:v>
      </x:c>
      <x:c r="D173" s="28" t="str">
        <x:f>IF('Course_Master'!E173="","",'Course_Master'!E173)</x:f>
        <x:v>Peelrijtbaan</x:v>
      </x:c>
      <x:c r="E173" s="28" t="str">
        <x:f>IF('Course_Master'!F173="","",'Course_Master'!F173)</x:f>
        <x:v>Netherlands</x:v>
      </x:c>
      <x:c r="F173" s="28" t="str">
        <x:f>IF('Course_Master'!G173="","",'Course_Master'!G173)</x:f>
        <x:v>Noord-Brabant</x:v>
      </x:c>
      <x:c r="G173" s="28" t="str">
        <x:f>IF('Course_Master'!H173="","",'Course_Master'!H173)</x:f>
        <x:v>Someren</x:v>
      </x:c>
      <x:c r="H173" s="28" t="str">
        <x:f>IF('Course_Master'!I173="","",'Course_Master'!I173)</x:f>
        <x:v>Someren</x:v>
      </x:c>
      <x:c r="I173" s="28" t="str">
        <x:f>IF('Course_Master'!K173="","",'Course_Master'!K173)</x:f>
        <x:v>5712 PC</x:v>
      </x:c>
      <x:c r="J173" s="34" t="n">
        <x:f>IF('Course_Master'!L173="","",'Course_Master'!L173)</x:f>
        <x:v>51.37389146</x:v>
      </x:c>
      <x:c r="K173" s="34" t="n">
        <x:f>IF('Course_Master'!M173="","",'Course_Master'!M173)</x:f>
        <x:v>5.66731292</x:v>
      </x:c>
      <x:c r="L173" s="28" t="n">
        <x:f>IF('Course_Master'!S173="","",'Course_Master'!S173)</x:f>
        <x:v>9</x:v>
      </x:c>
      <x:c r="M173" s="28" t="n">
        <x:f>IF('Course_Master'!T173="","",'Course_Master'!T173)</x:f>
        <x:v>27</x:v>
      </x:c>
      <x:c r="N173" s="28" t="n">
        <x:f>IF('Course_Master'!Q173="","",'Course_Master'!Q173)</x:f>
        <x:v>842</x:v>
      </x:c>
      <x:c r="O173" s="28" t="n">
        <x:f>IF('Course_Master'!R173="","",'Course_Master'!R173)</x:f>
        <x:v>770</x:v>
      </x:c>
      <x:c r="P173" s="28" t="str">
        <x:f>IF('Course_Master'!U173="","",'Course_Master'!U173)</x:f>
        <x:v>Par-3 course</x:v>
      </x:c>
      <x:c r="Q173" s="28" t="str">
        <x:f>IF('Course_Master'!AD173="","",'Course_Master'!AD173)</x:f>
        <x:v>Public — NGF course permission</x:v>
      </x:c>
      <x:c r="R173" s="28" t="str">
        <x:f>IF('Course_Master'!AC173="","",'Course_Master'!AC173)</x:f>
        <x:v>Open</x:v>
      </x:c>
      <x:c r="S173" s="28" t="str">
        <x:f>IF('Course_Master'!Y173="","",'Course_Master'!Y173)</x:f>
        <x:v>https://www.golfbaandeswinkelsche.nl/</x:v>
      </x:c>
      <x:c r="T173" s="28" t="b">
        <x:f>IF('Course_Master'!Z173="","",'Course_Master'!Z173)</x:f>
        <x:v>1</x:v>
      </x:c>
      <x:c r="U173" s="28" t="b">
        <x:f>IF('Course_Master'!AA173="","",'Course_Master'!AA173)</x:f>
        <x:v>1</x:v>
      </x:c>
      <x:c r="V173" s="28" t="str">
        <x:f>IF('Course_Master'!AL173="","",'Course_Master'!AL173)</x:f>
        <x:v>Verified — national register and exact BAG address</x:v>
      </x:c>
    </x:row>
    <x:row r="174">
      <x:c r="A174" s="28" t="str">
        <x:f>IF('Course_Master'!B174="","",'Course_Master'!B174)</x:f>
        <x:v>NL-0173</x:v>
      </x:c>
      <x:c r="B174" s="28" t="str">
        <x:f>IF('Course_Master'!C174="","",'Course_Master'!C174)</x:f>
        <x:v>Golfbaan Het Woold — Gezandebaan</x:v>
      </x:c>
      <x:c r="C174" s="28" t="str">
        <x:f>IF('Course_Master'!D174="","",'Course_Master'!D174)</x:f>
        <x:v>Golfbaan Het Woold</x:v>
      </x:c>
      <x:c r="D174" s="28" t="str">
        <x:f>IF('Course_Master'!E174="","",'Course_Master'!E174)</x:f>
        <x:v>Gezandebaan</x:v>
      </x:c>
      <x:c r="E174" s="28" t="str">
        <x:f>IF('Course_Master'!F174="","",'Course_Master'!F174)</x:f>
        <x:v>Netherlands</x:v>
      </x:c>
      <x:c r="F174" s="28" t="str">
        <x:f>IF('Course_Master'!G174="","",'Course_Master'!G174)</x:f>
        <x:v>Noord-Brabant</x:v>
      </x:c>
      <x:c r="G174" s="28" t="str">
        <x:f>IF('Course_Master'!H174="","",'Course_Master'!H174)</x:f>
        <x:v>Asten</x:v>
      </x:c>
      <x:c r="H174" s="28" t="str">
        <x:f>IF('Course_Master'!I174="","",'Course_Master'!I174)</x:f>
        <x:v>Heusden</x:v>
      </x:c>
      <x:c r="I174" s="28" t="str">
        <x:f>IF('Course_Master'!K174="","",'Course_Master'!K174)</x:f>
        <x:v>5725 TN</x:v>
      </x:c>
      <x:c r="J174" s="34" t="n">
        <x:f>IF('Course_Master'!L174="","",'Course_Master'!L174)</x:f>
        <x:v>51.36558068</x:v>
      </x:c>
      <x:c r="K174" s="34" t="n">
        <x:f>IF('Course_Master'!M174="","",'Course_Master'!M174)</x:f>
        <x:v>5.77457127</x:v>
      </x:c>
      <x:c r="L174" s="28" t="n">
        <x:f>IF('Course_Master'!S174="","",'Course_Master'!S174)</x:f>
        <x:v>9</x:v>
      </x:c>
      <x:c r="M174" s="28" t="n">
        <x:f>IF('Course_Master'!T174="","",'Course_Master'!T174)</x:f>
        <x:v>27</x:v>
      </x:c>
      <x:c r="N174" s="28" t="n">
        <x:f>IF('Course_Master'!Q174="","",'Course_Master'!Q174)</x:f>
        <x:v>926</x:v>
      </x:c>
      <x:c r="O174" s="28" t="n">
        <x:f>IF('Course_Master'!R174="","",'Course_Master'!R174)</x:f>
        <x:v>847</x:v>
      </x:c>
      <x:c r="P174" s="28" t="str">
        <x:f>IF('Course_Master'!U174="","",'Course_Master'!U174)</x:f>
        <x:v>Par-3 course</x:v>
      </x:c>
      <x:c r="Q174" s="28" t="str">
        <x:f>IF('Course_Master'!AD174="","",'Course_Master'!AD174)</x:f>
        <x:v>Public — NGF course permission</x:v>
      </x:c>
      <x:c r="R174" s="28" t="str">
        <x:f>IF('Course_Master'!AC174="","",'Course_Master'!AC174)</x:f>
        <x:v>Open</x:v>
      </x:c>
      <x:c r="S174" s="28" t="str">
        <x:f>IF('Course_Master'!Y174="","",'Course_Master'!Y174)</x:f>
        <x:v>https://golfbaanhetwoold.nl/</x:v>
      </x:c>
      <x:c r="T174" s="28" t="b">
        <x:f>IF('Course_Master'!Z174="","",'Course_Master'!Z174)</x:f>
        <x:v>1</x:v>
      </x:c>
      <x:c r="U174" s="28" t="b">
        <x:f>IF('Course_Master'!AA174="","",'Course_Master'!AA174)</x:f>
        <x:v>1</x:v>
      </x:c>
      <x:c r="V174" s="28" t="str">
        <x:f>IF('Course_Master'!AL174="","",'Course_Master'!AL174)</x:f>
        <x:v>Verified — national register and exact BAG address</x:v>
      </x:c>
    </x:row>
    <x:row r="175">
      <x:c r="A175" s="28" t="str">
        <x:f>IF('Course_Master'!B175="","",'Course_Master'!B175)</x:f>
        <x:v>NL-0174</x:v>
      </x:c>
      <x:c r="B175" s="28" t="str">
        <x:f>IF('Course_Master'!C175="","",'Course_Master'!C175)</x:f>
        <x:v>Golfbaan Het Woold — Vier Eijckenbaan</x:v>
      </x:c>
      <x:c r="C175" s="28" t="str">
        <x:f>IF('Course_Master'!D175="","",'Course_Master'!D175)</x:f>
        <x:v>Golfbaan Het Woold</x:v>
      </x:c>
      <x:c r="D175" s="28" t="str">
        <x:f>IF('Course_Master'!E175="","",'Course_Master'!E175)</x:f>
        <x:v>Vier Eijckenbaan</x:v>
      </x:c>
      <x:c r="E175" s="28" t="str">
        <x:f>IF('Course_Master'!F175="","",'Course_Master'!F175)</x:f>
        <x:v>Netherlands</x:v>
      </x:c>
      <x:c r="F175" s="28" t="str">
        <x:f>IF('Course_Master'!G175="","",'Course_Master'!G175)</x:f>
        <x:v>Noord-Brabant</x:v>
      </x:c>
      <x:c r="G175" s="28" t="str">
        <x:f>IF('Course_Master'!H175="","",'Course_Master'!H175)</x:f>
        <x:v>Asten</x:v>
      </x:c>
      <x:c r="H175" s="28" t="str">
        <x:f>IF('Course_Master'!I175="","",'Course_Master'!I175)</x:f>
        <x:v>Heusden</x:v>
      </x:c>
      <x:c r="I175" s="28" t="str">
        <x:f>IF('Course_Master'!K175="","",'Course_Master'!K175)</x:f>
        <x:v>5725 TN</x:v>
      </x:c>
      <x:c r="J175" s="34" t="n">
        <x:f>IF('Course_Master'!L175="","",'Course_Master'!L175)</x:f>
        <x:v>51.36558068</x:v>
      </x:c>
      <x:c r="K175" s="34" t="n">
        <x:f>IF('Course_Master'!M175="","",'Course_Master'!M175)</x:f>
        <x:v>5.77457127</x:v>
      </x:c>
      <x:c r="L175" s="28" t="n">
        <x:f>IF('Course_Master'!S175="","",'Course_Master'!S175)</x:f>
        <x:v>18</x:v>
      </x:c>
      <x:c r="M175" s="28" t="n">
        <x:f>IF('Course_Master'!T175="","",'Course_Master'!T175)</x:f>
        <x:v>72</x:v>
      </x:c>
      <x:c r="N175" s="28" t="n">
        <x:f>IF('Course_Master'!Q175="","",'Course_Master'!Q175)</x:f>
        <x:v>6819</x:v>
      </x:c>
      <x:c r="O175" s="28" t="n">
        <x:f>IF('Course_Master'!R175="","",'Course_Master'!R175)</x:f>
        <x:v>6235</x:v>
      </x:c>
      <x:c r="P175" s="28" t="str">
        <x:f>IF('Course_Master'!U175="","",'Course_Master'!U175)</x:f>
        <x:v>Full-length course</x:v>
      </x:c>
      <x:c r="Q175" s="28" t="str">
        <x:f>IF('Course_Master'!AD175="","",'Course_Master'!AD175)</x:f>
        <x:v>Public — handicap 54 or lower</x:v>
      </x:c>
      <x:c r="R175" s="28" t="str">
        <x:f>IF('Course_Master'!AC175="","",'Course_Master'!AC175)</x:f>
        <x:v>Open</x:v>
      </x:c>
      <x:c r="S175" s="28" t="str">
        <x:f>IF('Course_Master'!Y175="","",'Course_Master'!Y175)</x:f>
        <x:v>https://golfbaanhetwoold.nl/</x:v>
      </x:c>
      <x:c r="T175" s="28" t="b">
        <x:f>IF('Course_Master'!Z175="","",'Course_Master'!Z175)</x:f>
        <x:v>1</x:v>
      </x:c>
      <x:c r="U175" s="28" t="b">
        <x:f>IF('Course_Master'!AA175="","",'Course_Master'!AA175)</x:f>
        <x:v>1</x:v>
      </x:c>
      <x:c r="V175" s="28" t="str">
        <x:f>IF('Course_Master'!AL175="","",'Course_Master'!AL175)</x:f>
        <x:v>Verified — national register and exact BAG address</x:v>
      </x:c>
    </x:row>
    <x:row r="176">
      <x:c r="A176" s="28" t="str">
        <x:f>IF('Course_Master'!B176="","",'Course_Master'!B176)</x:f>
        <x:v>NL-0175</x:v>
      </x:c>
      <x:c r="B176" s="28" t="str">
        <x:f>IF('Course_Master'!C176="","",'Course_Master'!C176)</x:f>
        <x:v>Golfbaan Hof van Heden — Shortgolf / Pitch &amp; Putt Course</x:v>
      </x:c>
      <x:c r="C176" s="28" t="str">
        <x:f>IF('Course_Master'!D176="","",'Course_Master'!D176)</x:f>
        <x:v>Golfbaan Hof van Heden</x:v>
      </x:c>
      <x:c r="D176" s="28" t="str">
        <x:f>IF('Course_Master'!E176="","",'Course_Master'!E176)</x:f>
        <x:v>Shortgolf / Pitch &amp; Putt Course</x:v>
      </x:c>
      <x:c r="E176" s="28" t="str">
        <x:f>IF('Course_Master'!F176="","",'Course_Master'!F176)</x:f>
        <x:v>Netherlands</x:v>
      </x:c>
      <x:c r="F176" s="28" t="str">
        <x:f>IF('Course_Master'!G176="","",'Course_Master'!G176)</x:f>
        <x:v>Noord-Brabant</x:v>
      </x:c>
      <x:c r="G176" s="28" t="str">
        <x:f>IF('Course_Master'!H176="","",'Course_Master'!H176)</x:f>
        <x:v>Bergeijk</x:v>
      </x:c>
      <x:c r="H176" s="28" t="str">
        <x:f>IF('Course_Master'!I176="","",'Course_Master'!I176)</x:f>
        <x:v>Bergeijk</x:v>
      </x:c>
      <x:c r="I176" s="28" t="str">
        <x:f>IF('Course_Master'!K176="","",'Course_Master'!K176)</x:f>
        <x:v>5571 XH</x:v>
      </x:c>
      <x:c r="J176" s="34" t="n">
        <x:f>IF('Course_Master'!L176="","",'Course_Master'!L176)</x:f>
        <x:v>51.31172431</x:v>
      </x:c>
      <x:c r="K176" s="34" t="n">
        <x:f>IF('Course_Master'!M176="","",'Course_Master'!M176)</x:f>
        <x:v>5.26229913</x:v>
      </x:c>
      <x:c r="L176" s="28" t="n">
        <x:f>IF('Course_Master'!S176="","",'Course_Master'!S176)</x:f>
        <x:v>18</x:v>
      </x:c>
      <x:c r="M176" s="28" t="n">
        <x:f>IF('Course_Master'!T176="","",'Course_Master'!T176)</x:f>
        <x:v>54</x:v>
      </x:c>
      <x:c r="N176" s="28" t="n">
        <x:f>IF('Course_Master'!Q176="","",'Course_Master'!Q176)</x:f>
        <x:v>948</x:v>
      </x:c>
      <x:c r="O176" s="28" t="n">
        <x:f>IF('Course_Master'!R176="","",'Course_Master'!R176)</x:f>
        <x:v>867</x:v>
      </x:c>
      <x:c r="P176" s="28" t="str">
        <x:f>IF('Course_Master'!U176="","",'Course_Master'!U176)</x:f>
        <x:v>Shortgolf / Pitch &amp; Putt</x:v>
      </x:c>
      <x:c r="Q176" s="28" t="str">
        <x:f>IF('Course_Master'!AD176="","",'Course_Master'!AD176)</x:f>
        <x:v>Public — no playing requirement</x:v>
      </x:c>
      <x:c r="R176" s="28" t="str">
        <x:f>IF('Course_Master'!AC176="","",'Course_Master'!AC176)</x:f>
        <x:v>Open</x:v>
      </x:c>
      <x:c r="S176" s="28" t="str">
        <x:f>IF('Course_Master'!Y176="","",'Course_Master'!Y176)</x:f>
        <x:v>https://hofvanheden.nl/</x:v>
      </x:c>
      <x:c r="T176" s="28" t="b">
        <x:f>IF('Course_Master'!Z176="","",'Course_Master'!Z176)</x:f>
        <x:v>1</x:v>
      </x:c>
      <x:c r="U176" s="28" t="b">
        <x:f>IF('Course_Master'!AA176="","",'Course_Master'!AA176)</x:f>
        <x:v>1</x:v>
      </x:c>
      <x:c r="V176" s="28" t="str">
        <x:f>IF('Course_Master'!AL176="","",'Course_Master'!AL176)</x:f>
        <x:v>Verified — national register and exact BAG address</x:v>
      </x:c>
    </x:row>
    <x:row r="177">
      <x:c r="A177" s="28" t="str">
        <x:f>IF('Course_Master'!B177="","",'Course_Master'!B177)</x:f>
        <x:v>NL-0176</x:v>
      </x:c>
      <x:c r="B177" s="28" t="str">
        <x:f>IF('Course_Master'!C177="","",'Course_Master'!C177)</x:f>
        <x:v>Golfbaan Landgoed Bergvliet — Lus A</x:v>
      </x:c>
      <x:c r="C177" s="28" t="str">
        <x:f>IF('Course_Master'!D177="","",'Course_Master'!D177)</x:f>
        <x:v>Golfbaan Landgoed Bergvliet</x:v>
      </x:c>
      <x:c r="D177" s="28" t="str">
        <x:f>IF('Course_Master'!E177="","",'Course_Master'!E177)</x:f>
        <x:v>Lus A</x:v>
      </x:c>
      <x:c r="E177" s="28" t="str">
        <x:f>IF('Course_Master'!F177="","",'Course_Master'!F177)</x:f>
        <x:v>Netherlands</x:v>
      </x:c>
      <x:c r="F177" s="28" t="str">
        <x:f>IF('Course_Master'!G177="","",'Course_Master'!G177)</x:f>
        <x:v>Noord-Brabant</x:v>
      </x:c>
      <x:c r="G177" s="28" t="str">
        <x:f>IF('Course_Master'!H177="","",'Course_Master'!H177)</x:f>
        <x:v>Oosterhout</x:v>
      </x:c>
      <x:c r="H177" s="28" t="str">
        <x:f>IF('Course_Master'!I177="","",'Course_Master'!I177)</x:f>
        <x:v>Oosterhout</x:v>
      </x:c>
      <x:c r="I177" s="28" t="str">
        <x:f>IF('Course_Master'!K177="","",'Course_Master'!K177)</x:f>
        <x:v>4904 SW</x:v>
      </x:c>
      <x:c r="J177" s="34" t="n">
        <x:f>IF('Course_Master'!L177="","",'Course_Master'!L177)</x:f>
        <x:v>51.63550295</x:v>
      </x:c>
      <x:c r="K177" s="34" t="n">
        <x:f>IF('Course_Master'!M177="","",'Course_Master'!M177)</x:f>
        <x:v>4.79484345</x:v>
      </x:c>
      <x:c r="L177" s="28" t="n">
        <x:f>IF('Course_Master'!S177="","",'Course_Master'!S177)</x:f>
        <x:v>9</x:v>
      </x:c>
      <x:c r="M177" s="28" t="n">
        <x:f>IF('Course_Master'!T177="","",'Course_Master'!T177)</x:f>
        <x:v>36</x:v>
      </x:c>
      <x:c r="N177" s="28" t="n">
        <x:f>IF('Course_Master'!Q177="","",'Course_Master'!Q177)</x:f>
        <x:v>3348</x:v>
      </x:c>
      <x:c r="O177" s="28" t="n">
        <x:f>IF('Course_Master'!R177="","",'Course_Master'!R177)</x:f>
        <x:v>3061</x:v>
      </x:c>
      <x:c r="P177" s="28" t="str">
        <x:f>IF('Course_Master'!U177="","",'Course_Master'!U177)</x:f>
        <x:v>Full-length course</x:v>
      </x:c>
      <x:c r="Q177" s="28" t="str">
        <x:f>IF('Course_Master'!AD177="","",'Course_Master'!AD177)</x:f>
        <x:v>Public — handicap 54 or lower</x:v>
      </x:c>
      <x:c r="R177" s="28" t="str">
        <x:f>IF('Course_Master'!AC177="","",'Course_Master'!AC177)</x:f>
        <x:v>Open</x:v>
      </x:c>
      <x:c r="S177" s="28" t="str">
        <x:f>IF('Course_Master'!Y177="","",'Course_Master'!Y177)</x:f>
        <x:v>https://www.landgoedbergvliet.nl/</x:v>
      </x:c>
      <x:c r="T177" s="28" t="b">
        <x:f>IF('Course_Master'!Z177="","",'Course_Master'!Z177)</x:f>
        <x:v>1</x:v>
      </x:c>
      <x:c r="U177" s="28" t="b">
        <x:f>IF('Course_Master'!AA177="","",'Course_Master'!AA177)</x:f>
        <x:v>1</x:v>
      </x:c>
      <x:c r="V177" s="28" t="str">
        <x:f>IF('Course_Master'!AL177="","",'Course_Master'!AL177)</x:f>
        <x:v>Verified — national register and exact BAG address</x:v>
      </x:c>
    </x:row>
    <x:row r="178">
      <x:c r="A178" s="28" t="str">
        <x:f>IF('Course_Master'!B178="","",'Course_Master'!B178)</x:f>
        <x:v>NL-0177</x:v>
      </x:c>
      <x:c r="B178" s="28" t="str">
        <x:f>IF('Course_Master'!C178="","",'Course_Master'!C178)</x:f>
        <x:v>Golfbaan Landgoed Bergvliet — Lus B</x:v>
      </x:c>
      <x:c r="C178" s="28" t="str">
        <x:f>IF('Course_Master'!D178="","",'Course_Master'!D178)</x:f>
        <x:v>Golfbaan Landgoed Bergvliet</x:v>
      </x:c>
      <x:c r="D178" s="28" t="str">
        <x:f>IF('Course_Master'!E178="","",'Course_Master'!E178)</x:f>
        <x:v>Lus B</x:v>
      </x:c>
      <x:c r="E178" s="28" t="str">
        <x:f>IF('Course_Master'!F178="","",'Course_Master'!F178)</x:f>
        <x:v>Netherlands</x:v>
      </x:c>
      <x:c r="F178" s="28" t="str">
        <x:f>IF('Course_Master'!G178="","",'Course_Master'!G178)</x:f>
        <x:v>Noord-Brabant</x:v>
      </x:c>
      <x:c r="G178" s="28" t="str">
        <x:f>IF('Course_Master'!H178="","",'Course_Master'!H178)</x:f>
        <x:v>Oosterhout</x:v>
      </x:c>
      <x:c r="H178" s="28" t="str">
        <x:f>IF('Course_Master'!I178="","",'Course_Master'!I178)</x:f>
        <x:v>Oosterhout</x:v>
      </x:c>
      <x:c r="I178" s="28" t="str">
        <x:f>IF('Course_Master'!K178="","",'Course_Master'!K178)</x:f>
        <x:v>4904 SW</x:v>
      </x:c>
      <x:c r="J178" s="34" t="n">
        <x:f>IF('Course_Master'!L178="","",'Course_Master'!L178)</x:f>
        <x:v>51.63550295</x:v>
      </x:c>
      <x:c r="K178" s="34" t="n">
        <x:f>IF('Course_Master'!M178="","",'Course_Master'!M178)</x:f>
        <x:v>4.79484345</x:v>
      </x:c>
      <x:c r="L178" s="28" t="n">
        <x:f>IF('Course_Master'!S178="","",'Course_Master'!S178)</x:f>
        <x:v>9</x:v>
      </x:c>
      <x:c r="M178" s="28" t="n">
        <x:f>IF('Course_Master'!T178="","",'Course_Master'!T178)</x:f>
        <x:v>35</x:v>
      </x:c>
      <x:c r="N178" s="28" t="n">
        <x:f>IF('Course_Master'!Q178="","",'Course_Master'!Q178)</x:f>
        <x:v>3135</x:v>
      </x:c>
      <x:c r="O178" s="28" t="n">
        <x:f>IF('Course_Master'!R178="","",'Course_Master'!R178)</x:f>
        <x:v>2867</x:v>
      </x:c>
      <x:c r="P178" s="28" t="str">
        <x:f>IF('Course_Master'!U178="","",'Course_Master'!U178)</x:f>
        <x:v>Full-length course</x:v>
      </x:c>
      <x:c r="Q178" s="28" t="str">
        <x:f>IF('Course_Master'!AD178="","",'Course_Master'!AD178)</x:f>
        <x:v>Public — handicap 54 or lower</x:v>
      </x:c>
      <x:c r="R178" s="28" t="str">
        <x:f>IF('Course_Master'!AC178="","",'Course_Master'!AC178)</x:f>
        <x:v>Open</x:v>
      </x:c>
      <x:c r="S178" s="28" t="str">
        <x:f>IF('Course_Master'!Y178="","",'Course_Master'!Y178)</x:f>
        <x:v>https://www.landgoedbergvliet.nl/</x:v>
      </x:c>
      <x:c r="T178" s="28" t="b">
        <x:f>IF('Course_Master'!Z178="","",'Course_Master'!Z178)</x:f>
        <x:v>1</x:v>
      </x:c>
      <x:c r="U178" s="28" t="b">
        <x:f>IF('Course_Master'!AA178="","",'Course_Master'!AA178)</x:f>
        <x:v>1</x:v>
      </x:c>
      <x:c r="V178" s="28" t="str">
        <x:f>IF('Course_Master'!AL178="","",'Course_Master'!AL178)</x:f>
        <x:v>Verified — national register and exact BAG address</x:v>
      </x:c>
    </x:row>
    <x:row r="179">
      <x:c r="A179" s="28" t="str">
        <x:f>IF('Course_Master'!B179="","",'Course_Master'!B179)</x:f>
        <x:v>NL-0178</x:v>
      </x:c>
      <x:c r="B179" s="28" t="str">
        <x:f>IF('Course_Master'!C179="","",'Course_Master'!C179)</x:f>
        <x:v>Golfbaan Landgoed Bergvliet — Par-3 Course</x:v>
      </x:c>
      <x:c r="C179" s="28" t="str">
        <x:f>IF('Course_Master'!D179="","",'Course_Master'!D179)</x:f>
        <x:v>Golfbaan Landgoed Bergvliet</x:v>
      </x:c>
      <x:c r="D179" s="28" t="str">
        <x:f>IF('Course_Master'!E179="","",'Course_Master'!E179)</x:f>
        <x:v>Par-3 Course</x:v>
      </x:c>
      <x:c r="E179" s="28" t="str">
        <x:f>IF('Course_Master'!F179="","",'Course_Master'!F179)</x:f>
        <x:v>Netherlands</x:v>
      </x:c>
      <x:c r="F179" s="28" t="str">
        <x:f>IF('Course_Master'!G179="","",'Course_Master'!G179)</x:f>
        <x:v>Noord-Brabant</x:v>
      </x:c>
      <x:c r="G179" s="28" t="str">
        <x:f>IF('Course_Master'!H179="","",'Course_Master'!H179)</x:f>
        <x:v>Oosterhout</x:v>
      </x:c>
      <x:c r="H179" s="28" t="str">
        <x:f>IF('Course_Master'!I179="","",'Course_Master'!I179)</x:f>
        <x:v>Oosterhout</x:v>
      </x:c>
      <x:c r="I179" s="28" t="str">
        <x:f>IF('Course_Master'!K179="","",'Course_Master'!K179)</x:f>
        <x:v>4904 SW</x:v>
      </x:c>
      <x:c r="J179" s="34" t="n">
        <x:f>IF('Course_Master'!L179="","",'Course_Master'!L179)</x:f>
        <x:v>51.63550295</x:v>
      </x:c>
      <x:c r="K179" s="34" t="n">
        <x:f>IF('Course_Master'!M179="","",'Course_Master'!M179)</x:f>
        <x:v>4.79484345</x:v>
      </x:c>
      <x:c r="L179" s="28" t="n">
        <x:f>IF('Course_Master'!S179="","",'Course_Master'!S179)</x:f>
        <x:v>9</x:v>
      </x:c>
      <x:c r="M179" s="28" t="n">
        <x:f>IF('Course_Master'!T179="","",'Course_Master'!T179)</x:f>
        <x:v>27</x:v>
      </x:c>
      <x:c r="N179" s="28" t="n">
        <x:f>IF('Course_Master'!Q179="","",'Course_Master'!Q179)</x:f>
        <x:v>1009</x:v>
      </x:c>
      <x:c r="O179" s="28" t="n">
        <x:f>IF('Course_Master'!R179="","",'Course_Master'!R179)</x:f>
        <x:v>923</x:v>
      </x:c>
      <x:c r="P179" s="28" t="str">
        <x:f>IF('Course_Master'!U179="","",'Course_Master'!U179)</x:f>
        <x:v>Par-3 course</x:v>
      </x:c>
      <x:c r="Q179" s="28" t="str">
        <x:f>IF('Course_Master'!AD179="","",'Course_Master'!AD179)</x:f>
        <x:v>Public — NGF course permission</x:v>
      </x:c>
      <x:c r="R179" s="28" t="str">
        <x:f>IF('Course_Master'!AC179="","",'Course_Master'!AC179)</x:f>
        <x:v>Open</x:v>
      </x:c>
      <x:c r="S179" s="28" t="str">
        <x:f>IF('Course_Master'!Y179="","",'Course_Master'!Y179)</x:f>
        <x:v>https://www.landgoedbergvliet.nl/</x:v>
      </x:c>
      <x:c r="T179" s="28" t="b">
        <x:f>IF('Course_Master'!Z179="","",'Course_Master'!Z179)</x:f>
        <x:v>1</x:v>
      </x:c>
      <x:c r="U179" s="28" t="b">
        <x:f>IF('Course_Master'!AA179="","",'Course_Master'!AA179)</x:f>
        <x:v>1</x:v>
      </x:c>
      <x:c r="V179" s="28" t="str">
        <x:f>IF('Course_Master'!AL179="","",'Course_Master'!AL179)</x:f>
        <x:v>Verified — national register and exact BAG address</x:v>
      </x:c>
    </x:row>
    <x:row r="180">
      <x:c r="A180" s="28" t="str">
        <x:f>IF('Course_Master'!B180="","",'Course_Master'!B180)</x:f>
        <x:v>NL-0179</x:v>
      </x:c>
      <x:c r="B180" s="28" t="str">
        <x:f>IF('Course_Master'!C180="","",'Course_Master'!C180)</x:f>
        <x:v>Golfbaan Oijense Zij</x:v>
      </x:c>
      <x:c r="C180" s="28" t="str">
        <x:f>IF('Course_Master'!D180="","",'Course_Master'!D180)</x:f>
        <x:v>Golfbaan Oijense Zij</x:v>
      </x:c>
      <x:c r="D180" s="28" t="str">
        <x:f>IF('Course_Master'!E180="","",'Course_Master'!E180)</x:f>
        <x:v>Course</x:v>
      </x:c>
      <x:c r="E180" s="28" t="str">
        <x:f>IF('Course_Master'!F180="","",'Course_Master'!F180)</x:f>
        <x:v>Netherlands</x:v>
      </x:c>
      <x:c r="F180" s="28" t="str">
        <x:f>IF('Course_Master'!G180="","",'Course_Master'!G180)</x:f>
        <x:v>Noord-Brabant</x:v>
      </x:c>
      <x:c r="G180" s="28" t="str">
        <x:f>IF('Course_Master'!H180="","",'Course_Master'!H180)</x:f>
        <x:v>Oss</x:v>
      </x:c>
      <x:c r="H180" s="28" t="str">
        <x:f>IF('Course_Master'!I180="","",'Course_Master'!I180)</x:f>
        <x:v>Oss</x:v>
      </x:c>
      <x:c r="I180" s="28" t="str">
        <x:f>IF('Course_Master'!K180="","",'Course_Master'!K180)</x:f>
        <x:v>5346 JG</x:v>
      </x:c>
      <x:c r="J180" s="34" t="n">
        <x:f>IF('Course_Master'!L180="","",'Course_Master'!L180)</x:f>
        <x:v>51.78416945</x:v>
      </x:c>
      <x:c r="K180" s="34" t="n">
        <x:f>IF('Course_Master'!M180="","",'Course_Master'!M180)</x:f>
        <x:v>5.51824429</x:v>
      </x:c>
      <x:c r="L180" s="28" t="n">
        <x:f>IF('Course_Master'!S180="","",'Course_Master'!S180)</x:f>
        <x:v>9</x:v>
      </x:c>
      <x:c r="M180" s="28" t="n">
        <x:f>IF('Course_Master'!T180="","",'Course_Master'!T180)</x:f>
        <x:v>27</x:v>
      </x:c>
      <x:c r="N180" s="28" t="n">
        <x:f>IF('Course_Master'!Q180="","",'Course_Master'!Q180)</x:f>
        <x:v>797</x:v>
      </x:c>
      <x:c r="O180" s="28" t="n">
        <x:f>IF('Course_Master'!R180="","",'Course_Master'!R180)</x:f>
        <x:v>729</x:v>
      </x:c>
      <x:c r="P180" s="28" t="str">
        <x:f>IF('Course_Master'!U180="","",'Course_Master'!U180)</x:f>
        <x:v>Par-3 course</x:v>
      </x:c>
      <x:c r="Q180" s="28" t="str">
        <x:f>IF('Course_Master'!AD180="","",'Course_Master'!AD180)</x:f>
        <x:v>Public — NGF course permission</x:v>
      </x:c>
      <x:c r="R180" s="28" t="str">
        <x:f>IF('Course_Master'!AC180="","",'Course_Master'!AC180)</x:f>
        <x:v>Open</x:v>
      </x:c>
      <x:c r="S180" s="28" t="str">
        <x:f>IF('Course_Master'!Y180="","",'Course_Master'!Y180)</x:f>
        <x:v>https://oijensezij.nl/</x:v>
      </x:c>
      <x:c r="T180" s="28" t="b">
        <x:f>IF('Course_Master'!Z180="","",'Course_Master'!Z180)</x:f>
        <x:v>1</x:v>
      </x:c>
      <x:c r="U180" s="28" t="b">
        <x:f>IF('Course_Master'!AA180="","",'Course_Master'!AA180)</x:f>
        <x:v>1</x:v>
      </x:c>
      <x:c r="V180" s="28" t="str">
        <x:f>IF('Course_Master'!AL180="","",'Course_Master'!AL180)</x:f>
        <x:v>Verified — national register and exact BAG address</x:v>
      </x:c>
    </x:row>
    <x:row r="181">
      <x:c r="A181" s="28" t="str">
        <x:f>IF('Course_Master'!B181="","",'Course_Master'!B181)</x:f>
        <x:v>NL-0180</x:v>
      </x:c>
      <x:c r="B181" s="28" t="str">
        <x:f>IF('Course_Master'!C181="","",'Course_Master'!C181)</x:f>
        <x:v>Golfbaan Stippelberg — Main Course</x:v>
      </x:c>
      <x:c r="C181" s="28" t="str">
        <x:f>IF('Course_Master'!D181="","",'Course_Master'!D181)</x:f>
        <x:v>Golfbaan Stippelberg</x:v>
      </x:c>
      <x:c r="D181" s="28" t="str">
        <x:f>IF('Course_Master'!E181="","",'Course_Master'!E181)</x:f>
        <x:v>Main Course</x:v>
      </x:c>
      <x:c r="E181" s="28" t="str">
        <x:f>IF('Course_Master'!F181="","",'Course_Master'!F181)</x:f>
        <x:v>Netherlands</x:v>
      </x:c>
      <x:c r="F181" s="28" t="str">
        <x:f>IF('Course_Master'!G181="","",'Course_Master'!G181)</x:f>
        <x:v>Noord-Brabant</x:v>
      </x:c>
      <x:c r="G181" s="28" t="str">
        <x:f>IF('Course_Master'!H181="","",'Course_Master'!H181)</x:f>
        <x:v>Gemert-Bakel</x:v>
      </x:c>
      <x:c r="H181" s="28" t="str">
        <x:f>IF('Course_Master'!I181="","",'Course_Master'!I181)</x:f>
        <x:v>Bakel</x:v>
      </x:c>
      <x:c r="I181" s="28" t="str">
        <x:f>IF('Course_Master'!K181="","",'Course_Master'!K181)</x:f>
        <x:v>5761 RZ</x:v>
      </x:c>
      <x:c r="J181" s="34" t="n">
        <x:f>IF('Course_Master'!L181="","",'Course_Master'!L181)</x:f>
        <x:v>51.51366115</x:v>
      </x:c>
      <x:c r="K181" s="34" t="n">
        <x:f>IF('Course_Master'!M181="","",'Course_Master'!M181)</x:f>
        <x:v>5.75899028</x:v>
      </x:c>
      <x:c r="L181" s="28" t="n">
        <x:f>IF('Course_Master'!S181="","",'Course_Master'!S181)</x:f>
        <x:v>18</x:v>
      </x:c>
      <x:c r="M181" s="28" t="n">
        <x:f>IF('Course_Master'!T181="","",'Course_Master'!T181)</x:f>
        <x:v>71</x:v>
      </x:c>
      <x:c r="N181" s="28" t="n">
        <x:f>IF('Course_Master'!Q181="","",'Course_Master'!Q181)</x:f>
        <x:v>6705</x:v>
      </x:c>
      <x:c r="O181" s="28" t="n">
        <x:f>IF('Course_Master'!R181="","",'Course_Master'!R181)</x:f>
        <x:v>6131</x:v>
      </x:c>
      <x:c r="P181" s="28" t="str">
        <x:f>IF('Course_Master'!U181="","",'Course_Master'!U181)</x:f>
        <x:v>Full-length course</x:v>
      </x:c>
      <x:c r="Q181" s="28" t="str">
        <x:f>IF('Course_Master'!AD181="","",'Course_Master'!AD181)</x:f>
        <x:v>Public — handicap 54 or lower</x:v>
      </x:c>
      <x:c r="R181" s="28" t="str">
        <x:f>IF('Course_Master'!AC181="","",'Course_Master'!AC181)</x:f>
        <x:v>Open</x:v>
      </x:c>
      <x:c r="S181" s="28" t="str">
        <x:f>IF('Course_Master'!Y181="","",'Course_Master'!Y181)</x:f>
        <x:v>https://golfbaan-stippelberg.com/</x:v>
      </x:c>
      <x:c r="T181" s="28" t="b">
        <x:f>IF('Course_Master'!Z181="","",'Course_Master'!Z181)</x:f>
        <x:v>1</x:v>
      </x:c>
      <x:c r="U181" s="28" t="b">
        <x:f>IF('Course_Master'!AA181="","",'Course_Master'!AA181)</x:f>
        <x:v>1</x:v>
      </x:c>
      <x:c r="V181" s="28" t="str">
        <x:f>IF('Course_Master'!AL181="","",'Course_Master'!AL181)</x:f>
        <x:v>Verified — national register and exact BAG address</x:v>
      </x:c>
    </x:row>
    <x:row r="182">
      <x:c r="A182" s="28" t="str">
        <x:f>IF('Course_Master'!B182="","",'Course_Master'!B182)</x:f>
        <x:v>NL-0181</x:v>
      </x:c>
      <x:c r="B182" s="28" t="str">
        <x:f>IF('Course_Master'!C182="","",'Course_Master'!C182)</x:f>
        <x:v>Golfcentrum Dongen</x:v>
      </x:c>
      <x:c r="C182" s="28" t="str">
        <x:f>IF('Course_Master'!D182="","",'Course_Master'!D182)</x:f>
        <x:v>Golfcentrum Dongen</x:v>
      </x:c>
      <x:c r="D182" s="28" t="str">
        <x:f>IF('Course_Master'!E182="","",'Course_Master'!E182)</x:f>
        <x:v>Course</x:v>
      </x:c>
      <x:c r="E182" s="28" t="str">
        <x:f>IF('Course_Master'!F182="","",'Course_Master'!F182)</x:f>
        <x:v>Netherlands</x:v>
      </x:c>
      <x:c r="F182" s="28" t="str">
        <x:f>IF('Course_Master'!G182="","",'Course_Master'!G182)</x:f>
        <x:v>Noord-Brabant</x:v>
      </x:c>
      <x:c r="G182" s="28" t="str">
        <x:f>IF('Course_Master'!H182="","",'Course_Master'!H182)</x:f>
        <x:v>Dongen</x:v>
      </x:c>
      <x:c r="H182" s="28" t="str">
        <x:f>IF('Course_Master'!I182="","",'Course_Master'!I182)</x:f>
        <x:v>Dongen</x:v>
      </x:c>
      <x:c r="I182" s="28" t="str">
        <x:f>IF('Course_Master'!K182="","",'Course_Master'!K182)</x:f>
        <x:v>5107 NM</x:v>
      </x:c>
      <x:c r="J182" s="34" t="n">
        <x:f>IF('Course_Master'!L182="","",'Course_Master'!L182)</x:f>
        <x:v>51.61696098</x:v>
      </x:c>
      <x:c r="K182" s="34" t="n">
        <x:f>IF('Course_Master'!M182="","",'Course_Master'!M182)</x:f>
        <x:v>4.91534472</x:v>
      </x:c>
      <x:c r="L182" s="28" t="n">
        <x:f>IF('Course_Master'!S182="","",'Course_Master'!S182)</x:f>
        <x:v>9</x:v>
      </x:c>
      <x:c r="M182" s="28" t="n">
        <x:f>IF('Course_Master'!T182="","",'Course_Master'!T182)</x:f>
        <x:v>36</x:v>
      </x:c>
      <x:c r="N182" s="28" t="n">
        <x:f>IF('Course_Master'!Q182="","",'Course_Master'!Q182)</x:f>
        <x:v>3016</x:v>
      </x:c>
      <x:c r="O182" s="28" t="n">
        <x:f>IF('Course_Master'!R182="","",'Course_Master'!R182)</x:f>
        <x:v>2758</x:v>
      </x:c>
      <x:c r="P182" s="28" t="str">
        <x:f>IF('Course_Master'!U182="","",'Course_Master'!U182)</x:f>
        <x:v>Full-length course</x:v>
      </x:c>
      <x:c r="Q182" s="28" t="str">
        <x:f>IF('Course_Master'!AD182="","",'Course_Master'!AD182)</x:f>
        <x:v>Public — NGF course permission</x:v>
      </x:c>
      <x:c r="R182" s="28" t="str">
        <x:f>IF('Course_Master'!AC182="","",'Course_Master'!AC182)</x:f>
        <x:v>Open</x:v>
      </x:c>
      <x:c r="S182" s="28" t="str">
        <x:f>IF('Course_Master'!Y182="","",'Course_Master'!Y182)</x:f>
        <x:v>https://www.golfcentrumdongen.nl/</x:v>
      </x:c>
      <x:c r="T182" s="28" t="b">
        <x:f>IF('Course_Master'!Z182="","",'Course_Master'!Z182)</x:f>
        <x:v>1</x:v>
      </x:c>
      <x:c r="U182" s="28" t="b">
        <x:f>IF('Course_Master'!AA182="","",'Course_Master'!AA182)</x:f>
        <x:v>1</x:v>
      </x:c>
      <x:c r="V182" s="28" t="str">
        <x:f>IF('Course_Master'!AL182="","",'Course_Master'!AL182)</x:f>
        <x:v>Verified — national register and exact BAG address</x:v>
      </x:c>
    </x:row>
    <x:row r="183">
      <x:c r="A183" s="28" t="str">
        <x:f>IF('Course_Master'!B183="","",'Course_Master'!B183)</x:f>
        <x:v>NL-0182</x:v>
      </x:c>
      <x:c r="B183" s="28" t="str">
        <x:f>IF('Course_Master'!C183="","",'Course_Master'!C183)</x:f>
        <x:v>Golfcentrum Eindhoven</x:v>
      </x:c>
      <x:c r="C183" s="28" t="str">
        <x:f>IF('Course_Master'!D183="","",'Course_Master'!D183)</x:f>
        <x:v>Golfcentrum Eindhoven</x:v>
      </x:c>
      <x:c r="D183" s="28" t="str">
        <x:f>IF('Course_Master'!E183="","",'Course_Master'!E183)</x:f>
        <x:v>Course</x:v>
      </x:c>
      <x:c r="E183" s="28" t="str">
        <x:f>IF('Course_Master'!F183="","",'Course_Master'!F183)</x:f>
        <x:v>Netherlands</x:v>
      </x:c>
      <x:c r="F183" s="28" t="str">
        <x:f>IF('Course_Master'!G183="","",'Course_Master'!G183)</x:f>
        <x:v>Noord-Brabant</x:v>
      </x:c>
      <x:c r="G183" s="28" t="str">
        <x:f>IF('Course_Master'!H183="","",'Course_Master'!H183)</x:f>
        <x:v>Eindhoven</x:v>
      </x:c>
      <x:c r="H183" s="28" t="str">
        <x:f>IF('Course_Master'!I183="","",'Course_Master'!I183)</x:f>
        <x:v>Eindhoven</x:v>
      </x:c>
      <x:c r="I183" s="28" t="str">
        <x:f>IF('Course_Master'!K183="","",'Course_Master'!K183)</x:f>
        <x:v>5631 BZ</x:v>
      </x:c>
      <x:c r="J183" s="34" t="n">
        <x:f>IF('Course_Master'!L183="","",'Course_Master'!L183)</x:f>
        <x:v>51.45701023</x:v>
      </x:c>
      <x:c r="K183" s="34" t="n">
        <x:f>IF('Course_Master'!M183="","",'Course_Master'!M183)</x:f>
        <x:v>5.49123951</x:v>
      </x:c>
      <x:c r="L183" s="28" t="n">
        <x:f>IF('Course_Master'!S183="","",'Course_Master'!S183)</x:f>
        <x:v>9</x:v>
      </x:c>
      <x:c r="M183" s="28" t="n">
        <x:f>IF('Course_Master'!T183="","",'Course_Master'!T183)</x:f>
        <x:v>27</x:v>
      </x:c>
      <x:c r="N183" s="28" t="n">
        <x:f>IF('Course_Master'!Q183="","",'Course_Master'!Q183)</x:f>
        <x:v>879</x:v>
      </x:c>
      <x:c r="O183" s="28" t="n">
        <x:f>IF('Course_Master'!R183="","",'Course_Master'!R183)</x:f>
        <x:v>804</x:v>
      </x:c>
      <x:c r="P183" s="28" t="str">
        <x:f>IF('Course_Master'!U183="","",'Course_Master'!U183)</x:f>
        <x:v>Par-3 course</x:v>
      </x:c>
      <x:c r="Q183" s="28" t="str">
        <x:f>IF('Course_Master'!AD183="","",'Course_Master'!AD183)</x:f>
        <x:v>Public — NGF course permission</x:v>
      </x:c>
      <x:c r="R183" s="28" t="str">
        <x:f>IF('Course_Master'!AC183="","",'Course_Master'!AC183)</x:f>
        <x:v>Open</x:v>
      </x:c>
      <x:c r="S183" s="28" t="str">
        <x:f>IF('Course_Master'!Y183="","",'Course_Master'!Y183)</x:f>
        <x:v>https://golfcentrumeindhoven.nl/</x:v>
      </x:c>
      <x:c r="T183" s="28" t="b">
        <x:f>IF('Course_Master'!Z183="","",'Course_Master'!Z183)</x:f>
        <x:v>1</x:v>
      </x:c>
      <x:c r="U183" s="28" t="b">
        <x:f>IF('Course_Master'!AA183="","",'Course_Master'!AA183)</x:f>
        <x:v>1</x:v>
      </x:c>
      <x:c r="V183" s="28" t="str">
        <x:f>IF('Course_Master'!AL183="","",'Course_Master'!AL183)</x:f>
        <x:v>Verified — national register and exact BAG address</x:v>
      </x:c>
    </x:row>
    <x:row r="184">
      <x:c r="A184" s="28" t="str">
        <x:f>IF('Course_Master'!B184="","",'Course_Master'!B184)</x:f>
        <x:v>NL-0183</x:v>
      </x:c>
      <x:c r="B184" s="28" t="str">
        <x:f>IF('Course_Master'!C184="","",'Course_Master'!C184)</x:f>
        <x:v>Golfcentrum Roosendaal</x:v>
      </x:c>
      <x:c r="C184" s="28" t="str">
        <x:f>IF('Course_Master'!D184="","",'Course_Master'!D184)</x:f>
        <x:v>Golfcentrum Roosendaal</x:v>
      </x:c>
      <x:c r="D184" s="28" t="str">
        <x:f>IF('Course_Master'!E184="","",'Course_Master'!E184)</x:f>
        <x:v>Course</x:v>
      </x:c>
      <x:c r="E184" s="28" t="str">
        <x:f>IF('Course_Master'!F184="","",'Course_Master'!F184)</x:f>
        <x:v>Netherlands</x:v>
      </x:c>
      <x:c r="F184" s="28" t="str">
        <x:f>IF('Course_Master'!G184="","",'Course_Master'!G184)</x:f>
        <x:v>Noord-Brabant</x:v>
      </x:c>
      <x:c r="G184" s="28" t="str">
        <x:f>IF('Course_Master'!H184="","",'Course_Master'!H184)</x:f>
        <x:v>Roosendaal</x:v>
      </x:c>
      <x:c r="H184" s="28" t="str">
        <x:f>IF('Course_Master'!I184="","",'Course_Master'!I184)</x:f>
        <x:v>Roosendaal</x:v>
      </x:c>
      <x:c r="I184" s="28" t="str">
        <x:f>IF('Course_Master'!K184="","",'Course_Master'!K184)</x:f>
        <x:v>4703 SZ</x:v>
      </x:c>
      <x:c r="J184" s="34" t="n">
        <x:f>IF('Course_Master'!L184="","",'Course_Master'!L184)</x:f>
        <x:v>51.53800478</x:v>
      </x:c>
      <x:c r="K184" s="34" t="n">
        <x:f>IF('Course_Master'!M184="","",'Course_Master'!M184)</x:f>
        <x:v>4.4354412</x:v>
      </x:c>
      <x:c r="L184" s="28" t="n">
        <x:f>IF('Course_Master'!S184="","",'Course_Master'!S184)</x:f>
        <x:v>9</x:v>
      </x:c>
      <x:c r="M184" s="28" t="n">
        <x:f>IF('Course_Master'!T184="","",'Course_Master'!T184)</x:f>
        <x:v>33</x:v>
      </x:c>
      <x:c r="N184" s="28" t="n">
        <x:f>IF('Course_Master'!Q184="","",'Course_Master'!Q184)</x:f>
        <x:v>2222</x:v>
      </x:c>
      <x:c r="O184" s="28" t="n">
        <x:f>IF('Course_Master'!R184="","",'Course_Master'!R184)</x:f>
        <x:v>2032</x:v>
      </x:c>
      <x:c r="P184" s="28" t="str">
        <x:f>IF('Course_Master'!U184="","",'Course_Master'!U184)</x:f>
        <x:v>Full-length course</x:v>
      </x:c>
      <x:c r="Q184" s="28" t="str">
        <x:f>IF('Course_Master'!AD184="","",'Course_Master'!AD184)</x:f>
        <x:v>Public — NGF course permission</x:v>
      </x:c>
      <x:c r="R184" s="28" t="str">
        <x:f>IF('Course_Master'!AC184="","",'Course_Master'!AC184)</x:f>
        <x:v>Open</x:v>
      </x:c>
      <x:c r="S184" s="28" t="str">
        <x:f>IF('Course_Master'!Y184="","",'Course_Master'!Y184)</x:f>
        <x:v>https://golfcentrumroosendaal.nl/</x:v>
      </x:c>
      <x:c r="T184" s="28" t="b">
        <x:f>IF('Course_Master'!Z184="","",'Course_Master'!Z184)</x:f>
        <x:v>1</x:v>
      </x:c>
      <x:c r="U184" s="28" t="b">
        <x:f>IF('Course_Master'!AA184="","",'Course_Master'!AA184)</x:f>
        <x:v>1</x:v>
      </x:c>
      <x:c r="V184" s="28" t="str">
        <x:f>IF('Course_Master'!AL184="","",'Course_Master'!AL184)</x:f>
        <x:v>Verified — national register and exact BAG address</x:v>
      </x:c>
    </x:row>
    <x:row r="185">
      <x:c r="A185" s="28" t="str">
        <x:f>IF('Course_Master'!B185="","",'Course_Master'!B185)</x:f>
        <x:v>NL-0184</x:v>
      </x:c>
      <x:c r="B185" s="28" t="str">
        <x:f>IF('Course_Master'!C185="","",'Course_Master'!C185)</x:f>
        <x:v>Golfclub De Dommel — Main Course</x:v>
      </x:c>
      <x:c r="C185" s="28" t="str">
        <x:f>IF('Course_Master'!D185="","",'Course_Master'!D185)</x:f>
        <x:v>Golfclub De Dommel</x:v>
      </x:c>
      <x:c r="D185" s="28" t="str">
        <x:f>IF('Course_Master'!E185="","",'Course_Master'!E185)</x:f>
        <x:v>Main Course</x:v>
      </x:c>
      <x:c r="E185" s="28" t="str">
        <x:f>IF('Course_Master'!F185="","",'Course_Master'!F185)</x:f>
        <x:v>Netherlands</x:v>
      </x:c>
      <x:c r="F185" s="28" t="str">
        <x:f>IF('Course_Master'!G185="","",'Course_Master'!G185)</x:f>
        <x:v>Noord-Brabant</x:v>
      </x:c>
      <x:c r="G185" s="28" t="str">
        <x:f>IF('Course_Master'!H185="","",'Course_Master'!H185)</x:f>
        <x:v>Sint-Michielsgestel</x:v>
      </x:c>
      <x:c r="H185" s="28" t="str">
        <x:f>IF('Course_Master'!I185="","",'Course_Master'!I185)</x:f>
        <x:v>Sint-Michielsgestel</x:v>
      </x:c>
      <x:c r="I185" s="28" t="str">
        <x:f>IF('Course_Master'!K185="","",'Course_Master'!K185)</x:f>
        <x:v>5271 NC</x:v>
      </x:c>
      <x:c r="J185" s="34" t="n">
        <x:f>IF('Course_Master'!L185="","",'Course_Master'!L185)</x:f>
        <x:v>51.62562127</x:v>
      </x:c>
      <x:c r="K185" s="34" t="n">
        <x:f>IF('Course_Master'!M185="","",'Course_Master'!M185)</x:f>
        <x:v>5.33923524</x:v>
      </x:c>
      <x:c r="L185" s="28" t="n">
        <x:f>IF('Course_Master'!S185="","",'Course_Master'!S185)</x:f>
        <x:v>18</x:v>
      </x:c>
      <x:c r="M185" s="28" t="n">
        <x:f>IF('Course_Master'!T185="","",'Course_Master'!T185)</x:f>
        <x:v>70</x:v>
      </x:c>
      <x:c r="N185" s="28" t="n">
        <x:f>IF('Course_Master'!Q185="","",'Course_Master'!Q185)</x:f>
        <x:v>5967</x:v>
      </x:c>
      <x:c r="O185" s="28" t="n">
        <x:f>IF('Course_Master'!R185="","",'Course_Master'!R185)</x:f>
        <x:v>5456</x:v>
      </x:c>
      <x:c r="P185" s="28" t="str">
        <x:f>IF('Course_Master'!U185="","",'Course_Master'!U185)</x:f>
        <x:v>Full-length course</x:v>
      </x:c>
      <x:c r="Q185" s="28" t="str">
        <x:f>IF('Course_Master'!AD185="","",'Course_Master'!AD185)</x:f>
        <x:v>Public — handicap 36 or lower</x:v>
      </x:c>
      <x:c r="R185" s="28" t="str">
        <x:f>IF('Course_Master'!AC185="","",'Course_Master'!AC185)</x:f>
        <x:v>Open</x:v>
      </x:c>
      <x:c r="S185" s="28" t="str">
        <x:f>IF('Course_Master'!Y185="","",'Course_Master'!Y185)</x:f>
        <x:v>https://gcdedommel.nl/</x:v>
      </x:c>
      <x:c r="T185" s="28" t="b">
        <x:f>IF('Course_Master'!Z185="","",'Course_Master'!Z185)</x:f>
        <x:v>1</x:v>
      </x:c>
      <x:c r="U185" s="28" t="b">
        <x:f>IF('Course_Master'!AA185="","",'Course_Master'!AA185)</x:f>
        <x:v>1</x:v>
      </x:c>
      <x:c r="V185" s="28" t="str">
        <x:f>IF('Course_Master'!AL185="","",'Course_Master'!AL185)</x:f>
        <x:v>Verified — national register and exact BAG address</x:v>
      </x:c>
    </x:row>
    <x:row r="186">
      <x:c r="A186" s="28" t="str">
        <x:f>IF('Course_Master'!B186="","",'Course_Master'!B186)</x:f>
        <x:v>NL-0185</x:v>
      </x:c>
      <x:c r="B186" s="28" t="str">
        <x:f>IF('Course_Master'!C186="","",'Course_Master'!C186)</x:f>
        <x:v>Golfclub Den Heikant</x:v>
      </x:c>
      <x:c r="C186" s="28" t="str">
        <x:f>IF('Course_Master'!D186="","",'Course_Master'!D186)</x:f>
        <x:v>Golfclub Den Heikant</x:v>
      </x:c>
      <x:c r="D186" s="28" t="str">
        <x:f>IF('Course_Master'!E186="","",'Course_Master'!E186)</x:f>
        <x:v>Course</x:v>
      </x:c>
      <x:c r="E186" s="28" t="str">
        <x:f>IF('Course_Master'!F186="","",'Course_Master'!F186)</x:f>
        <x:v>Netherlands</x:v>
      </x:c>
      <x:c r="F186" s="28" t="str">
        <x:f>IF('Course_Master'!G186="","",'Course_Master'!G186)</x:f>
        <x:v>Noord-Brabant</x:v>
      </x:c>
      <x:c r="G186" s="28" t="str">
        <x:f>IF('Course_Master'!H186="","",'Course_Master'!H186)</x:f>
        <x:v>Laarbeek</x:v>
      </x:c>
      <x:c r="H186" s="28" t="str">
        <x:f>IF('Course_Master'!I186="","",'Course_Master'!I186)</x:f>
        <x:v>Aarle-Rixtel</x:v>
      </x:c>
      <x:c r="I186" s="28" t="str">
        <x:f>IF('Course_Master'!K186="","",'Course_Master'!K186)</x:f>
        <x:v>5735 SP</x:v>
      </x:c>
      <x:c r="J186" s="34" t="n">
        <x:f>IF('Course_Master'!L186="","",'Course_Master'!L186)</x:f>
        <x:v>51.51229503</x:v>
      </x:c>
      <x:c r="K186" s="34" t="n">
        <x:f>IF('Course_Master'!M186="","",'Course_Master'!M186)</x:f>
        <x:v>5.68250056</x:v>
      </x:c>
      <x:c r="L186" s="28" t="n">
        <x:f>IF('Course_Master'!S186="","",'Course_Master'!S186)</x:f>
        <x:v>9</x:v>
      </x:c>
      <x:c r="M186" s="28" t="n">
        <x:f>IF('Course_Master'!T186="","",'Course_Master'!T186)</x:f>
        <x:v>27</x:v>
      </x:c>
      <x:c r="N186" s="28" t="n">
        <x:f>IF('Course_Master'!Q186="","",'Course_Master'!Q186)</x:f>
        <x:v>1077</x:v>
      </x:c>
      <x:c r="O186" s="28" t="n">
        <x:f>IF('Course_Master'!R186="","",'Course_Master'!R186)</x:f>
        <x:v>985</x:v>
      </x:c>
      <x:c r="P186" s="28" t="str">
        <x:f>IF('Course_Master'!U186="","",'Course_Master'!U186)</x:f>
        <x:v>Par-3 course</x:v>
      </x:c>
      <x:c r="Q186" s="28" t="str">
        <x:f>IF('Course_Master'!AD186="","",'Course_Master'!AD186)</x:f>
        <x:v>Public — NGF course permission</x:v>
      </x:c>
      <x:c r="R186" s="28" t="str">
        <x:f>IF('Course_Master'!AC186="","",'Course_Master'!AC186)</x:f>
        <x:v>Open</x:v>
      </x:c>
      <x:c r="S186" s="28" t="str">
        <x:f>IF('Course_Master'!Y186="","",'Course_Master'!Y186)</x:f>
        <x:v>https://golfclubdenheikant.nl/</x:v>
      </x:c>
      <x:c r="T186" s="28" t="b">
        <x:f>IF('Course_Master'!Z186="","",'Course_Master'!Z186)</x:f>
        <x:v>1</x:v>
      </x:c>
      <x:c r="U186" s="28" t="b">
        <x:f>IF('Course_Master'!AA186="","",'Course_Master'!AA186)</x:f>
        <x:v>1</x:v>
      </x:c>
      <x:c r="V186" s="28" t="str">
        <x:f>IF('Course_Master'!AL186="","",'Course_Master'!AL186)</x:f>
        <x:v>Verified — national register and exact BAG address</x:v>
      </x:c>
    </x:row>
    <x:row r="187">
      <x:c r="A187" s="28" t="str">
        <x:f>IF('Course_Master'!B187="","",'Course_Master'!B187)</x:f>
        <x:v>NL-0186</x:v>
      </x:c>
      <x:c r="B187" s="28" t="str">
        <x:f>IF('Course_Master'!C187="","",'Course_Master'!C187)</x:f>
        <x:v>Golfclub Landgoed Coudewater</x:v>
      </x:c>
      <x:c r="C187" s="28" t="str">
        <x:f>IF('Course_Master'!D187="","",'Course_Master'!D187)</x:f>
        <x:v>Golfclub Landgoed Coudewater</x:v>
      </x:c>
      <x:c r="D187" s="28" t="str">
        <x:f>IF('Course_Master'!E187="","",'Course_Master'!E187)</x:f>
        <x:v>Course</x:v>
      </x:c>
      <x:c r="E187" s="28" t="str">
        <x:f>IF('Course_Master'!F187="","",'Course_Master'!F187)</x:f>
        <x:v>Netherlands</x:v>
      </x:c>
      <x:c r="F187" s="28" t="str">
        <x:f>IF('Course_Master'!G187="","",'Course_Master'!G187)</x:f>
        <x:v>Noord-Brabant</x:v>
      </x:c>
      <x:c r="G187" s="28" t="str">
        <x:f>IF('Course_Master'!H187="","",'Course_Master'!H187)</x:f>
        <x:v>'s-Hertogenbosch</x:v>
      </x:c>
      <x:c r="H187" s="28" t="str">
        <x:f>IF('Course_Master'!I187="","",'Course_Master'!I187)</x:f>
        <x:v>Rosmalen</x:v>
      </x:c>
      <x:c r="I187" s="28" t="str">
        <x:f>IF('Course_Master'!K187="","",'Course_Master'!K187)</x:f>
        <x:v>5248 NS</x:v>
      </x:c>
      <x:c r="J187" s="34" t="n">
        <x:f>IF('Course_Master'!L187="","",'Course_Master'!L187)</x:f>
        <x:v>51.70268626</x:v>
      </x:c>
      <x:c r="K187" s="34" t="n">
        <x:f>IF('Course_Master'!M187="","",'Course_Master'!M187)</x:f>
        <x:v>5.37505616</x:v>
      </x:c>
      <x:c r="L187" s="28" t="n">
        <x:f>IF('Course_Master'!S187="","",'Course_Master'!S187)</x:f>
        <x:v>9</x:v>
      </x:c>
      <x:c r="M187" s="28" t="n">
        <x:f>IF('Course_Master'!T187="","",'Course_Master'!T187)</x:f>
        <x:v>35</x:v>
      </x:c>
      <x:c r="N187" s="28" t="n">
        <x:f>IF('Course_Master'!Q187="","",'Course_Master'!Q187)</x:f>
        <x:v>2902</x:v>
      </x:c>
      <x:c r="O187" s="28" t="n">
        <x:f>IF('Course_Master'!R187="","",'Course_Master'!R187)</x:f>
        <x:v>2654</x:v>
      </x:c>
      <x:c r="P187" s="28" t="str">
        <x:f>IF('Course_Master'!U187="","",'Course_Master'!U187)</x:f>
        <x:v>Full-length course</x:v>
      </x:c>
      <x:c r="Q187" s="28" t="str">
        <x:f>IF('Course_Master'!AD187="","",'Course_Master'!AD187)</x:f>
        <x:v>Public — handicap 54 or lower</x:v>
      </x:c>
      <x:c r="R187" s="28" t="str">
        <x:f>IF('Course_Master'!AC187="","",'Course_Master'!AC187)</x:f>
        <x:v>Open</x:v>
      </x:c>
      <x:c r="S187" s="28" t="str">
        <x:f>IF('Course_Master'!Y187="","",'Course_Master'!Y187)</x:f>
        <x:v>https://www.glc2020.nl/</x:v>
      </x:c>
      <x:c r="T187" s="28" t="b">
        <x:f>IF('Course_Master'!Z187="","",'Course_Master'!Z187)</x:f>
        <x:v>1</x:v>
      </x:c>
      <x:c r="U187" s="28" t="b">
        <x:f>IF('Course_Master'!AA187="","",'Course_Master'!AA187)</x:f>
        <x:v>1</x:v>
      </x:c>
      <x:c r="V187" s="28" t="str">
        <x:f>IF('Course_Master'!AL187="","",'Course_Master'!AL187)</x:f>
        <x:v>Verified — national register and exact BAG address</x:v>
      </x:c>
    </x:row>
    <x:row r="188">
      <x:c r="A188" s="28" t="str">
        <x:f>IF('Course_Master'!B188="","",'Course_Master'!B188)</x:f>
        <x:v>NL-0187</x:v>
      </x:c>
      <x:c r="B188" s="28" t="str">
        <x:f>IF('Course_Master'!C188="","",'Course_Master'!C188)</x:f>
        <x:v>Golfclub Landgoed Nieuwkerk</x:v>
      </x:c>
      <x:c r="C188" s="28" t="str">
        <x:f>IF('Course_Master'!D188="","",'Course_Master'!D188)</x:f>
        <x:v>Golfclub Landgoed Nieuwkerk</x:v>
      </x:c>
      <x:c r="D188" s="28" t="str">
        <x:f>IF('Course_Master'!E188="","",'Course_Master'!E188)</x:f>
        <x:v>Course</x:v>
      </x:c>
      <x:c r="E188" s="28" t="str">
        <x:f>IF('Course_Master'!F188="","",'Course_Master'!F188)</x:f>
        <x:v>Netherlands</x:v>
      </x:c>
      <x:c r="F188" s="28" t="str">
        <x:f>IF('Course_Master'!G188="","",'Course_Master'!G188)</x:f>
        <x:v>Noord-Brabant</x:v>
      </x:c>
      <x:c r="G188" s="28" t="str">
        <x:f>IF('Course_Master'!H188="","",'Course_Master'!H188)</x:f>
        <x:v>Goirle</x:v>
      </x:c>
      <x:c r="H188" s="28" t="str">
        <x:f>IF('Course_Master'!I188="","",'Course_Master'!I188)</x:f>
        <x:v>Goirle</x:v>
      </x:c>
      <x:c r="I188" s="28" t="str">
        <x:f>IF('Course_Master'!K188="","",'Course_Master'!K188)</x:f>
        <x:v>5051 DW</x:v>
      </x:c>
      <x:c r="J188" s="34" t="n">
        <x:f>IF('Course_Master'!L188="","",'Course_Master'!L188)</x:f>
        <x:v>51.493946</x:v>
      </x:c>
      <x:c r="K188" s="34" t="n">
        <x:f>IF('Course_Master'!M188="","",'Course_Master'!M188)</x:f>
        <x:v>5.03531436</x:v>
      </x:c>
      <x:c r="L188" s="28" t="n">
        <x:f>IF('Course_Master'!S188="","",'Course_Master'!S188)</x:f>
        <x:v>9</x:v>
      </x:c>
      <x:c r="M188" s="28" t="n">
        <x:f>IF('Course_Master'!T188="","",'Course_Master'!T188)</x:f>
        <x:v>36</x:v>
      </x:c>
      <x:c r="N188" s="28" t="n">
        <x:f>IF('Course_Master'!Q188="","",'Course_Master'!Q188)</x:f>
        <x:v>2978</x:v>
      </x:c>
      <x:c r="O188" s="28" t="n">
        <x:f>IF('Course_Master'!R188="","",'Course_Master'!R188)</x:f>
        <x:v>2723</x:v>
      </x:c>
      <x:c r="P188" s="28" t="str">
        <x:f>IF('Course_Master'!U188="","",'Course_Master'!U188)</x:f>
        <x:v>Full-length course</x:v>
      </x:c>
      <x:c r="Q188" s="28" t="str">
        <x:f>IF('Course_Master'!AD188="","",'Course_Master'!AD188)</x:f>
        <x:v>Public — handicap 54 or lower</x:v>
      </x:c>
      <x:c r="R188" s="28" t="str">
        <x:f>IF('Course_Master'!AC188="","",'Course_Master'!AC188)</x:f>
        <x:v>Open</x:v>
      </x:c>
      <x:c r="S188" s="28" t="str">
        <x:f>IF('Course_Master'!Y188="","",'Course_Master'!Y188)</x:f>
        <x:v>https://golfclublandgoednieuwkerk.nl/</x:v>
      </x:c>
      <x:c r="T188" s="28" t="b">
        <x:f>IF('Course_Master'!Z188="","",'Course_Master'!Z188)</x:f>
        <x:v>1</x:v>
      </x:c>
      <x:c r="U188" s="28" t="b">
        <x:f>IF('Course_Master'!AA188="","",'Course_Master'!AA188)</x:f>
        <x:v>1</x:v>
      </x:c>
      <x:c r="V188" s="28" t="str">
        <x:f>IF('Course_Master'!AL188="","",'Course_Master'!AL188)</x:f>
        <x:v>Verified — national register and exact BAG address</x:v>
      </x:c>
    </x:row>
    <x:row r="189">
      <x:c r="A189" s="28" t="str">
        <x:f>IF('Course_Master'!B189="","",'Course_Master'!B189)</x:f>
        <x:v>NL-0188</x:v>
      </x:c>
      <x:c r="B189" s="28" t="str">
        <x:f>IF('Course_Master'!C189="","",'Course_Master'!C189)</x:f>
        <x:v>Golfclub Midden-Brabant — Main Course</x:v>
      </x:c>
      <x:c r="C189" s="28" t="str">
        <x:f>IF('Course_Master'!D189="","",'Course_Master'!D189)</x:f>
        <x:v>Golfclub Midden-Brabant</x:v>
      </x:c>
      <x:c r="D189" s="28" t="str">
        <x:f>IF('Course_Master'!E189="","",'Course_Master'!E189)</x:f>
        <x:v>Main Course</x:v>
      </x:c>
      <x:c r="E189" s="28" t="str">
        <x:f>IF('Course_Master'!F189="","",'Course_Master'!F189)</x:f>
        <x:v>Netherlands</x:v>
      </x:c>
      <x:c r="F189" s="28" t="str">
        <x:f>IF('Course_Master'!G189="","",'Course_Master'!G189)</x:f>
        <x:v>Noord-Brabant</x:v>
      </x:c>
      <x:c r="G189" s="28" t="str">
        <x:f>IF('Course_Master'!H189="","",'Course_Master'!H189)</x:f>
        <x:v>Hilvarenbeek</x:v>
      </x:c>
      <x:c r="H189" s="28" t="str">
        <x:f>IF('Course_Master'!I189="","",'Course_Master'!I189)</x:f>
        <x:v>Esbeek</x:v>
      </x:c>
      <x:c r="I189" s="28" t="str">
        <x:f>IF('Course_Master'!K189="","",'Course_Master'!K189)</x:f>
        <x:v>5085 ND</x:v>
      </x:c>
      <x:c r="J189" s="34" t="n">
        <x:f>IF('Course_Master'!L189="","",'Course_Master'!L189)</x:f>
        <x:v>51.44818499</x:v>
      </x:c>
      <x:c r="K189" s="34" t="n">
        <x:f>IF('Course_Master'!M189="","",'Course_Master'!M189)</x:f>
        <x:v>5.14268216</x:v>
      </x:c>
      <x:c r="L189" s="28" t="n">
        <x:f>IF('Course_Master'!S189="","",'Course_Master'!S189)</x:f>
        <x:v>18</x:v>
      </x:c>
      <x:c r="M189" s="28" t="n">
        <x:f>IF('Course_Master'!T189="","",'Course_Master'!T189)</x:f>
        <x:v>72</x:v>
      </x:c>
      <x:c r="N189" s="28" t="n">
        <x:f>IF('Course_Master'!Q189="","",'Course_Master'!Q189)</x:f>
        <x:v>6425</x:v>
      </x:c>
      <x:c r="O189" s="28" t="n">
        <x:f>IF('Course_Master'!R189="","",'Course_Master'!R189)</x:f>
        <x:v>5875</x:v>
      </x:c>
      <x:c r="P189" s="28" t="str">
        <x:f>IF('Course_Master'!U189="","",'Course_Master'!U189)</x:f>
        <x:v>Full-length course</x:v>
      </x:c>
      <x:c r="Q189" s="28" t="str">
        <x:f>IF('Course_Master'!AD189="","",'Course_Master'!AD189)</x:f>
        <x:v>Public — NGF course permission</x:v>
      </x:c>
      <x:c r="R189" s="28" t="str">
        <x:f>IF('Course_Master'!AC189="","",'Course_Master'!AC189)</x:f>
        <x:v>Open</x:v>
      </x:c>
      <x:c r="S189" s="28" t="str">
        <x:f>IF('Course_Master'!Y189="","",'Course_Master'!Y189)</x:f>
        <x:v>https://www.golfmiddenbrabant.nl/</x:v>
      </x:c>
      <x:c r="T189" s="28" t="b">
        <x:f>IF('Course_Master'!Z189="","",'Course_Master'!Z189)</x:f>
        <x:v>1</x:v>
      </x:c>
      <x:c r="U189" s="28" t="b">
        <x:f>IF('Course_Master'!AA189="","",'Course_Master'!AA189)</x:f>
        <x:v>1</x:v>
      </x:c>
      <x:c r="V189" s="28" t="str">
        <x:f>IF('Course_Master'!AL189="","",'Course_Master'!AL189)</x:f>
        <x:v>Verified — national register and exact BAG address</x:v>
      </x:c>
    </x:row>
    <x:row r="190">
      <x:c r="A190" s="28" t="str">
        <x:f>IF('Course_Master'!B190="","",'Course_Master'!B190)</x:f>
        <x:v>NL-0189</x:v>
      </x:c>
      <x:c r="B190" s="28" t="str">
        <x:f>IF('Course_Master'!C190="","",'Course_Master'!C190)</x:f>
        <x:v>Golfclub Princenbosch — A</x:v>
      </x:c>
      <x:c r="C190" s="28" t="str">
        <x:f>IF('Course_Master'!D190="","",'Course_Master'!D190)</x:f>
        <x:v>Golfclub Princenbosch</x:v>
      </x:c>
      <x:c r="D190" s="28" t="str">
        <x:f>IF('Course_Master'!E190="","",'Course_Master'!E190)</x:f>
        <x:v>A</x:v>
      </x:c>
      <x:c r="E190" s="28" t="str">
        <x:f>IF('Course_Master'!F190="","",'Course_Master'!F190)</x:f>
        <x:v>Netherlands</x:v>
      </x:c>
      <x:c r="F190" s="28" t="str">
        <x:f>IF('Course_Master'!G190="","",'Course_Master'!G190)</x:f>
        <x:v>Noord-Brabant</x:v>
      </x:c>
      <x:c r="G190" s="28" t="str">
        <x:f>IF('Course_Master'!H190="","",'Course_Master'!H190)</x:f>
        <x:v>Gilze en Rijen</x:v>
      </x:c>
      <x:c r="H190" s="28" t="str">
        <x:f>IF('Course_Master'!I190="","",'Course_Master'!I190)</x:f>
        <x:v>Molenschot</x:v>
      </x:c>
      <x:c r="I190" s="28" t="str">
        <x:f>IF('Course_Master'!K190="","",'Course_Master'!K190)</x:f>
        <x:v>5124 PX</x:v>
      </x:c>
      <x:c r="J190" s="34" t="n">
        <x:f>IF('Course_Master'!L190="","",'Course_Master'!L190)</x:f>
        <x:v>51.54807386</x:v>
      </x:c>
      <x:c r="K190" s="34" t="n">
        <x:f>IF('Course_Master'!M190="","",'Course_Master'!M190)</x:f>
        <x:v>4.87355936</x:v>
      </x:c>
      <x:c r="L190" s="28" t="n">
        <x:f>IF('Course_Master'!S190="","",'Course_Master'!S190)</x:f>
        <x:v>9</x:v>
      </x:c>
      <x:c r="M190" s="28" t="n">
        <x:f>IF('Course_Master'!T190="","",'Course_Master'!T190)</x:f>
        <x:v>35</x:v>
      </x:c>
      <x:c r="N190" s="28" t="n">
        <x:f>IF('Course_Master'!Q190="","",'Course_Master'!Q190)</x:f>
        <x:v>3065</x:v>
      </x:c>
      <x:c r="O190" s="28" t="n">
        <x:f>IF('Course_Master'!R190="","",'Course_Master'!R190)</x:f>
        <x:v>2803</x:v>
      </x:c>
      <x:c r="P190" s="28" t="str">
        <x:f>IF('Course_Master'!U190="","",'Course_Master'!U190)</x:f>
        <x:v>Full-length course</x:v>
      </x:c>
      <x:c r="Q190" s="28" t="str">
        <x:f>IF('Course_Master'!AD190="","",'Course_Master'!AD190)</x:f>
        <x:v>Public — handicap 54 or lower</x:v>
      </x:c>
      <x:c r="R190" s="28" t="str">
        <x:f>IF('Course_Master'!AC190="","",'Course_Master'!AC190)</x:f>
        <x:v>Open</x:v>
      </x:c>
      <x:c r="S190" s="28" t="str">
        <x:f>IF('Course_Master'!Y190="","",'Course_Master'!Y190)</x:f>
        <x:v>https://princenbosch.nl/</x:v>
      </x:c>
      <x:c r="T190" s="28" t="b">
        <x:f>IF('Course_Master'!Z190="","",'Course_Master'!Z190)</x:f>
        <x:v>1</x:v>
      </x:c>
      <x:c r="U190" s="28" t="b">
        <x:f>IF('Course_Master'!AA190="","",'Course_Master'!AA190)</x:f>
        <x:v>1</x:v>
      </x:c>
      <x:c r="V190" s="28" t="str">
        <x:f>IF('Course_Master'!AL190="","",'Course_Master'!AL190)</x:f>
        <x:v>Verified — national register and exact BAG address</x:v>
      </x:c>
    </x:row>
    <x:row r="191">
      <x:c r="A191" s="28" t="str">
        <x:f>IF('Course_Master'!B191="","",'Course_Master'!B191)</x:f>
        <x:v>NL-0190</x:v>
      </x:c>
      <x:c r="B191" s="28" t="str">
        <x:f>IF('Course_Master'!C191="","",'Course_Master'!C191)</x:f>
        <x:v>Golfclub Princenbosch — B</x:v>
      </x:c>
      <x:c r="C191" s="28" t="str">
        <x:f>IF('Course_Master'!D191="","",'Course_Master'!D191)</x:f>
        <x:v>Golfclub Princenbosch</x:v>
      </x:c>
      <x:c r="D191" s="28" t="str">
        <x:f>IF('Course_Master'!E191="","",'Course_Master'!E191)</x:f>
        <x:v>B</x:v>
      </x:c>
      <x:c r="E191" s="28" t="str">
        <x:f>IF('Course_Master'!F191="","",'Course_Master'!F191)</x:f>
        <x:v>Netherlands</x:v>
      </x:c>
      <x:c r="F191" s="28" t="str">
        <x:f>IF('Course_Master'!G191="","",'Course_Master'!G191)</x:f>
        <x:v>Noord-Brabant</x:v>
      </x:c>
      <x:c r="G191" s="28" t="str">
        <x:f>IF('Course_Master'!H191="","",'Course_Master'!H191)</x:f>
        <x:v>Gilze en Rijen</x:v>
      </x:c>
      <x:c r="H191" s="28" t="str">
        <x:f>IF('Course_Master'!I191="","",'Course_Master'!I191)</x:f>
        <x:v>Molenschot</x:v>
      </x:c>
      <x:c r="I191" s="28" t="str">
        <x:f>IF('Course_Master'!K191="","",'Course_Master'!K191)</x:f>
        <x:v>5124 PX</x:v>
      </x:c>
      <x:c r="J191" s="34" t="n">
        <x:f>IF('Course_Master'!L191="","",'Course_Master'!L191)</x:f>
        <x:v>51.54807386</x:v>
      </x:c>
      <x:c r="K191" s="34" t="n">
        <x:f>IF('Course_Master'!M191="","",'Course_Master'!M191)</x:f>
        <x:v>4.87355936</x:v>
      </x:c>
      <x:c r="L191" s="28" t="n">
        <x:f>IF('Course_Master'!S191="","",'Course_Master'!S191)</x:f>
        <x:v>9</x:v>
      </x:c>
      <x:c r="M191" s="28" t="n">
        <x:f>IF('Course_Master'!T191="","",'Course_Master'!T191)</x:f>
        <x:v>35</x:v>
      </x:c>
      <x:c r="N191" s="28" t="n">
        <x:f>IF('Course_Master'!Q191="","",'Course_Master'!Q191)</x:f>
        <x:v>2987</x:v>
      </x:c>
      <x:c r="O191" s="28" t="n">
        <x:f>IF('Course_Master'!R191="","",'Course_Master'!R191)</x:f>
        <x:v>2731</x:v>
      </x:c>
      <x:c r="P191" s="28" t="str">
        <x:f>IF('Course_Master'!U191="","",'Course_Master'!U191)</x:f>
        <x:v>Full-length course</x:v>
      </x:c>
      <x:c r="Q191" s="28" t="str">
        <x:f>IF('Course_Master'!AD191="","",'Course_Master'!AD191)</x:f>
        <x:v>Public — handicap 54 or lower</x:v>
      </x:c>
      <x:c r="R191" s="28" t="str">
        <x:f>IF('Course_Master'!AC191="","",'Course_Master'!AC191)</x:f>
        <x:v>Open</x:v>
      </x:c>
      <x:c r="S191" s="28" t="str">
        <x:f>IF('Course_Master'!Y191="","",'Course_Master'!Y191)</x:f>
        <x:v>https://princenbosch.nl/</x:v>
      </x:c>
      <x:c r="T191" s="28" t="b">
        <x:f>IF('Course_Master'!Z191="","",'Course_Master'!Z191)</x:f>
        <x:v>1</x:v>
      </x:c>
      <x:c r="U191" s="28" t="b">
        <x:f>IF('Course_Master'!AA191="","",'Course_Master'!AA191)</x:f>
        <x:v>1</x:v>
      </x:c>
      <x:c r="V191" s="28" t="str">
        <x:f>IF('Course_Master'!AL191="","",'Course_Master'!AL191)</x:f>
        <x:v>Verified — national register and exact BAG address</x:v>
      </x:c>
    </x:row>
    <x:row r="192">
      <x:c r="A192" s="28" t="str">
        <x:f>IF('Course_Master'!B192="","",'Course_Master'!B192)</x:f>
        <x:v>NL-0191</x:v>
      </x:c>
      <x:c r="B192" s="28" t="str">
        <x:f>IF('Course_Master'!C192="","",'Course_Master'!C192)</x:f>
        <x:v>Golfclub Princenbosch — C</x:v>
      </x:c>
      <x:c r="C192" s="28" t="str">
        <x:f>IF('Course_Master'!D192="","",'Course_Master'!D192)</x:f>
        <x:v>Golfclub Princenbosch</x:v>
      </x:c>
      <x:c r="D192" s="28" t="str">
        <x:f>IF('Course_Master'!E192="","",'Course_Master'!E192)</x:f>
        <x:v>C</x:v>
      </x:c>
      <x:c r="E192" s="28" t="str">
        <x:f>IF('Course_Master'!F192="","",'Course_Master'!F192)</x:f>
        <x:v>Netherlands</x:v>
      </x:c>
      <x:c r="F192" s="28" t="str">
        <x:f>IF('Course_Master'!G192="","",'Course_Master'!G192)</x:f>
        <x:v>Noord-Brabant</x:v>
      </x:c>
      <x:c r="G192" s="28" t="str">
        <x:f>IF('Course_Master'!H192="","",'Course_Master'!H192)</x:f>
        <x:v>Gilze en Rijen</x:v>
      </x:c>
      <x:c r="H192" s="28" t="str">
        <x:f>IF('Course_Master'!I192="","",'Course_Master'!I192)</x:f>
        <x:v>Molenschot</x:v>
      </x:c>
      <x:c r="I192" s="28" t="str">
        <x:f>IF('Course_Master'!K192="","",'Course_Master'!K192)</x:f>
        <x:v>5124 PX</x:v>
      </x:c>
      <x:c r="J192" s="34" t="n">
        <x:f>IF('Course_Master'!L192="","",'Course_Master'!L192)</x:f>
        <x:v>51.54807386</x:v>
      </x:c>
      <x:c r="K192" s="34" t="n">
        <x:f>IF('Course_Master'!M192="","",'Course_Master'!M192)</x:f>
        <x:v>4.87355936</x:v>
      </x:c>
      <x:c r="L192" s="28" t="n">
        <x:f>IF('Course_Master'!S192="","",'Course_Master'!S192)</x:f>
        <x:v>9</x:v>
      </x:c>
      <x:c r="M192" s="28" t="n">
        <x:f>IF('Course_Master'!T192="","",'Course_Master'!T192)</x:f>
        <x:v>37</x:v>
      </x:c>
      <x:c r="N192" s="28" t="n">
        <x:f>IF('Course_Master'!Q192="","",'Course_Master'!Q192)</x:f>
        <x:v>3473</x:v>
      </x:c>
      <x:c r="O192" s="28" t="n">
        <x:f>IF('Course_Master'!R192="","",'Course_Master'!R192)</x:f>
        <x:v>3176</x:v>
      </x:c>
      <x:c r="P192" s="28" t="str">
        <x:f>IF('Course_Master'!U192="","",'Course_Master'!U192)</x:f>
        <x:v>Full-length course</x:v>
      </x:c>
      <x:c r="Q192" s="28" t="str">
        <x:f>IF('Course_Master'!AD192="","",'Course_Master'!AD192)</x:f>
        <x:v>Public — handicap 54 or lower</x:v>
      </x:c>
      <x:c r="R192" s="28" t="str">
        <x:f>IF('Course_Master'!AC192="","",'Course_Master'!AC192)</x:f>
        <x:v>Open</x:v>
      </x:c>
      <x:c r="S192" s="28" t="str">
        <x:f>IF('Course_Master'!Y192="","",'Course_Master'!Y192)</x:f>
        <x:v>https://princenbosch.nl/</x:v>
      </x:c>
      <x:c r="T192" s="28" t="b">
        <x:f>IF('Course_Master'!Z192="","",'Course_Master'!Z192)</x:f>
        <x:v>1</x:v>
      </x:c>
      <x:c r="U192" s="28" t="b">
        <x:f>IF('Course_Master'!AA192="","",'Course_Master'!AA192)</x:f>
        <x:v>1</x:v>
      </x:c>
      <x:c r="V192" s="28" t="str">
        <x:f>IF('Course_Master'!AL192="","",'Course_Master'!AL192)</x:f>
        <x:v>Verified — national register and exact BAG address</x:v>
      </x:c>
    </x:row>
    <x:row r="193">
      <x:c r="A193" s="28" t="str">
        <x:f>IF('Course_Master'!B193="","",'Course_Master'!B193)</x:f>
        <x:v>NL-0192</x:v>
      </x:c>
      <x:c r="B193" s="28" t="str">
        <x:f>IF('Course_Master'!C193="","",'Course_Master'!C193)</x:f>
        <x:v>Golfclub Princenbosch — Par-3 Course</x:v>
      </x:c>
      <x:c r="C193" s="28" t="str">
        <x:f>IF('Course_Master'!D193="","",'Course_Master'!D193)</x:f>
        <x:v>Golfclub Princenbosch</x:v>
      </x:c>
      <x:c r="D193" s="28" t="str">
        <x:f>IF('Course_Master'!E193="","",'Course_Master'!E193)</x:f>
        <x:v>Par-3 Course</x:v>
      </x:c>
      <x:c r="E193" s="28" t="str">
        <x:f>IF('Course_Master'!F193="","",'Course_Master'!F193)</x:f>
        <x:v>Netherlands</x:v>
      </x:c>
      <x:c r="F193" s="28" t="str">
        <x:f>IF('Course_Master'!G193="","",'Course_Master'!G193)</x:f>
        <x:v>Noord-Brabant</x:v>
      </x:c>
      <x:c r="G193" s="28" t="str">
        <x:f>IF('Course_Master'!H193="","",'Course_Master'!H193)</x:f>
        <x:v>Gilze en Rijen</x:v>
      </x:c>
      <x:c r="H193" s="28" t="str">
        <x:f>IF('Course_Master'!I193="","",'Course_Master'!I193)</x:f>
        <x:v>Molenschot</x:v>
      </x:c>
      <x:c r="I193" s="28" t="str">
        <x:f>IF('Course_Master'!K193="","",'Course_Master'!K193)</x:f>
        <x:v>5124 PX</x:v>
      </x:c>
      <x:c r="J193" s="34" t="n">
        <x:f>IF('Course_Master'!L193="","",'Course_Master'!L193)</x:f>
        <x:v>51.54807386</x:v>
      </x:c>
      <x:c r="K193" s="34" t="n">
        <x:f>IF('Course_Master'!M193="","",'Course_Master'!M193)</x:f>
        <x:v>4.87355936</x:v>
      </x:c>
      <x:c r="L193" s="28" t="n">
        <x:f>IF('Course_Master'!S193="","",'Course_Master'!S193)</x:f>
        <x:v>9</x:v>
      </x:c>
      <x:c r="M193" s="28" t="n">
        <x:f>IF('Course_Master'!T193="","",'Course_Master'!T193)</x:f>
        <x:v>27</x:v>
      </x:c>
      <x:c r="N193" s="28" t="n">
        <x:f>IF('Course_Master'!Q193="","",'Course_Master'!Q193)</x:f>
        <x:v>1016</x:v>
      </x:c>
      <x:c r="O193" s="28" t="n">
        <x:f>IF('Course_Master'!R193="","",'Course_Master'!R193)</x:f>
        <x:v>929</x:v>
      </x:c>
      <x:c r="P193" s="28" t="str">
        <x:f>IF('Course_Master'!U193="","",'Course_Master'!U193)</x:f>
        <x:v>Par-3 course</x:v>
      </x:c>
      <x:c r="Q193" s="28" t="str">
        <x:f>IF('Course_Master'!AD193="","",'Course_Master'!AD193)</x:f>
        <x:v>Public — NGF course permission</x:v>
      </x:c>
      <x:c r="R193" s="28" t="str">
        <x:f>IF('Course_Master'!AC193="","",'Course_Master'!AC193)</x:f>
        <x:v>Open</x:v>
      </x:c>
      <x:c r="S193" s="28" t="str">
        <x:f>IF('Course_Master'!Y193="","",'Course_Master'!Y193)</x:f>
        <x:v>https://princenbosch.nl/</x:v>
      </x:c>
      <x:c r="T193" s="28" t="b">
        <x:f>IF('Course_Master'!Z193="","",'Course_Master'!Z193)</x:f>
        <x:v>1</x:v>
      </x:c>
      <x:c r="U193" s="28" t="b">
        <x:f>IF('Course_Master'!AA193="","",'Course_Master'!AA193)</x:f>
        <x:v>1</x:v>
      </x:c>
      <x:c r="V193" s="28" t="str">
        <x:f>IF('Course_Master'!AL193="","",'Course_Master'!AL193)</x:f>
        <x:v>Verified — national register and exact BAG address</x:v>
      </x:c>
    </x:row>
    <x:row r="194">
      <x:c r="A194" s="28" t="str">
        <x:f>IF('Course_Master'!B194="","",'Course_Master'!B194)</x:f>
        <x:v>NL-0193</x:v>
      </x:c>
      <x:c r="B194" s="28" t="str">
        <x:f>IF('Course_Master'!C194="","",'Course_Master'!C194)</x:f>
        <x:v>Golfclub Riel</x:v>
      </x:c>
      <x:c r="C194" s="28" t="str">
        <x:f>IF('Course_Master'!D194="","",'Course_Master'!D194)</x:f>
        <x:v>Golfclub Riel</x:v>
      </x:c>
      <x:c r="D194" s="28" t="str">
        <x:f>IF('Course_Master'!E194="","",'Course_Master'!E194)</x:f>
        <x:v>Course</x:v>
      </x:c>
      <x:c r="E194" s="28" t="str">
        <x:f>IF('Course_Master'!F194="","",'Course_Master'!F194)</x:f>
        <x:v>Netherlands</x:v>
      </x:c>
      <x:c r="F194" s="28" t="str">
        <x:f>IF('Course_Master'!G194="","",'Course_Master'!G194)</x:f>
        <x:v>Noord-Brabant</x:v>
      </x:c>
      <x:c r="G194" s="28" t="str">
        <x:f>IF('Course_Master'!H194="","",'Course_Master'!H194)</x:f>
        <x:v>Geldrop-Mierlo</x:v>
      </x:c>
      <x:c r="H194" s="28" t="str">
        <x:f>IF('Course_Master'!I194="","",'Course_Master'!I194)</x:f>
        <x:v>Geldrop</x:v>
      </x:c>
      <x:c r="I194" s="28" t="str">
        <x:f>IF('Course_Master'!K194="","",'Course_Master'!K194)</x:f>
        <x:v>5661 MA</x:v>
      </x:c>
      <x:c r="J194" s="34" t="n">
        <x:f>IF('Course_Master'!L194="","",'Course_Master'!L194)</x:f>
        <x:v>51.42271273</x:v>
      </x:c>
      <x:c r="K194" s="34" t="n">
        <x:f>IF('Course_Master'!M194="","",'Course_Master'!M194)</x:f>
        <x:v>5.53525734</x:v>
      </x:c>
      <x:c r="L194" s="28" t="n">
        <x:f>IF('Course_Master'!S194="","",'Course_Master'!S194)</x:f>
        <x:v>9</x:v>
      </x:c>
      <x:c r="M194" s="28" t="n">
        <x:f>IF('Course_Master'!T194="","",'Course_Master'!T194)</x:f>
        <x:v>31</x:v>
      </x:c>
      <x:c r="N194" s="28" t="n">
        <x:f>IF('Course_Master'!Q194="","",'Course_Master'!Q194)</x:f>
        <x:v>2002</x:v>
      </x:c>
      <x:c r="O194" s="28" t="n">
        <x:f>IF('Course_Master'!R194="","",'Course_Master'!R194)</x:f>
        <x:v>1831</x:v>
      </x:c>
      <x:c r="P194" s="28" t="str">
        <x:f>IF('Course_Master'!U194="","",'Course_Master'!U194)</x:f>
        <x:v>Par-3/4 course</x:v>
      </x:c>
      <x:c r="Q194" s="28" t="str">
        <x:f>IF('Course_Master'!AD194="","",'Course_Master'!AD194)</x:f>
        <x:v>Public — handicap 54 or lower</x:v>
      </x:c>
      <x:c r="R194" s="28" t="str">
        <x:f>IF('Course_Master'!AC194="","",'Course_Master'!AC194)</x:f>
        <x:v>Open</x:v>
      </x:c>
      <x:c r="S194" s="28" t="str">
        <x:f>IF('Course_Master'!Y194="","",'Course_Master'!Y194)</x:f>
        <x:v>https://gcriel.nl/</x:v>
      </x:c>
      <x:c r="T194" s="28" t="b">
        <x:f>IF('Course_Master'!Z194="","",'Course_Master'!Z194)</x:f>
        <x:v>1</x:v>
      </x:c>
      <x:c r="U194" s="28" t="b">
        <x:f>IF('Course_Master'!AA194="","",'Course_Master'!AA194)</x:f>
        <x:v>1</x:v>
      </x:c>
      <x:c r="V194" s="28" t="str">
        <x:f>IF('Course_Master'!AL194="","",'Course_Master'!AL194)</x:f>
        <x:v>Verified — national register and exact BAG address</x:v>
      </x:c>
    </x:row>
    <x:row r="195">
      <x:c r="A195" s="28" t="str">
        <x:f>IF('Course_Master'!B195="","",'Course_Master'!B195)</x:f>
        <x:v>NL-0194</x:v>
      </x:c>
      <x:c r="B195" s="28" t="str">
        <x:f>IF('Course_Master'!C195="","",'Course_Master'!C195)</x:f>
        <x:v>Golfclub Son</x:v>
      </x:c>
      <x:c r="C195" s="28" t="str">
        <x:f>IF('Course_Master'!D195="","",'Course_Master'!D195)</x:f>
        <x:v>Golfclub Son</x:v>
      </x:c>
      <x:c r="D195" s="28" t="str">
        <x:f>IF('Course_Master'!E195="","",'Course_Master'!E195)</x:f>
        <x:v>Course</x:v>
      </x:c>
      <x:c r="E195" s="28" t="str">
        <x:f>IF('Course_Master'!F195="","",'Course_Master'!F195)</x:f>
        <x:v>Netherlands</x:v>
      </x:c>
      <x:c r="F195" s="28" t="str">
        <x:f>IF('Course_Master'!G195="","",'Course_Master'!G195)</x:f>
        <x:v>Noord-Brabant</x:v>
      </x:c>
      <x:c r="G195" s="28" t="str">
        <x:f>IF('Course_Master'!H195="","",'Course_Master'!H195)</x:f>
        <x:v>Son en Breugel</x:v>
      </x:c>
      <x:c r="H195" s="28" t="str">
        <x:f>IF('Course_Master'!I195="","",'Course_Master'!I195)</x:f>
        <x:v>Son en Breugel</x:v>
      </x:c>
      <x:c r="I195" s="28" t="str">
        <x:f>IF('Course_Master'!K195="","",'Course_Master'!K195)</x:f>
        <x:v>5691 PA</x:v>
      </x:c>
      <x:c r="J195" s="34" t="n">
        <x:f>IF('Course_Master'!L195="","",'Course_Master'!L195)</x:f>
        <x:v>51.52391144</x:v>
      </x:c>
      <x:c r="K195" s="34" t="n">
        <x:f>IF('Course_Master'!M195="","",'Course_Master'!M195)</x:f>
        <x:v>5.4884411</x:v>
      </x:c>
      <x:c r="L195" s="28" t="n">
        <x:f>IF('Course_Master'!S195="","",'Course_Master'!S195)</x:f>
        <x:v>9</x:v>
      </x:c>
      <x:c r="M195" s="28" t="n">
        <x:f>IF('Course_Master'!T195="","",'Course_Master'!T195)</x:f>
        <x:v>28</x:v>
      </x:c>
      <x:c r="N195" s="28" t="n">
        <x:f>IF('Course_Master'!Q195="","",'Course_Master'!Q195)</x:f>
        <x:v>1287</x:v>
      </x:c>
      <x:c r="O195" s="28" t="n">
        <x:f>IF('Course_Master'!R195="","",'Course_Master'!R195)</x:f>
        <x:v>1177</x:v>
      </x:c>
      <x:c r="P195" s="28" t="str">
        <x:f>IF('Course_Master'!U195="","",'Course_Master'!U195)</x:f>
        <x:v>Par-3/4 course</x:v>
      </x:c>
      <x:c r="Q195" s="28" t="str">
        <x:f>IF('Course_Master'!AD195="","",'Course_Master'!AD195)</x:f>
        <x:v>Public — NGF course permission</x:v>
      </x:c>
      <x:c r="R195" s="28" t="str">
        <x:f>IF('Course_Master'!AC195="","",'Course_Master'!AC195)</x:f>
        <x:v>Open</x:v>
      </x:c>
      <x:c r="S195" s="28" t="str">
        <x:f>IF('Course_Master'!Y195="","",'Course_Master'!Y195)</x:f>
        <x:v>https://www.golfson.nl/</x:v>
      </x:c>
      <x:c r="T195" s="28" t="b">
        <x:f>IF('Course_Master'!Z195="","",'Course_Master'!Z195)</x:f>
        <x:v>1</x:v>
      </x:c>
      <x:c r="U195" s="28" t="b">
        <x:f>IF('Course_Master'!AA195="","",'Course_Master'!AA195)</x:f>
        <x:v>1</x:v>
      </x:c>
      <x:c r="V195" s="28" t="str">
        <x:f>IF('Course_Master'!AL195="","",'Course_Master'!AL195)</x:f>
        <x:v>Verified — national register and exact BAG address</x:v>
      </x:c>
    </x:row>
    <x:row r="196">
      <x:c r="A196" s="28" t="str">
        <x:f>IF('Course_Master'!B196="","",'Course_Master'!B196)</x:f>
        <x:v>NL-0195</x:v>
      </x:c>
      <x:c r="B196" s="28" t="str">
        <x:f>IF('Course_Master'!C196="","",'Course_Master'!C196)</x:f>
        <x:v>Golfclub Vught</x:v>
      </x:c>
      <x:c r="C196" s="28" t="str">
        <x:f>IF('Course_Master'!D196="","",'Course_Master'!D196)</x:f>
        <x:v>Golfclub Vught</x:v>
      </x:c>
      <x:c r="D196" s="28" t="str">
        <x:f>IF('Course_Master'!E196="","",'Course_Master'!E196)</x:f>
        <x:v>Course</x:v>
      </x:c>
      <x:c r="E196" s="28" t="str">
        <x:f>IF('Course_Master'!F196="","",'Course_Master'!F196)</x:f>
        <x:v>Netherlands</x:v>
      </x:c>
      <x:c r="F196" s="28" t="str">
        <x:f>IF('Course_Master'!G196="","",'Course_Master'!G196)</x:f>
        <x:v>Noord-Brabant</x:v>
      </x:c>
      <x:c r="G196" s="28" t="str">
        <x:f>IF('Course_Master'!H196="","",'Course_Master'!H196)</x:f>
        <x:v>Vught</x:v>
      </x:c>
      <x:c r="H196" s="28" t="str">
        <x:f>IF('Course_Master'!I196="","",'Course_Master'!I196)</x:f>
        <x:v>Vught</x:v>
      </x:c>
      <x:c r="I196" s="28" t="str">
        <x:f>IF('Course_Master'!K196="","",'Course_Master'!K196)</x:f>
        <x:v>5262 LV</x:v>
      </x:c>
      <x:c r="J196" s="34" t="n">
        <x:f>IF('Course_Master'!L196="","",'Course_Master'!L196)</x:f>
        <x:v>51.62910979</x:v>
      </x:c>
      <x:c r="K196" s="34" t="n">
        <x:f>IF('Course_Master'!M196="","",'Course_Master'!M196)</x:f>
        <x:v>5.27135856</x:v>
      </x:c>
      <x:c r="L196" s="28" t="n">
        <x:f>IF('Course_Master'!S196="","",'Course_Master'!S196)</x:f>
        <x:v>9</x:v>
      </x:c>
      <x:c r="M196" s="28" t="n">
        <x:f>IF('Course_Master'!T196="","",'Course_Master'!T196)</x:f>
        <x:v>27</x:v>
      </x:c>
      <x:c r="N196" s="28" t="n">
        <x:f>IF('Course_Master'!Q196="","",'Course_Master'!Q196)</x:f>
        <x:v>1001</x:v>
      </x:c>
      <x:c r="O196" s="28" t="n">
        <x:f>IF('Course_Master'!R196="","",'Course_Master'!R196)</x:f>
        <x:v>915</x:v>
      </x:c>
      <x:c r="P196" s="28" t="str">
        <x:f>IF('Course_Master'!U196="","",'Course_Master'!U196)</x:f>
        <x:v>Par-3 course</x:v>
      </x:c>
      <x:c r="Q196" s="28" t="str">
        <x:f>IF('Course_Master'!AD196="","",'Course_Master'!AD196)</x:f>
        <x:v>Public — handicap 54 or lower</x:v>
      </x:c>
      <x:c r="R196" s="28" t="str">
        <x:f>IF('Course_Master'!AC196="","",'Course_Master'!AC196)</x:f>
        <x:v>Open</x:v>
      </x:c>
      <x:c r="S196" s="28" t="str">
        <x:f>IF('Course_Master'!Y196="","",'Course_Master'!Y196)</x:f>
        <x:v>https://www.golfclubvught.nl/</x:v>
      </x:c>
      <x:c r="T196" s="28" t="b">
        <x:f>IF('Course_Master'!Z196="","",'Course_Master'!Z196)</x:f>
        <x:v>1</x:v>
      </x:c>
      <x:c r="U196" s="28" t="b">
        <x:f>IF('Course_Master'!AA196="","",'Course_Master'!AA196)</x:f>
        <x:v>1</x:v>
      </x:c>
      <x:c r="V196" s="28" t="str">
        <x:f>IF('Course_Master'!AL196="","",'Course_Master'!AL196)</x:f>
        <x:v>Verified — national register and exact BAG address</x:v>
      </x:c>
    </x:row>
    <x:row r="197">
      <x:c r="A197" s="28" t="str">
        <x:f>IF('Course_Master'!B197="","",'Course_Master'!B197)</x:f>
        <x:v>NL-0196</x:v>
      </x:c>
      <x:c r="B197" s="28" t="str">
        <x:f>IF('Course_Master'!C197="","",'Course_Master'!C197)</x:f>
        <x:v>Golfclub Wouwse Plantage — Main Course</x:v>
      </x:c>
      <x:c r="C197" s="28" t="str">
        <x:f>IF('Course_Master'!D197="","",'Course_Master'!D197)</x:f>
        <x:v>Golfclub Wouwse Plantage</x:v>
      </x:c>
      <x:c r="D197" s="28" t="str">
        <x:f>IF('Course_Master'!E197="","",'Course_Master'!E197)</x:f>
        <x:v>Main Course</x:v>
      </x:c>
      <x:c r="E197" s="28" t="str">
        <x:f>IF('Course_Master'!F197="","",'Course_Master'!F197)</x:f>
        <x:v>Netherlands</x:v>
      </x:c>
      <x:c r="F197" s="28" t="str">
        <x:f>IF('Course_Master'!G197="","",'Course_Master'!G197)</x:f>
        <x:v>Noord-Brabant</x:v>
      </x:c>
      <x:c r="G197" s="28" t="str">
        <x:f>IF('Course_Master'!H197="","",'Course_Master'!H197)</x:f>
        <x:v>Bergen op Zoom</x:v>
      </x:c>
      <x:c r="H197" s="28" t="str">
        <x:f>IF('Course_Master'!I197="","",'Course_Master'!I197)</x:f>
        <x:v>Bergen op Zoom</x:v>
      </x:c>
      <x:c r="I197" s="28" t="str">
        <x:f>IF('Course_Master'!K197="","",'Course_Master'!K197)</x:f>
        <x:v>4624 RP</x:v>
      </x:c>
      <x:c r="J197" s="34" t="n">
        <x:f>IF('Course_Master'!L197="","",'Course_Master'!L197)</x:f>
        <x:v>51.47607229</x:v>
      </x:c>
      <x:c r="K197" s="34" t="n">
        <x:f>IF('Course_Master'!M197="","",'Course_Master'!M197)</x:f>
        <x:v>4.36129009</x:v>
      </x:c>
      <x:c r="L197" s="28" t="n">
        <x:f>IF('Course_Master'!S197="","",'Course_Master'!S197)</x:f>
        <x:v>18</x:v>
      </x:c>
      <x:c r="M197" s="28" t="n">
        <x:f>IF('Course_Master'!T197="","",'Course_Master'!T197)</x:f>
        <x:v>72</x:v>
      </x:c>
      <x:c r="N197" s="28" t="n">
        <x:f>IF('Course_Master'!Q197="","",'Course_Master'!Q197)</x:f>
        <x:v>6903</x:v>
      </x:c>
      <x:c r="O197" s="28" t="n">
        <x:f>IF('Course_Master'!R197="","",'Course_Master'!R197)</x:f>
        <x:v>6312</x:v>
      </x:c>
      <x:c r="P197" s="28" t="str">
        <x:f>IF('Course_Master'!U197="","",'Course_Master'!U197)</x:f>
        <x:v>Full-length course</x:v>
      </x:c>
      <x:c r="Q197" s="28" t="str">
        <x:f>IF('Course_Master'!AD197="","",'Course_Master'!AD197)</x:f>
        <x:v>Public — handicap 54 or lower</x:v>
      </x:c>
      <x:c r="R197" s="28" t="str">
        <x:f>IF('Course_Master'!AC197="","",'Course_Master'!AC197)</x:f>
        <x:v>Open</x:v>
      </x:c>
      <x:c r="S197" s="28" t="str">
        <x:f>IF('Course_Master'!Y197="","",'Course_Master'!Y197)</x:f>
        <x:v>https://www.golfwouwseplantage.nl/</x:v>
      </x:c>
      <x:c r="T197" s="28" t="b">
        <x:f>IF('Course_Master'!Z197="","",'Course_Master'!Z197)</x:f>
        <x:v>1</x:v>
      </x:c>
      <x:c r="U197" s="28" t="b">
        <x:f>IF('Course_Master'!AA197="","",'Course_Master'!AA197)</x:f>
        <x:v>1</x:v>
      </x:c>
      <x:c r="V197" s="28" t="str">
        <x:f>IF('Course_Master'!AL197="","",'Course_Master'!AL197)</x:f>
        <x:v>Verified — national register and exact BAG address</x:v>
      </x:c>
    </x:row>
    <x:row r="198">
      <x:c r="A198" s="28" t="str">
        <x:f>IF('Course_Master'!B198="","",'Course_Master'!B198)</x:f>
        <x:v>NL-0197</x:v>
      </x:c>
      <x:c r="B198" s="28" t="str">
        <x:f>IF('Course_Master'!C198="","",'Course_Master'!C198)</x:f>
        <x:v>Golfpark Almkreek — Main Course</x:v>
      </x:c>
      <x:c r="C198" s="28" t="str">
        <x:f>IF('Course_Master'!D198="","",'Course_Master'!D198)</x:f>
        <x:v>Golfpark Almkreek</x:v>
      </x:c>
      <x:c r="D198" s="28" t="str">
        <x:f>IF('Course_Master'!E198="","",'Course_Master'!E198)</x:f>
        <x:v>Main Course</x:v>
      </x:c>
      <x:c r="E198" s="28" t="str">
        <x:f>IF('Course_Master'!F198="","",'Course_Master'!F198)</x:f>
        <x:v>Netherlands</x:v>
      </x:c>
      <x:c r="F198" s="28" t="str">
        <x:f>IF('Course_Master'!G198="","",'Course_Master'!G198)</x:f>
        <x:v>Noord-Brabant</x:v>
      </x:c>
      <x:c r="G198" s="28" t="str">
        <x:f>IF('Course_Master'!H198="","",'Course_Master'!H198)</x:f>
        <x:v>Altena</x:v>
      </x:c>
      <x:c r="H198" s="28" t="str">
        <x:f>IF('Course_Master'!I198="","",'Course_Master'!I198)</x:f>
        <x:v>Almkerk</x:v>
      </x:c>
      <x:c r="I198" s="28" t="str">
        <x:f>IF('Course_Master'!K198="","",'Course_Master'!K198)</x:f>
        <x:v>4286 LN</x:v>
      </x:c>
      <x:c r="J198" s="34" t="n">
        <x:f>IF('Course_Master'!L198="","",'Course_Master'!L198)</x:f>
        <x:v>51.77166231</x:v>
      </x:c>
      <x:c r="K198" s="34" t="n">
        <x:f>IF('Course_Master'!M198="","",'Course_Master'!M198)</x:f>
        <x:v>4.97199169</x:v>
      </x:c>
      <x:c r="L198" s="28" t="n">
        <x:f>IF('Course_Master'!S198="","",'Course_Master'!S198)</x:f>
        <x:v>18</x:v>
      </x:c>
      <x:c r="M198" s="28" t="n">
        <x:f>IF('Course_Master'!T198="","",'Course_Master'!T198)</x:f>
        <x:v>72</x:v>
      </x:c>
      <x:c r="N198" s="28" t="n">
        <x:f>IF('Course_Master'!Q198="","",'Course_Master'!Q198)</x:f>
        <x:v>6432</x:v>
      </x:c>
      <x:c r="O198" s="28" t="n">
        <x:f>IF('Course_Master'!R198="","",'Course_Master'!R198)</x:f>
        <x:v>5881</x:v>
      </x:c>
      <x:c r="P198" s="28" t="str">
        <x:f>IF('Course_Master'!U198="","",'Course_Master'!U198)</x:f>
        <x:v>Full-length course</x:v>
      </x:c>
      <x:c r="Q198" s="28" t="str">
        <x:f>IF('Course_Master'!AD198="","",'Course_Master'!AD198)</x:f>
        <x:v>Public — handicap 54 or lower</x:v>
      </x:c>
      <x:c r="R198" s="28" t="str">
        <x:f>IF('Course_Master'!AC198="","",'Course_Master'!AC198)</x:f>
        <x:v>Open</x:v>
      </x:c>
      <x:c r="S198" s="28" t="str">
        <x:f>IF('Course_Master'!Y198="","",'Course_Master'!Y198)</x:f>
        <x:v>https://www.hollandschegolfclub.nl/golfpark/almkreek/</x:v>
      </x:c>
      <x:c r="T198" s="28" t="b">
        <x:f>IF('Course_Master'!Z198="","",'Course_Master'!Z198)</x:f>
        <x:v>1</x:v>
      </x:c>
      <x:c r="U198" s="28" t="b">
        <x:f>IF('Course_Master'!AA198="","",'Course_Master'!AA198)</x:f>
        <x:v>1</x:v>
      </x:c>
      <x:c r="V198" s="28" t="str">
        <x:f>IF('Course_Master'!AL198="","",'Course_Master'!AL198)</x:f>
        <x:v>Verified — national register and exact BAG address</x:v>
      </x:c>
    </x:row>
    <x:row r="199">
      <x:c r="A199" s="28" t="str">
        <x:f>IF('Course_Master'!B199="","",'Course_Master'!B199)</x:f>
        <x:v>NL-0198</x:v>
      </x:c>
      <x:c r="B199" s="28" t="str">
        <x:f>IF('Course_Master'!C199="","",'Course_Master'!C199)</x:f>
        <x:v>Golfpark Almkreek — Par-3 Course</x:v>
      </x:c>
      <x:c r="C199" s="28" t="str">
        <x:f>IF('Course_Master'!D199="","",'Course_Master'!D199)</x:f>
        <x:v>Golfpark Almkreek</x:v>
      </x:c>
      <x:c r="D199" s="28" t="str">
        <x:f>IF('Course_Master'!E199="","",'Course_Master'!E199)</x:f>
        <x:v>Par-3 Course</x:v>
      </x:c>
      <x:c r="E199" s="28" t="str">
        <x:f>IF('Course_Master'!F199="","",'Course_Master'!F199)</x:f>
        <x:v>Netherlands</x:v>
      </x:c>
      <x:c r="F199" s="28" t="str">
        <x:f>IF('Course_Master'!G199="","",'Course_Master'!G199)</x:f>
        <x:v>Noord-Brabant</x:v>
      </x:c>
      <x:c r="G199" s="28" t="str">
        <x:f>IF('Course_Master'!H199="","",'Course_Master'!H199)</x:f>
        <x:v>Altena</x:v>
      </x:c>
      <x:c r="H199" s="28" t="str">
        <x:f>IF('Course_Master'!I199="","",'Course_Master'!I199)</x:f>
        <x:v>Almkerk</x:v>
      </x:c>
      <x:c r="I199" s="28" t="str">
        <x:f>IF('Course_Master'!K199="","",'Course_Master'!K199)</x:f>
        <x:v>4286 LN</x:v>
      </x:c>
      <x:c r="J199" s="34" t="n">
        <x:f>IF('Course_Master'!L199="","",'Course_Master'!L199)</x:f>
        <x:v>51.77166231</x:v>
      </x:c>
      <x:c r="K199" s="34" t="n">
        <x:f>IF('Course_Master'!M199="","",'Course_Master'!M199)</x:f>
        <x:v>4.97199169</x:v>
      </x:c>
      <x:c r="L199" s="28" t="n">
        <x:f>IF('Course_Master'!S199="","",'Course_Master'!S199)</x:f>
        <x:v>9</x:v>
      </x:c>
      <x:c r="M199" s="28" t="n">
        <x:f>IF('Course_Master'!T199="","",'Course_Master'!T199)</x:f>
        <x:v>27</x:v>
      </x:c>
      <x:c r="N199" s="28" t="n">
        <x:f>IF('Course_Master'!Q199="","",'Course_Master'!Q199)</x:f>
        <x:v>755</x:v>
      </x:c>
      <x:c r="O199" s="28" t="n">
        <x:f>IF('Course_Master'!R199="","",'Course_Master'!R199)</x:f>
        <x:v>690</x:v>
      </x:c>
      <x:c r="P199" s="28" t="str">
        <x:f>IF('Course_Master'!U199="","",'Course_Master'!U199)</x:f>
        <x:v>Par-3 course</x:v>
      </x:c>
      <x:c r="Q199" s="28" t="str">
        <x:f>IF('Course_Master'!AD199="","",'Course_Master'!AD199)</x:f>
        <x:v>Public — no playing requirement</x:v>
      </x:c>
      <x:c r="R199" s="28" t="str">
        <x:f>IF('Course_Master'!AC199="","",'Course_Master'!AC199)</x:f>
        <x:v>Open</x:v>
      </x:c>
      <x:c r="S199" s="28" t="str">
        <x:f>IF('Course_Master'!Y199="","",'Course_Master'!Y199)</x:f>
        <x:v>https://www.hollandschegolfclub.nl/golfpark/almkreek/</x:v>
      </x:c>
      <x:c r="T199" s="28" t="b">
        <x:f>IF('Course_Master'!Z199="","",'Course_Master'!Z199)</x:f>
        <x:v>1</x:v>
      </x:c>
      <x:c r="U199" s="28" t="b">
        <x:f>IF('Course_Master'!AA199="","",'Course_Master'!AA199)</x:f>
        <x:v>1</x:v>
      </x:c>
      <x:c r="V199" s="28" t="str">
        <x:f>IF('Course_Master'!AL199="","",'Course_Master'!AL199)</x:f>
        <x:v>Verified — national register and exact BAG address</x:v>
      </x:c>
    </x:row>
    <x:row r="200">
      <x:c r="A200" s="28" t="str">
        <x:f>IF('Course_Master'!B200="","",'Course_Master'!B200)</x:f>
        <x:v>NL-0199</x:v>
      </x:c>
      <x:c r="B200" s="28" t="str">
        <x:f>IF('Course_Master'!C200="","",'Course_Master'!C200)</x:f>
        <x:v>Golfpark Almkreek — Par-3/4 Course</x:v>
      </x:c>
      <x:c r="C200" s="28" t="str">
        <x:f>IF('Course_Master'!D200="","",'Course_Master'!D200)</x:f>
        <x:v>Golfpark Almkreek</x:v>
      </x:c>
      <x:c r="D200" s="28" t="str">
        <x:f>IF('Course_Master'!E200="","",'Course_Master'!E200)</x:f>
        <x:v>Par-3/4 Course</x:v>
      </x:c>
      <x:c r="E200" s="28" t="str">
        <x:f>IF('Course_Master'!F200="","",'Course_Master'!F200)</x:f>
        <x:v>Netherlands</x:v>
      </x:c>
      <x:c r="F200" s="28" t="str">
        <x:f>IF('Course_Master'!G200="","",'Course_Master'!G200)</x:f>
        <x:v>Noord-Brabant</x:v>
      </x:c>
      <x:c r="G200" s="28" t="str">
        <x:f>IF('Course_Master'!H200="","",'Course_Master'!H200)</x:f>
        <x:v>Altena</x:v>
      </x:c>
      <x:c r="H200" s="28" t="str">
        <x:f>IF('Course_Master'!I200="","",'Course_Master'!I200)</x:f>
        <x:v>Almkerk</x:v>
      </x:c>
      <x:c r="I200" s="28" t="str">
        <x:f>IF('Course_Master'!K200="","",'Course_Master'!K200)</x:f>
        <x:v>4286 LN</x:v>
      </x:c>
      <x:c r="J200" s="34" t="n">
        <x:f>IF('Course_Master'!L200="","",'Course_Master'!L200)</x:f>
        <x:v>51.77166231</x:v>
      </x:c>
      <x:c r="K200" s="34" t="n">
        <x:f>IF('Course_Master'!M200="","",'Course_Master'!M200)</x:f>
        <x:v>4.97199169</x:v>
      </x:c>
      <x:c r="L200" s="28" t="n">
        <x:f>IF('Course_Master'!S200="","",'Course_Master'!S200)</x:f>
        <x:v>14</x:v>
      </x:c>
      <x:c r="M200" s="28" t="n">
        <x:f>IF('Course_Master'!T200="","",'Course_Master'!T200)</x:f>
        <x:v>44</x:v>
      </x:c>
      <x:c r="N200" s="28" t="n">
        <x:f>IF('Course_Master'!Q200="","",'Course_Master'!Q200)</x:f>
        <x:v>1555</x:v>
      </x:c>
      <x:c r="O200" s="28" t="n">
        <x:f>IF('Course_Master'!R200="","",'Course_Master'!R200)</x:f>
        <x:v>1422</x:v>
      </x:c>
      <x:c r="P200" s="28" t="str">
        <x:f>IF('Course_Master'!U200="","",'Course_Master'!U200)</x:f>
        <x:v>Par-3/4 course</x:v>
      </x:c>
      <x:c r="Q200" s="28" t="str">
        <x:f>IF('Course_Master'!AD200="","",'Course_Master'!AD200)</x:f>
        <x:v>Public — NGF course permission</x:v>
      </x:c>
      <x:c r="R200" s="28" t="str">
        <x:f>IF('Course_Master'!AC200="","",'Course_Master'!AC200)</x:f>
        <x:v>Open</x:v>
      </x:c>
      <x:c r="S200" s="28" t="str">
        <x:f>IF('Course_Master'!Y200="","",'Course_Master'!Y200)</x:f>
        <x:v>https://www.hollandschegolfclub.nl/golfpark/almkreek/</x:v>
      </x:c>
      <x:c r="T200" s="28" t="b">
        <x:f>IF('Course_Master'!Z200="","",'Course_Master'!Z200)</x:f>
        <x:v>1</x:v>
      </x:c>
      <x:c r="U200" s="28" t="b">
        <x:f>IF('Course_Master'!AA200="","",'Course_Master'!AA200)</x:f>
        <x:v>1</x:v>
      </x:c>
      <x:c r="V200" s="28" t="str">
        <x:f>IF('Course_Master'!AL200="","",'Course_Master'!AL200)</x:f>
        <x:v>Verified — national register and exact BAG address</x:v>
      </x:c>
    </x:row>
    <x:row r="201">
      <x:c r="A201" s="28" t="str">
        <x:f>IF('Course_Master'!B201="","",'Course_Master'!B201)</x:f>
        <x:v>NL-0200</x:v>
      </x:c>
      <x:c r="B201" s="28" t="str">
        <x:f>IF('Course_Master'!C201="","",'Course_Master'!C201)</x:f>
        <x:v>Golfpark De Bonte Bij</x:v>
      </x:c>
      <x:c r="C201" s="28" t="str">
        <x:f>IF('Course_Master'!D201="","",'Course_Master'!D201)</x:f>
        <x:v>Golfpark De Bonte Bij</x:v>
      </x:c>
      <x:c r="D201" s="28" t="str">
        <x:f>IF('Course_Master'!E201="","",'Course_Master'!E201)</x:f>
        <x:v>Course</x:v>
      </x:c>
      <x:c r="E201" s="28" t="str">
        <x:f>IF('Course_Master'!F201="","",'Course_Master'!F201)</x:f>
        <x:v>Netherlands</x:v>
      </x:c>
      <x:c r="F201" s="28" t="str">
        <x:f>IF('Course_Master'!G201="","",'Course_Master'!G201)</x:f>
        <x:v>Noord-Brabant</x:v>
      </x:c>
      <x:c r="G201" s="28" t="str">
        <x:f>IF('Course_Master'!H201="","",'Course_Master'!H201)</x:f>
        <x:v>Maashorst</x:v>
      </x:c>
      <x:c r="H201" s="28" t="str">
        <x:f>IF('Course_Master'!I201="","",'Course_Master'!I201)</x:f>
        <x:v>Uden</x:v>
      </x:c>
      <x:c r="I201" s="28" t="str">
        <x:f>IF('Course_Master'!K201="","",'Course_Master'!K201)</x:f>
        <x:v>5406 XK</x:v>
      </x:c>
      <x:c r="J201" s="34" t="n">
        <x:f>IF('Course_Master'!L201="","",'Course_Master'!L201)</x:f>
        <x:v>51.67890237</x:v>
      </x:c>
      <x:c r="K201" s="34" t="n">
        <x:f>IF('Course_Master'!M201="","",'Course_Master'!M201)</x:f>
        <x:v>5.59906648</x:v>
      </x:c>
      <x:c r="L201" s="28" t="n">
        <x:f>IF('Course_Master'!S201="","",'Course_Master'!S201)</x:f>
        <x:v>9</x:v>
      </x:c>
      <x:c r="M201" s="28" t="n">
        <x:f>IF('Course_Master'!T201="","",'Course_Master'!T201)</x:f>
        <x:v>27</x:v>
      </x:c>
      <x:c r="N201" s="28" t="n">
        <x:f>IF('Course_Master'!Q201="","",'Course_Master'!Q201)</x:f>
        <x:v>1187</x:v>
      </x:c>
      <x:c r="O201" s="28" t="n">
        <x:f>IF('Course_Master'!R201="","",'Course_Master'!R201)</x:f>
        <x:v>1085</x:v>
      </x:c>
      <x:c r="P201" s="28" t="str">
        <x:f>IF('Course_Master'!U201="","",'Course_Master'!U201)</x:f>
        <x:v>Par-3 course</x:v>
      </x:c>
      <x:c r="Q201" s="28" t="str">
        <x:f>IF('Course_Master'!AD201="","",'Course_Master'!AD201)</x:f>
        <x:v>Public — handicap 54 or lower</x:v>
      </x:c>
      <x:c r="R201" s="28" t="str">
        <x:f>IF('Course_Master'!AC201="","",'Course_Master'!AC201)</x:f>
        <x:v>Open</x:v>
      </x:c>
      <x:c r="S201" s="28" t="str">
        <x:f>IF('Course_Master'!Y201="","",'Course_Master'!Y201)</x:f>
        <x:v>https://golfparkdebontebij.nl/</x:v>
      </x:c>
      <x:c r="T201" s="28" t="b">
        <x:f>IF('Course_Master'!Z201="","",'Course_Master'!Z201)</x:f>
        <x:v>1</x:v>
      </x:c>
      <x:c r="U201" s="28" t="b">
        <x:f>IF('Course_Master'!AA201="","",'Course_Master'!AA201)</x:f>
        <x:v>1</x:v>
      </x:c>
      <x:c r="V201" s="28" t="str">
        <x:f>IF('Course_Master'!AL201="","",'Course_Master'!AL201)</x:f>
        <x:v>Verified — national register and exact BAG address</x:v>
      </x:c>
    </x:row>
    <x:row r="202">
      <x:c r="A202" s="28" t="str">
        <x:f>IF('Course_Master'!B202="","",'Course_Master'!B202)</x:f>
        <x:v>NL-0201</x:v>
      </x:c>
      <x:c r="B202" s="28" t="str">
        <x:f>IF('Course_Master'!C202="","",'Course_Master'!C202)</x:f>
        <x:v>Golfpark De Haenen — Academy Course</x:v>
      </x:c>
      <x:c r="C202" s="28" t="str">
        <x:f>IF('Course_Master'!D202="","",'Course_Master'!D202)</x:f>
        <x:v>Golfpark De Haenen</x:v>
      </x:c>
      <x:c r="D202" s="28" t="str">
        <x:f>IF('Course_Master'!E202="","",'Course_Master'!E202)</x:f>
        <x:v>Academy Course</x:v>
      </x:c>
      <x:c r="E202" s="28" t="str">
        <x:f>IF('Course_Master'!F202="","",'Course_Master'!F202)</x:f>
        <x:v>Netherlands</x:v>
      </x:c>
      <x:c r="F202" s="28" t="str">
        <x:f>IF('Course_Master'!G202="","",'Course_Master'!G202)</x:f>
        <x:v>Noord-Brabant</x:v>
      </x:c>
      <x:c r="G202" s="28" t="str">
        <x:f>IF('Course_Master'!H202="","",'Course_Master'!H202)</x:f>
        <x:v>Breda</x:v>
      </x:c>
      <x:c r="H202" s="28" t="str">
        <x:f>IF('Course_Master'!I202="","",'Course_Master'!I202)</x:f>
        <x:v>Teteringen</x:v>
      </x:c>
      <x:c r="I202" s="28" t="str">
        <x:f>IF('Course_Master'!K202="","",'Course_Master'!K202)</x:f>
        <x:v>4847 DG</x:v>
      </x:c>
      <x:c r="J202" s="34" t="n">
        <x:f>IF('Course_Master'!L202="","",'Course_Master'!L202)</x:f>
        <x:v>51.61598149</x:v>
      </x:c>
      <x:c r="K202" s="34" t="n">
        <x:f>IF('Course_Master'!M202="","",'Course_Master'!M202)</x:f>
        <x:v>4.83433293</x:v>
      </x:c>
      <x:c r="L202" s="28" t="n">
        <x:f>IF('Course_Master'!S202="","",'Course_Master'!S202)</x:f>
        <x:v>6</x:v>
      </x:c>
      <x:c r="M202" s="28" t="n">
        <x:f>IF('Course_Master'!T202="","",'Course_Master'!T202)</x:f>
        <x:v>18</x:v>
      </x:c>
      <x:c r="N202" s="28" t="n">
        <x:f>IF('Course_Master'!Q202="","",'Course_Master'!Q202)</x:f>
        <x:v>328</x:v>
      </x:c>
      <x:c r="O202" s="28" t="n">
        <x:f>IF('Course_Master'!R202="","",'Course_Master'!R202)</x:f>
        <x:v>300</x:v>
      </x:c>
      <x:c r="P202" s="28" t="str">
        <x:f>IF('Course_Master'!U202="","",'Course_Master'!U202)</x:f>
        <x:v>Par-3 course</x:v>
      </x:c>
      <x:c r="Q202" s="28" t="str">
        <x:f>IF('Course_Master'!AD202="","",'Course_Master'!AD202)</x:f>
        <x:v>Public — handicap 54 or lower</x:v>
      </x:c>
      <x:c r="R202" s="28" t="str">
        <x:f>IF('Course_Master'!AC202="","",'Course_Master'!AC202)</x:f>
        <x:v>Open</x:v>
      </x:c>
      <x:c r="S202" s="28" t="str">
        <x:f>IF('Course_Master'!Y202="","",'Course_Master'!Y202)</x:f>
        <x:v>https://www.dehaenen.nl/</x:v>
      </x:c>
      <x:c r="T202" s="28" t="b">
        <x:f>IF('Course_Master'!Z202="","",'Course_Master'!Z202)</x:f>
        <x:v>1</x:v>
      </x:c>
      <x:c r="U202" s="28" t="b">
        <x:f>IF('Course_Master'!AA202="","",'Course_Master'!AA202)</x:f>
        <x:v>1</x:v>
      </x:c>
      <x:c r="V202" s="28" t="str">
        <x:f>IF('Course_Master'!AL202="","",'Course_Master'!AL202)</x:f>
        <x:v>Verified — national register and exact BAG address</x:v>
      </x:c>
    </x:row>
    <x:row r="203">
      <x:c r="A203" s="28" t="str">
        <x:f>IF('Course_Master'!B203="","",'Course_Master'!B203)</x:f>
        <x:v>NL-0202</x:v>
      </x:c>
      <x:c r="B203" s="28" t="str">
        <x:f>IF('Course_Master'!C203="","",'Course_Master'!C203)</x:f>
        <x:v>Golfpark De Haenen — Main Course</x:v>
      </x:c>
      <x:c r="C203" s="28" t="str">
        <x:f>IF('Course_Master'!D203="","",'Course_Master'!D203)</x:f>
        <x:v>Golfpark De Haenen</x:v>
      </x:c>
      <x:c r="D203" s="28" t="str">
        <x:f>IF('Course_Master'!E203="","",'Course_Master'!E203)</x:f>
        <x:v>Main Course</x:v>
      </x:c>
      <x:c r="E203" s="28" t="str">
        <x:f>IF('Course_Master'!F203="","",'Course_Master'!F203)</x:f>
        <x:v>Netherlands</x:v>
      </x:c>
      <x:c r="F203" s="28" t="str">
        <x:f>IF('Course_Master'!G203="","",'Course_Master'!G203)</x:f>
        <x:v>Noord-Brabant</x:v>
      </x:c>
      <x:c r="G203" s="28" t="str">
        <x:f>IF('Course_Master'!H203="","",'Course_Master'!H203)</x:f>
        <x:v>Breda</x:v>
      </x:c>
      <x:c r="H203" s="28" t="str">
        <x:f>IF('Course_Master'!I203="","",'Course_Master'!I203)</x:f>
        <x:v>Teteringen</x:v>
      </x:c>
      <x:c r="I203" s="28" t="str">
        <x:f>IF('Course_Master'!K203="","",'Course_Master'!K203)</x:f>
        <x:v>4847 DG</x:v>
      </x:c>
      <x:c r="J203" s="34" t="n">
        <x:f>IF('Course_Master'!L203="","",'Course_Master'!L203)</x:f>
        <x:v>51.61598149</x:v>
      </x:c>
      <x:c r="K203" s="34" t="n">
        <x:f>IF('Course_Master'!M203="","",'Course_Master'!M203)</x:f>
        <x:v>4.83433293</x:v>
      </x:c>
      <x:c r="L203" s="28" t="n">
        <x:f>IF('Course_Master'!S203="","",'Course_Master'!S203)</x:f>
        <x:v>18</x:v>
      </x:c>
      <x:c r="M203" s="28" t="n">
        <x:f>IF('Course_Master'!T203="","",'Course_Master'!T203)</x:f>
        <x:v>70</x:v>
      </x:c>
      <x:c r="N203" s="28" t="n">
        <x:f>IF('Course_Master'!Q203="","",'Course_Master'!Q203)</x:f>
        <x:v>6270</x:v>
      </x:c>
      <x:c r="O203" s="28" t="n">
        <x:f>IF('Course_Master'!R203="","",'Course_Master'!R203)</x:f>
        <x:v>5733</x:v>
      </x:c>
      <x:c r="P203" s="28" t="str">
        <x:f>IF('Course_Master'!U203="","",'Course_Master'!U203)</x:f>
        <x:v>Full-length course</x:v>
      </x:c>
      <x:c r="Q203" s="28" t="str">
        <x:f>IF('Course_Master'!AD203="","",'Course_Master'!AD203)</x:f>
        <x:v>Public — handicap 54 or lower</x:v>
      </x:c>
      <x:c r="R203" s="28" t="str">
        <x:f>IF('Course_Master'!AC203="","",'Course_Master'!AC203)</x:f>
        <x:v>Open</x:v>
      </x:c>
      <x:c r="S203" s="28" t="str">
        <x:f>IF('Course_Master'!Y203="","",'Course_Master'!Y203)</x:f>
        <x:v>https://www.dehaenen.nl/</x:v>
      </x:c>
      <x:c r="T203" s="28" t="b">
        <x:f>IF('Course_Master'!Z203="","",'Course_Master'!Z203)</x:f>
        <x:v>1</x:v>
      </x:c>
      <x:c r="U203" s="28" t="b">
        <x:f>IF('Course_Master'!AA203="","",'Course_Master'!AA203)</x:f>
        <x:v>1</x:v>
      </x:c>
      <x:c r="V203" s="28" t="str">
        <x:f>IF('Course_Master'!AL203="","",'Course_Master'!AL203)</x:f>
        <x:v>Verified — national register and exact BAG address</x:v>
      </x:c>
    </x:row>
    <x:row r="204">
      <x:c r="A204" s="28" t="str">
        <x:f>IF('Course_Master'!B204="","",'Course_Master'!B204)</x:f>
        <x:v>NL-0203</x:v>
      </x:c>
      <x:c r="B204" s="28" t="str">
        <x:f>IF('Course_Master'!C204="","",'Course_Master'!C204)</x:f>
        <x:v>Golfpark De Haverleij — Main Course</x:v>
      </x:c>
      <x:c r="C204" s="28" t="str">
        <x:f>IF('Course_Master'!D204="","",'Course_Master'!D204)</x:f>
        <x:v>Golfpark De Haverleij</x:v>
      </x:c>
      <x:c r="D204" s="28" t="str">
        <x:f>IF('Course_Master'!E204="","",'Course_Master'!E204)</x:f>
        <x:v>Main Course</x:v>
      </x:c>
      <x:c r="E204" s="28" t="str">
        <x:f>IF('Course_Master'!F204="","",'Course_Master'!F204)</x:f>
        <x:v>Netherlands</x:v>
      </x:c>
      <x:c r="F204" s="28" t="str">
        <x:f>IF('Course_Master'!G204="","",'Course_Master'!G204)</x:f>
        <x:v>Noord-Brabant</x:v>
      </x:c>
      <x:c r="G204" s="28" t="str">
        <x:f>IF('Course_Master'!H204="","",'Course_Master'!H204)</x:f>
        <x:v>'s-Hertogenbosch</x:v>
      </x:c>
      <x:c r="H204" s="28" t="str">
        <x:f>IF('Course_Master'!I204="","",'Course_Master'!I204)</x:f>
        <x:v>'s-Hertogenbosch</x:v>
      </x:c>
      <x:c r="I204" s="28" t="str">
        <x:f>IF('Course_Master'!K204="","",'Course_Master'!K204)</x:f>
        <x:v>5221 BC</x:v>
      </x:c>
      <x:c r="J204" s="34" t="n">
        <x:f>IF('Course_Master'!L204="","",'Course_Master'!L204)</x:f>
        <x:v>51.72455793</x:v>
      </x:c>
      <x:c r="K204" s="34" t="n">
        <x:f>IF('Course_Master'!M204="","",'Course_Master'!M204)</x:f>
        <x:v>5.2550748</x:v>
      </x:c>
      <x:c r="L204" s="28" t="n">
        <x:f>IF('Course_Master'!S204="","",'Course_Master'!S204)</x:f>
        <x:v>18</x:v>
      </x:c>
      <x:c r="M204" s="28" t="n">
        <x:f>IF('Course_Master'!T204="","",'Course_Master'!T204)</x:f>
        <x:v>72</x:v>
      </x:c>
      <x:c r="N204" s="28" t="n">
        <x:f>IF('Course_Master'!Q204="","",'Course_Master'!Q204)</x:f>
        <x:v>6359</x:v>
      </x:c>
      <x:c r="O204" s="28" t="n">
        <x:f>IF('Course_Master'!R204="","",'Course_Master'!R204)</x:f>
        <x:v>5815</x:v>
      </x:c>
      <x:c r="P204" s="28" t="str">
        <x:f>IF('Course_Master'!U204="","",'Course_Master'!U204)</x:f>
        <x:v>Full-length course</x:v>
      </x:c>
      <x:c r="Q204" s="28" t="str">
        <x:f>IF('Course_Master'!AD204="","",'Course_Master'!AD204)</x:f>
        <x:v>Public — handicap 54 or lower</x:v>
      </x:c>
      <x:c r="R204" s="28" t="str">
        <x:f>IF('Course_Master'!AC204="","",'Course_Master'!AC204)</x:f>
        <x:v>Open</x:v>
      </x:c>
      <x:c r="S204" s="28" t="str">
        <x:f>IF('Course_Master'!Y204="","",'Course_Master'!Y204)</x:f>
        <x:v>https://www.hollandschegolfclub.nl/golfpark/de-haverleij/</x:v>
      </x:c>
      <x:c r="T204" s="28" t="b">
        <x:f>IF('Course_Master'!Z204="","",'Course_Master'!Z204)</x:f>
        <x:v>1</x:v>
      </x:c>
      <x:c r="U204" s="28" t="b">
        <x:f>IF('Course_Master'!AA204="","",'Course_Master'!AA204)</x:f>
        <x:v>1</x:v>
      </x:c>
      <x:c r="V204" s="28" t="str">
        <x:f>IF('Course_Master'!AL204="","",'Course_Master'!AL204)</x:f>
        <x:v>Verified — national register and exact BAG address</x:v>
      </x:c>
    </x:row>
    <x:row r="205">
      <x:c r="A205" s="28" t="str">
        <x:f>IF('Course_Master'!B205="","",'Course_Master'!B205)</x:f>
        <x:v>NL-0204</x:v>
      </x:c>
      <x:c r="B205" s="28" t="str">
        <x:f>IF('Course_Master'!C205="","",'Course_Master'!C205)</x:f>
        <x:v>Golfpark De Haverleij — Par-3 Course</x:v>
      </x:c>
      <x:c r="C205" s="28" t="str">
        <x:f>IF('Course_Master'!D205="","",'Course_Master'!D205)</x:f>
        <x:v>Golfpark De Haverleij</x:v>
      </x:c>
      <x:c r="D205" s="28" t="str">
        <x:f>IF('Course_Master'!E205="","",'Course_Master'!E205)</x:f>
        <x:v>Par-3 Course</x:v>
      </x:c>
      <x:c r="E205" s="28" t="str">
        <x:f>IF('Course_Master'!F205="","",'Course_Master'!F205)</x:f>
        <x:v>Netherlands</x:v>
      </x:c>
      <x:c r="F205" s="28" t="str">
        <x:f>IF('Course_Master'!G205="","",'Course_Master'!G205)</x:f>
        <x:v>Noord-Brabant</x:v>
      </x:c>
      <x:c r="G205" s="28" t="str">
        <x:f>IF('Course_Master'!H205="","",'Course_Master'!H205)</x:f>
        <x:v>'s-Hertogenbosch</x:v>
      </x:c>
      <x:c r="H205" s="28" t="str">
        <x:f>IF('Course_Master'!I205="","",'Course_Master'!I205)</x:f>
        <x:v>'s-Hertogenbosch</x:v>
      </x:c>
      <x:c r="I205" s="28" t="str">
        <x:f>IF('Course_Master'!K205="","",'Course_Master'!K205)</x:f>
        <x:v>5221 BC</x:v>
      </x:c>
      <x:c r="J205" s="34" t="n">
        <x:f>IF('Course_Master'!L205="","",'Course_Master'!L205)</x:f>
        <x:v>51.72455793</x:v>
      </x:c>
      <x:c r="K205" s="34" t="n">
        <x:f>IF('Course_Master'!M205="","",'Course_Master'!M205)</x:f>
        <x:v>5.2550748</x:v>
      </x:c>
      <x:c r="L205" s="28" t="n">
        <x:f>IF('Course_Master'!S205="","",'Course_Master'!S205)</x:f>
        <x:v>9</x:v>
      </x:c>
      <x:c r="M205" s="28" t="n">
        <x:f>IF('Course_Master'!T205="","",'Course_Master'!T205)</x:f>
        <x:v>27</x:v>
      </x:c>
      <x:c r="N205" s="28" t="n">
        <x:f>IF('Course_Master'!Q205="","",'Course_Master'!Q205)</x:f>
        <x:v>855</x:v>
      </x:c>
      <x:c r="O205" s="28" t="n">
        <x:f>IF('Course_Master'!R205="","",'Course_Master'!R205)</x:f>
        <x:v>782</x:v>
      </x:c>
      <x:c r="P205" s="28" t="str">
        <x:f>IF('Course_Master'!U205="","",'Course_Master'!U205)</x:f>
        <x:v>Par-3 course</x:v>
      </x:c>
      <x:c r="Q205" s="28" t="str">
        <x:f>IF('Course_Master'!AD205="","",'Course_Master'!AD205)</x:f>
        <x:v>Public — no playing requirement</x:v>
      </x:c>
      <x:c r="R205" s="28" t="str">
        <x:f>IF('Course_Master'!AC205="","",'Course_Master'!AC205)</x:f>
        <x:v>Open</x:v>
      </x:c>
      <x:c r="S205" s="28" t="str">
        <x:f>IF('Course_Master'!Y205="","",'Course_Master'!Y205)</x:f>
        <x:v>https://www.hollandschegolfclub.nl/golfpark/de-haverleij/</x:v>
      </x:c>
      <x:c r="T205" s="28" t="b">
        <x:f>IF('Course_Master'!Z205="","",'Course_Master'!Z205)</x:f>
        <x:v>1</x:v>
      </x:c>
      <x:c r="U205" s="28" t="b">
        <x:f>IF('Course_Master'!AA205="","",'Course_Master'!AA205)</x:f>
        <x:v>1</x:v>
      </x:c>
      <x:c r="V205" s="28" t="str">
        <x:f>IF('Course_Master'!AL205="","",'Course_Master'!AL205)</x:f>
        <x:v>Verified — national register and exact BAG address</x:v>
      </x:c>
    </x:row>
    <x:row r="206">
      <x:c r="A206" s="28" t="str">
        <x:f>IF('Course_Master'!B206="","",'Course_Master'!B206)</x:f>
        <x:v>NL-0205</x:v>
      </x:c>
      <x:c r="B206" s="28" t="str">
        <x:f>IF('Course_Master'!C206="","",'Course_Master'!C206)</x:f>
        <x:v>Golfpark De Kurenpolder — Main Course</x:v>
      </x:c>
      <x:c r="C206" s="28" t="str">
        <x:f>IF('Course_Master'!D206="","",'Course_Master'!D206)</x:f>
        <x:v>Golfpark De Kurenpolder</x:v>
      </x:c>
      <x:c r="D206" s="28" t="str">
        <x:f>IF('Course_Master'!E206="","",'Course_Master'!E206)</x:f>
        <x:v>Main Course</x:v>
      </x:c>
      <x:c r="E206" s="28" t="str">
        <x:f>IF('Course_Master'!F206="","",'Course_Master'!F206)</x:f>
        <x:v>Netherlands</x:v>
      </x:c>
      <x:c r="F206" s="28" t="str">
        <x:f>IF('Course_Master'!G206="","",'Course_Master'!G206)</x:f>
        <x:v>Noord-Brabant</x:v>
      </x:c>
      <x:c r="G206" s="28" t="str">
        <x:f>IF('Course_Master'!H206="","",'Course_Master'!H206)</x:f>
        <x:v>Altena</x:v>
      </x:c>
      <x:c r="H206" s="28" t="str">
        <x:f>IF('Course_Master'!I206="","",'Course_Master'!I206)</x:f>
        <x:v>Hank</x:v>
      </x:c>
      <x:c r="I206" s="28" t="str">
        <x:f>IF('Course_Master'!K206="","",'Course_Master'!K206)</x:f>
        <x:v>4273 LA</x:v>
      </x:c>
      <x:c r="J206" s="34" t="n">
        <x:f>IF('Course_Master'!L206="","",'Course_Master'!L206)</x:f>
        <x:v>51.72849847</x:v>
      </x:c>
      <x:c r="K206" s="34" t="n">
        <x:f>IF('Course_Master'!M206="","",'Course_Master'!M206)</x:f>
        <x:v>4.88092784</x:v>
      </x:c>
      <x:c r="L206" s="28" t="n">
        <x:f>IF('Course_Master'!S206="","",'Course_Master'!S206)</x:f>
        <x:v>9</x:v>
      </x:c>
      <x:c r="M206" s="28" t="n">
        <x:f>IF('Course_Master'!T206="","",'Course_Master'!T206)</x:f>
        <x:v>34</x:v>
      </x:c>
      <x:c r="N206" s="28" t="n">
        <x:f>IF('Course_Master'!Q206="","",'Course_Master'!Q206)</x:f>
        <x:v>2894</x:v>
      </x:c>
      <x:c r="O206" s="28" t="n">
        <x:f>IF('Course_Master'!R206="","",'Course_Master'!R206)</x:f>
        <x:v>2646</x:v>
      </x:c>
      <x:c r="P206" s="28" t="str">
        <x:f>IF('Course_Master'!U206="","",'Course_Master'!U206)</x:f>
        <x:v>Full-length course</x:v>
      </x:c>
      <x:c r="Q206" s="28" t="str">
        <x:f>IF('Course_Master'!AD206="","",'Course_Master'!AD206)</x:f>
        <x:v>Public — handicap 54 or lower</x:v>
      </x:c>
      <x:c r="R206" s="28" t="str">
        <x:f>IF('Course_Master'!AC206="","",'Course_Master'!AC206)</x:f>
        <x:v>Open</x:v>
      </x:c>
      <x:c r="S206" s="28" t="str">
        <x:f>IF('Course_Master'!Y206="","",'Course_Master'!Y206)</x:f>
        <x:v>https://www.hollandschegolfclub.nl/golfpark/de-kurenpolder/</x:v>
      </x:c>
      <x:c r="T206" s="28" t="b">
        <x:f>IF('Course_Master'!Z206="","",'Course_Master'!Z206)</x:f>
        <x:v>1</x:v>
      </x:c>
      <x:c r="U206" s="28" t="b">
        <x:f>IF('Course_Master'!AA206="","",'Course_Master'!AA206)</x:f>
        <x:v>1</x:v>
      </x:c>
      <x:c r="V206" s="28" t="str">
        <x:f>IF('Course_Master'!AL206="","",'Course_Master'!AL206)</x:f>
        <x:v>Verified — national register and exact BAG address</x:v>
      </x:c>
    </x:row>
    <x:row r="207">
      <x:c r="A207" s="28" t="str">
        <x:f>IF('Course_Master'!B207="","",'Course_Master'!B207)</x:f>
        <x:v>NL-0206</x:v>
      </x:c>
      <x:c r="B207" s="28" t="str">
        <x:f>IF('Course_Master'!C207="","",'Course_Master'!C207)</x:f>
        <x:v>Golfpark De Kurenpolder — Par-3 Course</x:v>
      </x:c>
      <x:c r="C207" s="28" t="str">
        <x:f>IF('Course_Master'!D207="","",'Course_Master'!D207)</x:f>
        <x:v>Golfpark De Kurenpolder</x:v>
      </x:c>
      <x:c r="D207" s="28" t="str">
        <x:f>IF('Course_Master'!E207="","",'Course_Master'!E207)</x:f>
        <x:v>Par-3 Course</x:v>
      </x:c>
      <x:c r="E207" s="28" t="str">
        <x:f>IF('Course_Master'!F207="","",'Course_Master'!F207)</x:f>
        <x:v>Netherlands</x:v>
      </x:c>
      <x:c r="F207" s="28" t="str">
        <x:f>IF('Course_Master'!G207="","",'Course_Master'!G207)</x:f>
        <x:v>Noord-Brabant</x:v>
      </x:c>
      <x:c r="G207" s="28" t="str">
        <x:f>IF('Course_Master'!H207="","",'Course_Master'!H207)</x:f>
        <x:v>Altena</x:v>
      </x:c>
      <x:c r="H207" s="28" t="str">
        <x:f>IF('Course_Master'!I207="","",'Course_Master'!I207)</x:f>
        <x:v>Hank</x:v>
      </x:c>
      <x:c r="I207" s="28" t="str">
        <x:f>IF('Course_Master'!K207="","",'Course_Master'!K207)</x:f>
        <x:v>4273 LA</x:v>
      </x:c>
      <x:c r="J207" s="34" t="n">
        <x:f>IF('Course_Master'!L207="","",'Course_Master'!L207)</x:f>
        <x:v>51.72849847</x:v>
      </x:c>
      <x:c r="K207" s="34" t="n">
        <x:f>IF('Course_Master'!M207="","",'Course_Master'!M207)</x:f>
        <x:v>4.88092784</x:v>
      </x:c>
      <x:c r="L207" s="28" t="n">
        <x:f>IF('Course_Master'!S207="","",'Course_Master'!S207)</x:f>
        <x:v>9</x:v>
      </x:c>
      <x:c r="M207" s="28" t="n">
        <x:f>IF('Course_Master'!T207="","",'Course_Master'!T207)</x:f>
        <x:v>27</x:v>
      </x:c>
      <x:c r="N207" s="28" t="n">
        <x:f>IF('Course_Master'!Q207="","",'Course_Master'!Q207)</x:f>
        <x:v>766</x:v>
      </x:c>
      <x:c r="O207" s="28" t="n">
        <x:f>IF('Course_Master'!R207="","",'Course_Master'!R207)</x:f>
        <x:v>700</x:v>
      </x:c>
      <x:c r="P207" s="28" t="str">
        <x:f>IF('Course_Master'!U207="","",'Course_Master'!U207)</x:f>
        <x:v>Par-3 course</x:v>
      </x:c>
      <x:c r="Q207" s="28" t="str">
        <x:f>IF('Course_Master'!AD207="","",'Course_Master'!AD207)</x:f>
        <x:v>Public — no playing requirement</x:v>
      </x:c>
      <x:c r="R207" s="28" t="str">
        <x:f>IF('Course_Master'!AC207="","",'Course_Master'!AC207)</x:f>
        <x:v>Open</x:v>
      </x:c>
      <x:c r="S207" s="28" t="str">
        <x:f>IF('Course_Master'!Y207="","",'Course_Master'!Y207)</x:f>
        <x:v>https://www.hollandschegolfclub.nl/golfpark/de-kurenpolder/</x:v>
      </x:c>
      <x:c r="T207" s="28" t="b">
        <x:f>IF('Course_Master'!Z207="","",'Course_Master'!Z207)</x:f>
        <x:v>1</x:v>
      </x:c>
      <x:c r="U207" s="28" t="b">
        <x:f>IF('Course_Master'!AA207="","",'Course_Master'!AA207)</x:f>
        <x:v>1</x:v>
      </x:c>
      <x:c r="V207" s="28" t="str">
        <x:f>IF('Course_Master'!AL207="","",'Course_Master'!AL207)</x:f>
        <x:v>Verified — national register and exact BAG address</x:v>
      </x:c>
    </x:row>
    <x:row r="208">
      <x:c r="A208" s="28" t="str">
        <x:f>IF('Course_Master'!B208="","",'Course_Master'!B208)</x:f>
        <x:v>NL-0207</x:v>
      </x:c>
      <x:c r="B208" s="28" t="str">
        <x:f>IF('Course_Master'!C208="","",'Course_Master'!C208)</x:f>
        <x:v>Golfpark De Loonsche Duynen — Main Course</x:v>
      </x:c>
      <x:c r="C208" s="28" t="str">
        <x:f>IF('Course_Master'!D208="","",'Course_Master'!D208)</x:f>
        <x:v>Golfpark De Loonsche Duynen</x:v>
      </x:c>
      <x:c r="D208" s="28" t="str">
        <x:f>IF('Course_Master'!E208="","",'Course_Master'!E208)</x:f>
        <x:v>Main Course</x:v>
      </x:c>
      <x:c r="E208" s="28" t="str">
        <x:f>IF('Course_Master'!F208="","",'Course_Master'!F208)</x:f>
        <x:v>Netherlands</x:v>
      </x:c>
      <x:c r="F208" s="28" t="str">
        <x:f>IF('Course_Master'!G208="","",'Course_Master'!G208)</x:f>
        <x:v>Noord-Brabant</x:v>
      </x:c>
      <x:c r="G208" s="28" t="str">
        <x:f>IF('Course_Master'!H208="","",'Course_Master'!H208)</x:f>
        <x:v>Loon op Zand</x:v>
      </x:c>
      <x:c r="H208" s="28" t="str">
        <x:f>IF('Course_Master'!I208="","",'Course_Master'!I208)</x:f>
        <x:v>De Moer</x:v>
      </x:c>
      <x:c r="I208" s="28" t="str">
        <x:f>IF('Course_Master'!K208="","",'Course_Master'!K208)</x:f>
        <x:v>5176 NB</x:v>
      </x:c>
      <x:c r="J208" s="34" t="n">
        <x:f>IF('Course_Master'!L208="","",'Course_Master'!L208)</x:f>
        <x:v>51.63909512</x:v>
      </x:c>
      <x:c r="K208" s="34" t="n">
        <x:f>IF('Course_Master'!M208="","",'Course_Master'!M208)</x:f>
        <x:v>5.03174283</x:v>
      </x:c>
      <x:c r="L208" s="28" t="n">
        <x:f>IF('Course_Master'!S208="","",'Course_Master'!S208)</x:f>
        <x:v>18</x:v>
      </x:c>
      <x:c r="M208" s="28" t="n">
        <x:f>IF('Course_Master'!T208="","",'Course_Master'!T208)</x:f>
        <x:v>72</x:v>
      </x:c>
      <x:c r="N208" s="28" t="n">
        <x:f>IF('Course_Master'!Q208="","",'Course_Master'!Q208)</x:f>
        <x:v>6856</x:v>
      </x:c>
      <x:c r="O208" s="28" t="n">
        <x:f>IF('Course_Master'!R208="","",'Course_Master'!R208)</x:f>
        <x:v>6269</x:v>
      </x:c>
      <x:c r="P208" s="28" t="str">
        <x:f>IF('Course_Master'!U208="","",'Course_Master'!U208)</x:f>
        <x:v>Full-length course</x:v>
      </x:c>
      <x:c r="Q208" s="28" t="str">
        <x:f>IF('Course_Master'!AD208="","",'Course_Master'!AD208)</x:f>
        <x:v>Public — handicap 54 or lower</x:v>
      </x:c>
      <x:c r="R208" s="28" t="str">
        <x:f>IF('Course_Master'!AC208="","",'Course_Master'!AC208)</x:f>
        <x:v>Open</x:v>
      </x:c>
      <x:c r="S208" s="28" t="str">
        <x:f>IF('Course_Master'!Y208="","",'Course_Master'!Y208)</x:f>
        <x:v>https://www.hollandschegolfclub.nl/golfpark/de-loonsche-duynen/</x:v>
      </x:c>
      <x:c r="T208" s="28" t="b">
        <x:f>IF('Course_Master'!Z208="","",'Course_Master'!Z208)</x:f>
        <x:v>1</x:v>
      </x:c>
      <x:c r="U208" s="28" t="b">
        <x:f>IF('Course_Master'!AA208="","",'Course_Master'!AA208)</x:f>
        <x:v>1</x:v>
      </x:c>
      <x:c r="V208" s="28" t="str">
        <x:f>IF('Course_Master'!AL208="","",'Course_Master'!AL208)</x:f>
        <x:v>Verified — national register and exact BAG address</x:v>
      </x:c>
    </x:row>
    <x:row r="209">
      <x:c r="A209" s="28" t="str">
        <x:f>IF('Course_Master'!B209="","",'Course_Master'!B209)</x:f>
        <x:v>NL-0208</x:v>
      </x:c>
      <x:c r="B209" s="28" t="str">
        <x:f>IF('Course_Master'!C209="","",'Course_Master'!C209)</x:f>
        <x:v>Golfpark De Loonsche Duynen — Par-3/4 Course</x:v>
      </x:c>
      <x:c r="C209" s="28" t="str">
        <x:f>IF('Course_Master'!D209="","",'Course_Master'!D209)</x:f>
        <x:v>Golfpark De Loonsche Duynen</x:v>
      </x:c>
      <x:c r="D209" s="28" t="str">
        <x:f>IF('Course_Master'!E209="","",'Course_Master'!E209)</x:f>
        <x:v>Par-3/4 Course</x:v>
      </x:c>
      <x:c r="E209" s="28" t="str">
        <x:f>IF('Course_Master'!F209="","",'Course_Master'!F209)</x:f>
        <x:v>Netherlands</x:v>
      </x:c>
      <x:c r="F209" s="28" t="str">
        <x:f>IF('Course_Master'!G209="","",'Course_Master'!G209)</x:f>
        <x:v>Noord-Brabant</x:v>
      </x:c>
      <x:c r="G209" s="28" t="str">
        <x:f>IF('Course_Master'!H209="","",'Course_Master'!H209)</x:f>
        <x:v>Loon op Zand</x:v>
      </x:c>
      <x:c r="H209" s="28" t="str">
        <x:f>IF('Course_Master'!I209="","",'Course_Master'!I209)</x:f>
        <x:v>De Moer</x:v>
      </x:c>
      <x:c r="I209" s="28" t="str">
        <x:f>IF('Course_Master'!K209="","",'Course_Master'!K209)</x:f>
        <x:v>5176 NB</x:v>
      </x:c>
      <x:c r="J209" s="34" t="n">
        <x:f>IF('Course_Master'!L209="","",'Course_Master'!L209)</x:f>
        <x:v>51.63909512</x:v>
      </x:c>
      <x:c r="K209" s="34" t="n">
        <x:f>IF('Course_Master'!M209="","",'Course_Master'!M209)</x:f>
        <x:v>5.03174283</x:v>
      </x:c>
      <x:c r="L209" s="28" t="n">
        <x:f>IF('Course_Master'!S209="","",'Course_Master'!S209)</x:f>
        <x:v>9</x:v>
      </x:c>
      <x:c r="M209" s="28" t="n">
        <x:f>IF('Course_Master'!T209="","",'Course_Master'!T209)</x:f>
        <x:v>28</x:v>
      </x:c>
      <x:c r="N209" s="28" t="n">
        <x:f>IF('Course_Master'!Q209="","",'Course_Master'!Q209)</x:f>
        <x:v>1450</x:v>
      </x:c>
      <x:c r="O209" s="28" t="n">
        <x:f>IF('Course_Master'!R209="","",'Course_Master'!R209)</x:f>
        <x:v>1326</x:v>
      </x:c>
      <x:c r="P209" s="28" t="str">
        <x:f>IF('Course_Master'!U209="","",'Course_Master'!U209)</x:f>
        <x:v>Par-3/4 course</x:v>
      </x:c>
      <x:c r="Q209" s="28" t="str">
        <x:f>IF('Course_Master'!AD209="","",'Course_Master'!AD209)</x:f>
        <x:v>Public — no playing requirement</x:v>
      </x:c>
      <x:c r="R209" s="28" t="str">
        <x:f>IF('Course_Master'!AC209="","",'Course_Master'!AC209)</x:f>
        <x:v>Open</x:v>
      </x:c>
      <x:c r="S209" s="28" t="str">
        <x:f>IF('Course_Master'!Y209="","",'Course_Master'!Y209)</x:f>
        <x:v>https://www.hollandschegolfclub.nl/golfpark/de-loonsche-duynen/</x:v>
      </x:c>
      <x:c r="T209" s="28" t="b">
        <x:f>IF('Course_Master'!Z209="","",'Course_Master'!Z209)</x:f>
        <x:v>1</x:v>
      </x:c>
      <x:c r="U209" s="28" t="b">
        <x:f>IF('Course_Master'!AA209="","",'Course_Master'!AA209)</x:f>
        <x:v>1</x:v>
      </x:c>
      <x:c r="V209" s="28" t="str">
        <x:f>IF('Course_Master'!AL209="","",'Course_Master'!AL209)</x:f>
        <x:v>Verified — national register and exact BAG address</x:v>
      </x:c>
    </x:row>
    <x:row r="210">
      <x:c r="A210" s="28" t="str">
        <x:f>IF('Course_Master'!B210="","",'Course_Master'!B210)</x:f>
        <x:v>NL-0209</x:v>
      </x:c>
      <x:c r="B210" s="28" t="str">
        <x:f>IF('Course_Master'!C210="","",'Course_Master'!C210)</x:f>
        <x:v>Golfpark De Turfvaert — Main Course</x:v>
      </x:c>
      <x:c r="C210" s="28" t="str">
        <x:f>IF('Course_Master'!D210="","",'Course_Master'!D210)</x:f>
        <x:v>Golfpark De Turfvaert</x:v>
      </x:c>
      <x:c r="D210" s="28" t="str">
        <x:f>IF('Course_Master'!E210="","",'Course_Master'!E210)</x:f>
        <x:v>Main Course</x:v>
      </x:c>
      <x:c r="E210" s="28" t="str">
        <x:f>IF('Course_Master'!F210="","",'Course_Master'!F210)</x:f>
        <x:v>Netherlands</x:v>
      </x:c>
      <x:c r="F210" s="28" t="str">
        <x:f>IF('Course_Master'!G210="","",'Course_Master'!G210)</x:f>
        <x:v>Noord-Brabant</x:v>
      </x:c>
      <x:c r="G210" s="28" t="str">
        <x:f>IF('Course_Master'!H210="","",'Course_Master'!H210)</x:f>
        <x:v>Zundert</x:v>
      </x:c>
      <x:c r="H210" s="28" t="str">
        <x:f>IF('Course_Master'!I210="","",'Course_Master'!I210)</x:f>
        <x:v>Rijsbergen</x:v>
      </x:c>
      <x:c r="I210" s="28" t="str">
        <x:f>IF('Course_Master'!K210="","",'Course_Master'!K210)</x:f>
        <x:v>4891 TK</x:v>
      </x:c>
      <x:c r="J210" s="34" t="n">
        <x:f>IF('Course_Master'!L210="","",'Course_Master'!L210)</x:f>
        <x:v>51.53228913</x:v>
      </x:c>
      <x:c r="K210" s="34" t="n">
        <x:f>IF('Course_Master'!M210="","",'Course_Master'!M210)</x:f>
        <x:v>4.69778834</x:v>
      </x:c>
      <x:c r="L210" s="28" t="n">
        <x:f>IF('Course_Master'!S210="","",'Course_Master'!S210)</x:f>
        <x:v>18</x:v>
      </x:c>
      <x:c r="M210" s="28" t="n">
        <x:f>IF('Course_Master'!T210="","",'Course_Master'!T210)</x:f>
        <x:v>70</x:v>
      </x:c>
      <x:c r="N210" s="28" t="n">
        <x:f>IF('Course_Master'!Q210="","",'Course_Master'!Q210)</x:f>
        <x:v>6215</x:v>
      </x:c>
      <x:c r="O210" s="28" t="n">
        <x:f>IF('Course_Master'!R210="","",'Course_Master'!R210)</x:f>
        <x:v>5683</x:v>
      </x:c>
      <x:c r="P210" s="28" t="str">
        <x:f>IF('Course_Master'!U210="","",'Course_Master'!U210)</x:f>
        <x:v>Full-length course</x:v>
      </x:c>
      <x:c r="Q210" s="28" t="str">
        <x:f>IF('Course_Master'!AD210="","",'Course_Master'!AD210)</x:f>
        <x:v>Public — NGF course permission</x:v>
      </x:c>
      <x:c r="R210" s="28" t="str">
        <x:f>IF('Course_Master'!AC210="","",'Course_Master'!AC210)</x:f>
        <x:v>Open</x:v>
      </x:c>
      <x:c r="S210" s="28" t="str">
        <x:f>IF('Course_Master'!Y210="","",'Course_Master'!Y210)</x:f>
        <x:v>https://www.deturfvaert.nl/</x:v>
      </x:c>
      <x:c r="T210" s="28" t="b">
        <x:f>IF('Course_Master'!Z210="","",'Course_Master'!Z210)</x:f>
        <x:v>1</x:v>
      </x:c>
      <x:c r="U210" s="28" t="b">
        <x:f>IF('Course_Master'!AA210="","",'Course_Master'!AA210)</x:f>
        <x:v>1</x:v>
      </x:c>
      <x:c r="V210" s="28" t="str">
        <x:f>IF('Course_Master'!AL210="","",'Course_Master'!AL210)</x:f>
        <x:v>Verified — national register and exact BAG address</x:v>
      </x:c>
    </x:row>
    <x:row r="211">
      <x:c r="A211" s="28" t="str">
        <x:f>IF('Course_Master'!B211="","",'Course_Master'!B211)</x:f>
        <x:v>NL-0210</x:v>
      </x:c>
      <x:c r="B211" s="28" t="str">
        <x:f>IF('Course_Master'!C211="","",'Course_Master'!C211)</x:f>
        <x:v>Golfpark Gendersteyn — Blauw</x:v>
      </x:c>
      <x:c r="C211" s="28" t="str">
        <x:f>IF('Course_Master'!D211="","",'Course_Master'!D211)</x:f>
        <x:v>Golfpark Gendersteyn</x:v>
      </x:c>
      <x:c r="D211" s="28" t="str">
        <x:f>IF('Course_Master'!E211="","",'Course_Master'!E211)</x:f>
        <x:v>Blauw</x:v>
      </x:c>
      <x:c r="E211" s="28" t="str">
        <x:f>IF('Course_Master'!F211="","",'Course_Master'!F211)</x:f>
        <x:v>Netherlands</x:v>
      </x:c>
      <x:c r="F211" s="28" t="str">
        <x:f>IF('Course_Master'!G211="","",'Course_Master'!G211)</x:f>
        <x:v>Noord-Brabant</x:v>
      </x:c>
      <x:c r="G211" s="28" t="str">
        <x:f>IF('Course_Master'!H211="","",'Course_Master'!H211)</x:f>
        <x:v>Veldhoven</x:v>
      </x:c>
      <x:c r="H211" s="28" t="str">
        <x:f>IF('Course_Master'!I211="","",'Course_Master'!I211)</x:f>
        <x:v>Veldhoven</x:v>
      </x:c>
      <x:c r="I211" s="28" t="str">
        <x:f>IF('Course_Master'!K211="","",'Course_Master'!K211)</x:f>
        <x:v>5504 RP</x:v>
      </x:c>
      <x:c r="J211" s="34" t="n">
        <x:f>IF('Course_Master'!L211="","",'Course_Master'!L211)</x:f>
        <x:v>51.38717371</x:v>
      </x:c>
      <x:c r="K211" s="34" t="n">
        <x:f>IF('Course_Master'!M211="","",'Course_Master'!M211)</x:f>
        <x:v>5.37715294</x:v>
      </x:c>
      <x:c r="L211" s="28" t="n">
        <x:f>IF('Course_Master'!S211="","",'Course_Master'!S211)</x:f>
        <x:v>7</x:v>
      </x:c>
      <x:c r="M211" s="28" t="n">
        <x:f>IF('Course_Master'!T211="","",'Course_Master'!T211)</x:f>
        <x:v>28</x:v>
      </x:c>
      <x:c r="N211" s="28" t="n">
        <x:f>IF('Course_Master'!Q211="","",'Course_Master'!Q211)</x:f>
        <x:v>2456</x:v>
      </x:c>
      <x:c r="O211" s="28" t="n">
        <x:f>IF('Course_Master'!R211="","",'Course_Master'!R211)</x:f>
        <x:v>2246</x:v>
      </x:c>
      <x:c r="P211" s="28" t="str">
        <x:f>IF('Course_Master'!U211="","",'Course_Master'!U211)</x:f>
        <x:v>Full-length course</x:v>
      </x:c>
      <x:c r="Q211" s="28" t="str">
        <x:f>IF('Course_Master'!AD211="","",'Course_Master'!AD211)</x:f>
        <x:v>Public — no playing requirement</x:v>
      </x:c>
      <x:c r="R211" s="28" t="str">
        <x:f>IF('Course_Master'!AC211="","",'Course_Master'!AC211)</x:f>
        <x:v>Open</x:v>
      </x:c>
      <x:c r="S211" s="28" t="str">
        <x:f>IF('Course_Master'!Y211="","",'Course_Master'!Y211)</x:f>
        <x:v>https://www.hollandschegolfclub.nl/golfpark/gendersteyn/</x:v>
      </x:c>
      <x:c r="T211" s="28" t="b">
        <x:f>IF('Course_Master'!Z211="","",'Course_Master'!Z211)</x:f>
        <x:v>1</x:v>
      </x:c>
      <x:c r="U211" s="28" t="b">
        <x:f>IF('Course_Master'!AA211="","",'Course_Master'!AA211)</x:f>
        <x:v>1</x:v>
      </x:c>
      <x:c r="V211" s="28" t="str">
        <x:f>IF('Course_Master'!AL211="","",'Course_Master'!AL211)</x:f>
        <x:v>Verified — national register and exact BAG address</x:v>
      </x:c>
    </x:row>
    <x:row r="212">
      <x:c r="A212" s="28" t="str">
        <x:f>IF('Course_Master'!B212="","",'Course_Master'!B212)</x:f>
        <x:v>NL-0211</x:v>
      </x:c>
      <x:c r="B212" s="28" t="str">
        <x:f>IF('Course_Master'!C212="","",'Course_Master'!C212)</x:f>
        <x:v>Golfpark Gendersteyn — Geel</x:v>
      </x:c>
      <x:c r="C212" s="28" t="str">
        <x:f>IF('Course_Master'!D212="","",'Course_Master'!D212)</x:f>
        <x:v>Golfpark Gendersteyn</x:v>
      </x:c>
      <x:c r="D212" s="28" t="str">
        <x:f>IF('Course_Master'!E212="","",'Course_Master'!E212)</x:f>
        <x:v>Geel</x:v>
      </x:c>
      <x:c r="E212" s="28" t="str">
        <x:f>IF('Course_Master'!F212="","",'Course_Master'!F212)</x:f>
        <x:v>Netherlands</x:v>
      </x:c>
      <x:c r="F212" s="28" t="str">
        <x:f>IF('Course_Master'!G212="","",'Course_Master'!G212)</x:f>
        <x:v>Noord-Brabant</x:v>
      </x:c>
      <x:c r="G212" s="28" t="str">
        <x:f>IF('Course_Master'!H212="","",'Course_Master'!H212)</x:f>
        <x:v>Veldhoven</x:v>
      </x:c>
      <x:c r="H212" s="28" t="str">
        <x:f>IF('Course_Master'!I212="","",'Course_Master'!I212)</x:f>
        <x:v>Veldhoven</x:v>
      </x:c>
      <x:c r="I212" s="28" t="str">
        <x:f>IF('Course_Master'!K212="","",'Course_Master'!K212)</x:f>
        <x:v>5504 RP</x:v>
      </x:c>
      <x:c r="J212" s="34" t="n">
        <x:f>IF('Course_Master'!L212="","",'Course_Master'!L212)</x:f>
        <x:v>51.38717371</x:v>
      </x:c>
      <x:c r="K212" s="34" t="n">
        <x:f>IF('Course_Master'!M212="","",'Course_Master'!M212)</x:f>
        <x:v>5.37715294</x:v>
      </x:c>
      <x:c r="L212" s="28" t="n">
        <x:f>IF('Course_Master'!S212="","",'Course_Master'!S212)</x:f>
        <x:v>9</x:v>
      </x:c>
      <x:c r="M212" s="28" t="n">
        <x:f>IF('Course_Master'!T212="","",'Course_Master'!T212)</x:f>
        <x:v>36</x:v>
      </x:c>
      <x:c r="N212" s="28" t="n">
        <x:f>IF('Course_Master'!Q212="","",'Course_Master'!Q212)</x:f>
        <x:v>3318</x:v>
      </x:c>
      <x:c r="O212" s="28" t="n">
        <x:f>IF('Course_Master'!R212="","",'Course_Master'!R212)</x:f>
        <x:v>3034</x:v>
      </x:c>
      <x:c r="P212" s="28" t="str">
        <x:f>IF('Course_Master'!U212="","",'Course_Master'!U212)</x:f>
        <x:v>Full-length course</x:v>
      </x:c>
      <x:c r="Q212" s="28" t="str">
        <x:f>IF('Course_Master'!AD212="","",'Course_Master'!AD212)</x:f>
        <x:v>Public — handicap 54 or lower</x:v>
      </x:c>
      <x:c r="R212" s="28" t="str">
        <x:f>IF('Course_Master'!AC212="","",'Course_Master'!AC212)</x:f>
        <x:v>Open</x:v>
      </x:c>
      <x:c r="S212" s="28" t="str">
        <x:f>IF('Course_Master'!Y212="","",'Course_Master'!Y212)</x:f>
        <x:v>https://www.hollandschegolfclub.nl/golfpark/gendersteyn/</x:v>
      </x:c>
      <x:c r="T212" s="28" t="b">
        <x:f>IF('Course_Master'!Z212="","",'Course_Master'!Z212)</x:f>
        <x:v>1</x:v>
      </x:c>
      <x:c r="U212" s="28" t="b">
        <x:f>IF('Course_Master'!AA212="","",'Course_Master'!AA212)</x:f>
        <x:v>1</x:v>
      </x:c>
      <x:c r="V212" s="28" t="str">
        <x:f>IF('Course_Master'!AL212="","",'Course_Master'!AL212)</x:f>
        <x:v>Verified — national register and exact BAG address</x:v>
      </x:c>
    </x:row>
    <x:row r="213">
      <x:c r="A213" s="28" t="str">
        <x:f>IF('Course_Master'!B213="","",'Course_Master'!B213)</x:f>
        <x:v>NL-0212</x:v>
      </x:c>
      <x:c r="B213" s="28" t="str">
        <x:f>IF('Course_Master'!C213="","",'Course_Master'!C213)</x:f>
        <x:v>Golfpark Gendersteyn — Rood</x:v>
      </x:c>
      <x:c r="C213" s="28" t="str">
        <x:f>IF('Course_Master'!D213="","",'Course_Master'!D213)</x:f>
        <x:v>Golfpark Gendersteyn</x:v>
      </x:c>
      <x:c r="D213" s="28" t="str">
        <x:f>IF('Course_Master'!E213="","",'Course_Master'!E213)</x:f>
        <x:v>Rood</x:v>
      </x:c>
      <x:c r="E213" s="28" t="str">
        <x:f>IF('Course_Master'!F213="","",'Course_Master'!F213)</x:f>
        <x:v>Netherlands</x:v>
      </x:c>
      <x:c r="F213" s="28" t="str">
        <x:f>IF('Course_Master'!G213="","",'Course_Master'!G213)</x:f>
        <x:v>Noord-Brabant</x:v>
      </x:c>
      <x:c r="G213" s="28" t="str">
        <x:f>IF('Course_Master'!H213="","",'Course_Master'!H213)</x:f>
        <x:v>Veldhoven</x:v>
      </x:c>
      <x:c r="H213" s="28" t="str">
        <x:f>IF('Course_Master'!I213="","",'Course_Master'!I213)</x:f>
        <x:v>Veldhoven</x:v>
      </x:c>
      <x:c r="I213" s="28" t="str">
        <x:f>IF('Course_Master'!K213="","",'Course_Master'!K213)</x:f>
        <x:v>5504 RP</x:v>
      </x:c>
      <x:c r="J213" s="34" t="n">
        <x:f>IF('Course_Master'!L213="","",'Course_Master'!L213)</x:f>
        <x:v>51.38717371</x:v>
      </x:c>
      <x:c r="K213" s="34" t="n">
        <x:f>IF('Course_Master'!M213="","",'Course_Master'!M213)</x:f>
        <x:v>5.37715294</x:v>
      </x:c>
      <x:c r="L213" s="28" t="n">
        <x:f>IF('Course_Master'!S213="","",'Course_Master'!S213)</x:f>
        <x:v>9</x:v>
      </x:c>
      <x:c r="M213" s="28" t="n">
        <x:f>IF('Course_Master'!T213="","",'Course_Master'!T213)</x:f>
        <x:v>35</x:v>
      </x:c>
      <x:c r="N213" s="28" t="n">
        <x:f>IF('Course_Master'!Q213="","",'Course_Master'!Q213)</x:f>
        <x:v>3127</x:v>
      </x:c>
      <x:c r="O213" s="28" t="n">
        <x:f>IF('Course_Master'!R213="","",'Course_Master'!R213)</x:f>
        <x:v>2859</x:v>
      </x:c>
      <x:c r="P213" s="28" t="str">
        <x:f>IF('Course_Master'!U213="","",'Course_Master'!U213)</x:f>
        <x:v>Full-length course</x:v>
      </x:c>
      <x:c r="Q213" s="28" t="str">
        <x:f>IF('Course_Master'!AD213="","",'Course_Master'!AD213)</x:f>
        <x:v>Public — handicap 54 or lower</x:v>
      </x:c>
      <x:c r="R213" s="28" t="str">
        <x:f>IF('Course_Master'!AC213="","",'Course_Master'!AC213)</x:f>
        <x:v>Open</x:v>
      </x:c>
      <x:c r="S213" s="28" t="str">
        <x:f>IF('Course_Master'!Y213="","",'Course_Master'!Y213)</x:f>
        <x:v>https://www.hollandschegolfclub.nl/golfpark/gendersteyn/</x:v>
      </x:c>
      <x:c r="T213" s="28" t="b">
        <x:f>IF('Course_Master'!Z213="","",'Course_Master'!Z213)</x:f>
        <x:v>1</x:v>
      </x:c>
      <x:c r="U213" s="28" t="b">
        <x:f>IF('Course_Master'!AA213="","",'Course_Master'!AA213)</x:f>
        <x:v>1</x:v>
      </x:c>
      <x:c r="V213" s="28" t="str">
        <x:f>IF('Course_Master'!AL213="","",'Course_Master'!AL213)</x:f>
        <x:v>Verified — national register and exact BAG address</x:v>
      </x:c>
    </x:row>
    <x:row r="214">
      <x:c r="A214" s="28" t="str">
        <x:f>IF('Course_Master'!B214="","",'Course_Master'!B214)</x:f>
        <x:v>NL-0213</x:v>
      </x:c>
      <x:c r="B214" s="28" t="str">
        <x:f>IF('Course_Master'!C214="","",'Course_Master'!C214)</x:f>
        <x:v>Golfpark Weilenseind</x:v>
      </x:c>
      <x:c r="C214" s="28" t="str">
        <x:f>IF('Course_Master'!D214="","",'Course_Master'!D214)</x:f>
        <x:v>Golfpark Weilenseind</x:v>
      </x:c>
      <x:c r="D214" s="28" t="str">
        <x:f>IF('Course_Master'!E214="","",'Course_Master'!E214)</x:f>
        <x:v>Course</x:v>
      </x:c>
      <x:c r="E214" s="28" t="str">
        <x:f>IF('Course_Master'!F214="","",'Course_Master'!F214)</x:f>
        <x:v>Netherlands</x:v>
      </x:c>
      <x:c r="F214" s="28" t="str">
        <x:f>IF('Course_Master'!G214="","",'Course_Master'!G214)</x:f>
        <x:v>Noord-Brabant</x:v>
      </x:c>
      <x:c r="G214" s="28" t="str">
        <x:f>IF('Course_Master'!H214="","",'Course_Master'!H214)</x:f>
        <x:v>Gilze en Rijen</x:v>
      </x:c>
      <x:c r="H214" s="28" t="str">
        <x:f>IF('Course_Master'!I214="","",'Course_Master'!I214)</x:f>
        <x:v>Gilze</x:v>
      </x:c>
      <x:c r="I214" s="28" t="str">
        <x:f>IF('Course_Master'!K214="","",'Course_Master'!K214)</x:f>
        <x:v>5126 PN</x:v>
      </x:c>
      <x:c r="J214" s="34" t="n">
        <x:f>IF('Course_Master'!L214="","",'Course_Master'!L214)</x:f>
        <x:v>51.53500933</x:v>
      </x:c>
      <x:c r="K214" s="34" t="n">
        <x:f>IF('Course_Master'!M214="","",'Course_Master'!M214)</x:f>
        <x:v>4.94419277</x:v>
      </x:c>
      <x:c r="L214" s="28" t="n">
        <x:f>IF('Course_Master'!S214="","",'Course_Master'!S214)</x:f>
        <x:v>9</x:v>
      </x:c>
      <x:c r="M214" s="28" t="n">
        <x:f>IF('Course_Master'!T214="","",'Course_Master'!T214)</x:f>
        <x:v>30</x:v>
      </x:c>
      <x:c r="N214" s="28" t="n">
        <x:f>IF('Course_Master'!Q214="","",'Course_Master'!Q214)</x:f>
        <x:v>1599</x:v>
      </x:c>
      <x:c r="O214" s="28" t="n">
        <x:f>IF('Course_Master'!R214="","",'Course_Master'!R214)</x:f>
        <x:v>1462</x:v>
      </x:c>
      <x:c r="P214" s="28" t="str">
        <x:f>IF('Course_Master'!U214="","",'Course_Master'!U214)</x:f>
        <x:v>Par-3/4 course</x:v>
      </x:c>
      <x:c r="Q214" s="28" t="str">
        <x:f>IF('Course_Master'!AD214="","",'Course_Master'!AD214)</x:f>
        <x:v>Public — NGF course permission</x:v>
      </x:c>
      <x:c r="R214" s="28" t="str">
        <x:f>IF('Course_Master'!AC214="","",'Course_Master'!AC214)</x:f>
        <x:v>Open</x:v>
      </x:c>
      <x:c r="S214" s="28" t="str">
        <x:f>IF('Course_Master'!Y214="","",'Course_Master'!Y214)</x:f>
        <x:v>https://golfparkweilenseind.nl/</x:v>
      </x:c>
      <x:c r="T214" s="28" t="b">
        <x:f>IF('Course_Master'!Z214="","",'Course_Master'!Z214)</x:f>
        <x:v>1</x:v>
      </x:c>
      <x:c r="U214" s="28" t="b">
        <x:f>IF('Course_Master'!AA214="","",'Course_Master'!AA214)</x:f>
        <x:v>1</x:v>
      </x:c>
      <x:c r="V214" s="28" t="str">
        <x:f>IF('Course_Master'!AL214="","",'Course_Master'!AL214)</x:f>
        <x:v>Verified — national register and exact BAG address</x:v>
      </x:c>
    </x:row>
    <x:row r="215">
      <x:c r="A215" s="28" t="str">
        <x:f>IF('Course_Master'!B215="","",'Course_Master'!B215)</x:f>
        <x:v>NL-0214</x:v>
      </x:c>
      <x:c r="B215" s="28" t="str">
        <x:f>IF('Course_Master'!C215="","",'Course_Master'!C215)</x:f>
        <x:v>Golfvereniging Albatross</x:v>
      </x:c>
      <x:c r="C215" s="28" t="str">
        <x:f>IF('Course_Master'!D215="","",'Course_Master'!D215)</x:f>
        <x:v>Golfvereniging Albatross</x:v>
      </x:c>
      <x:c r="D215" s="28" t="str">
        <x:f>IF('Course_Master'!E215="","",'Course_Master'!E215)</x:f>
        <x:v>Course</x:v>
      </x:c>
      <x:c r="E215" s="28" t="str">
        <x:f>IF('Course_Master'!F215="","",'Course_Master'!F215)</x:f>
        <x:v>Netherlands</x:v>
      </x:c>
      <x:c r="F215" s="28" t="str">
        <x:f>IF('Course_Master'!G215="","",'Course_Master'!G215)</x:f>
        <x:v>Noord-Brabant</x:v>
      </x:c>
      <x:c r="G215" s="28" t="str">
        <x:f>IF('Course_Master'!H215="","",'Course_Master'!H215)</x:f>
        <x:v>Breda</x:v>
      </x:c>
      <x:c r="H215" s="28" t="str">
        <x:f>IF('Course_Master'!I215="","",'Course_Master'!I215)</x:f>
        <x:v>Prinsenbeek</x:v>
      </x:c>
      <x:c r="I215" s="28" t="str">
        <x:f>IF('Course_Master'!K215="","",'Course_Master'!K215)</x:f>
        <x:v>4841 KG</x:v>
      </x:c>
      <x:c r="J215" s="34" t="n">
        <x:f>IF('Course_Master'!L215="","",'Course_Master'!L215)</x:f>
        <x:v>51.61800722</x:v>
      </x:c>
      <x:c r="K215" s="34" t="n">
        <x:f>IF('Course_Master'!M215="","",'Course_Master'!M215)</x:f>
        <x:v>4.6988517</x:v>
      </x:c>
      <x:c r="L215" s="28" t="n">
        <x:f>IF('Course_Master'!S215="","",'Course_Master'!S215)</x:f>
        <x:v>9</x:v>
      </x:c>
      <x:c r="M215" s="28" t="n">
        <x:f>IF('Course_Master'!T215="","",'Course_Master'!T215)</x:f>
        <x:v>35</x:v>
      </x:c>
      <x:c r="N215" s="28" t="n">
        <x:f>IF('Course_Master'!Q215="","",'Course_Master'!Q215)</x:f>
        <x:v>3007</x:v>
      </x:c>
      <x:c r="O215" s="28" t="n">
        <x:f>IF('Course_Master'!R215="","",'Course_Master'!R215)</x:f>
        <x:v>2750</x:v>
      </x:c>
      <x:c r="P215" s="28" t="str">
        <x:f>IF('Course_Master'!U215="","",'Course_Master'!U215)</x:f>
        <x:v>Full-length course</x:v>
      </x:c>
      <x:c r="Q215" s="28" t="str">
        <x:f>IF('Course_Master'!AD215="","",'Course_Master'!AD215)</x:f>
        <x:v>Public — handicap 54 or lower</x:v>
      </x:c>
      <x:c r="R215" s="28" t="str">
        <x:f>IF('Course_Master'!AC215="","",'Course_Master'!AC215)</x:f>
        <x:v>Open</x:v>
      </x:c>
      <x:c r="S215" s="28" t="str">
        <x:f>IF('Course_Master'!Y215="","",'Course_Master'!Y215)</x:f>
        <x:v>https://www.albatrossgolf.nl/</x:v>
      </x:c>
      <x:c r="T215" s="28" t="b">
        <x:f>IF('Course_Master'!Z215="","",'Course_Master'!Z215)</x:f>
        <x:v>1</x:v>
      </x:c>
      <x:c r="U215" s="28" t="b">
        <x:f>IF('Course_Master'!AA215="","",'Course_Master'!AA215)</x:f>
        <x:v>1</x:v>
      </x:c>
      <x:c r="V215" s="28" t="str">
        <x:f>IF('Course_Master'!AL215="","",'Course_Master'!AL215)</x:f>
        <x:v>Verified — national register and exact BAG address</x:v>
      </x:c>
    </x:row>
    <x:row r="216">
      <x:c r="A216" s="28" t="str">
        <x:f>IF('Course_Master'!B216="","",'Course_Master'!B216)</x:f>
        <x:v>NL-0215</x:v>
      </x:c>
      <x:c r="B216" s="28" t="str">
        <x:f>IF('Course_Master'!C216="","",'Course_Master'!C216)</x:f>
        <x:v>Helmondse Golfclub Overbrug</x:v>
      </x:c>
      <x:c r="C216" s="28" t="str">
        <x:f>IF('Course_Master'!D216="","",'Course_Master'!D216)</x:f>
        <x:v>Helmondse Golfclub Overbrug</x:v>
      </x:c>
      <x:c r="D216" s="28" t="str">
        <x:f>IF('Course_Master'!E216="","",'Course_Master'!E216)</x:f>
        <x:v>Course</x:v>
      </x:c>
      <x:c r="E216" s="28" t="str">
        <x:f>IF('Course_Master'!F216="","",'Course_Master'!F216)</x:f>
        <x:v>Netherlands</x:v>
      </x:c>
      <x:c r="F216" s="28" t="str">
        <x:f>IF('Course_Master'!G216="","",'Course_Master'!G216)</x:f>
        <x:v>Noord-Brabant</x:v>
      </x:c>
      <x:c r="G216" s="28" t="str">
        <x:f>IF('Course_Master'!H216="","",'Course_Master'!H216)</x:f>
        <x:v>Helmond</x:v>
      </x:c>
      <x:c r="H216" s="28" t="str">
        <x:f>IF('Course_Master'!I216="","",'Course_Master'!I216)</x:f>
        <x:v>Helmond</x:v>
      </x:c>
      <x:c r="I216" s="28" t="str">
        <x:f>IF('Course_Master'!K216="","",'Course_Master'!K216)</x:f>
        <x:v>5707 LG</x:v>
      </x:c>
      <x:c r="J216" s="34" t="n">
        <x:f>IF('Course_Master'!L216="","",'Course_Master'!L216)</x:f>
        <x:v>51.49616846</x:v>
      </x:c>
      <x:c r="K216" s="34" t="n">
        <x:f>IF('Course_Master'!M216="","",'Course_Master'!M216)</x:f>
        <x:v>5.64773279</x:v>
      </x:c>
      <x:c r="L216" s="28" t="n">
        <x:f>IF('Course_Master'!S216="","",'Course_Master'!S216)</x:f>
        <x:v>9</x:v>
      </x:c>
      <x:c r="M216" s="28" t="n">
        <x:f>IF('Course_Master'!T216="","",'Course_Master'!T216)</x:f>
        <x:v>36</x:v>
      </x:c>
      <x:c r="N216" s="28" t="n">
        <x:f>IF('Course_Master'!Q216="","",'Course_Master'!Q216)</x:f>
        <x:v>3025</x:v>
      </x:c>
      <x:c r="O216" s="28" t="n">
        <x:f>IF('Course_Master'!R216="","",'Course_Master'!R216)</x:f>
        <x:v>2766</x:v>
      </x:c>
      <x:c r="P216" s="28" t="str">
        <x:f>IF('Course_Master'!U216="","",'Course_Master'!U216)</x:f>
        <x:v>Full-length course</x:v>
      </x:c>
      <x:c r="Q216" s="28" t="str">
        <x:f>IF('Course_Master'!AD216="","",'Course_Master'!AD216)</x:f>
        <x:v>Public — handicap 54 or lower</x:v>
      </x:c>
      <x:c r="R216" s="28" t="str">
        <x:f>IF('Course_Master'!AC216="","",'Course_Master'!AC216)</x:f>
        <x:v>Open</x:v>
      </x:c>
      <x:c r="S216" s="28" t="str">
        <x:f>IF('Course_Master'!Y216="","",'Course_Master'!Y216)</x:f>
        <x:v>https://hgc-overbrug.nl/</x:v>
      </x:c>
      <x:c r="T216" s="28" t="b">
        <x:f>IF('Course_Master'!Z216="","",'Course_Master'!Z216)</x:f>
        <x:v>1</x:v>
      </x:c>
      <x:c r="U216" s="28" t="b">
        <x:f>IF('Course_Master'!AA216="","",'Course_Master'!AA216)</x:f>
        <x:v>1</x:v>
      </x:c>
      <x:c r="V216" s="28" t="str">
        <x:f>IF('Course_Master'!AL216="","",'Course_Master'!AL216)</x:f>
        <x:v>Verified — national register and exact BAG address</x:v>
      </x:c>
    </x:row>
    <x:row r="217">
      <x:c r="A217" s="28" t="str">
        <x:f>IF('Course_Master'!B217="","",'Course_Master'!B217)</x:f>
        <x:v>NL-0216</x:v>
      </x:c>
      <x:c r="B217" s="28" t="str">
        <x:f>IF('Course_Master'!C217="","",'Course_Master'!C217)</x:f>
        <x:v>Leender Golfclub Haviksoord — Main Course</x:v>
      </x:c>
      <x:c r="C217" s="28" t="str">
        <x:f>IF('Course_Master'!D217="","",'Course_Master'!D217)</x:f>
        <x:v>Leender Golfclub Haviksoord</x:v>
      </x:c>
      <x:c r="D217" s="28" t="str">
        <x:f>IF('Course_Master'!E217="","",'Course_Master'!E217)</x:f>
        <x:v>Main Course</x:v>
      </x:c>
      <x:c r="E217" s="28" t="str">
        <x:f>IF('Course_Master'!F217="","",'Course_Master'!F217)</x:f>
        <x:v>Netherlands</x:v>
      </x:c>
      <x:c r="F217" s="28" t="str">
        <x:f>IF('Course_Master'!G217="","",'Course_Master'!G217)</x:f>
        <x:v>Noord-Brabant</x:v>
      </x:c>
      <x:c r="G217" s="28" t="str">
        <x:f>IF('Course_Master'!H217="","",'Course_Master'!H217)</x:f>
        <x:v>Heeze-Leende</x:v>
      </x:c>
      <x:c r="H217" s="28" t="str">
        <x:f>IF('Course_Master'!I217="","",'Course_Master'!I217)</x:f>
        <x:v>Leende</x:v>
      </x:c>
      <x:c r="I217" s="28" t="str">
        <x:f>IF('Course_Master'!K217="","",'Course_Master'!K217)</x:f>
        <x:v>5595 XG</x:v>
      </x:c>
      <x:c r="J217" s="34" t="n">
        <x:f>IF('Course_Master'!L217="","",'Course_Master'!L217)</x:f>
        <x:v>51.33233918</x:v>
      </x:c>
      <x:c r="K217" s="34" t="n">
        <x:f>IF('Course_Master'!M217="","",'Course_Master'!M217)</x:f>
        <x:v>5.59520464</x:v>
      </x:c>
      <x:c r="L217" s="28" t="n">
        <x:f>IF('Course_Master'!S217="","",'Course_Master'!S217)</x:f>
        <x:v>18</x:v>
      </x:c>
      <x:c r="M217" s="28" t="n">
        <x:f>IF('Course_Master'!T217="","",'Course_Master'!T217)</x:f>
        <x:v>72</x:v>
      </x:c>
      <x:c r="N217" s="28" t="n">
        <x:f>IF('Course_Master'!Q217="","",'Course_Master'!Q217)</x:f>
        <x:v>6652</x:v>
      </x:c>
      <x:c r="O217" s="28" t="n">
        <x:f>IF('Course_Master'!R217="","",'Course_Master'!R217)</x:f>
        <x:v>6083</x:v>
      </x:c>
      <x:c r="P217" s="28" t="str">
        <x:f>IF('Course_Master'!U217="","",'Course_Master'!U217)</x:f>
        <x:v>Full-length course</x:v>
      </x:c>
      <x:c r="Q217" s="28" t="str">
        <x:f>IF('Course_Master'!AD217="","",'Course_Master'!AD217)</x:f>
        <x:v>Public — handicap 54 or lower</x:v>
      </x:c>
      <x:c r="R217" s="28" t="str">
        <x:f>IF('Course_Master'!AC217="","",'Course_Master'!AC217)</x:f>
        <x:v>Open</x:v>
      </x:c>
      <x:c r="S217" s="28" t="str">
        <x:f>IF('Course_Master'!Y217="","",'Course_Master'!Y217)</x:f>
        <x:v>https://www.haviksoord.nl/</x:v>
      </x:c>
      <x:c r="T217" s="28" t="b">
        <x:f>IF('Course_Master'!Z217="","",'Course_Master'!Z217)</x:f>
        <x:v>1</x:v>
      </x:c>
      <x:c r="U217" s="28" t="b">
        <x:f>IF('Course_Master'!AA217="","",'Course_Master'!AA217)</x:f>
        <x:v>1</x:v>
      </x:c>
      <x:c r="V217" s="28" t="str">
        <x:f>IF('Course_Master'!AL217="","",'Course_Master'!AL217)</x:f>
        <x:v>Verified — national register and exact BAG address</x:v>
      </x:c>
    </x:row>
    <x:row r="218">
      <x:c r="A218" s="28" t="str">
        <x:f>IF('Course_Master'!B218="","",'Course_Master'!B218)</x:f>
        <x:v>NL-0217</x:v>
      </x:c>
      <x:c r="B218" s="28" t="str">
        <x:f>IF('Course_Master'!C218="","",'Course_Master'!C218)</x:f>
        <x:v>Midden-Brabant, Golfbaan — Par 3 Pitch &amp; Putt oefenbaan</x:v>
      </x:c>
      <x:c r="C218" s="28" t="str">
        <x:f>IF('Course_Master'!D218="","",'Course_Master'!D218)</x:f>
        <x:v>Midden-Brabant, Golfbaan</x:v>
      </x:c>
      <x:c r="D218" s="28" t="str">
        <x:f>IF('Course_Master'!E218="","",'Course_Master'!E218)</x:f>
        <x:v>Par 3 Pitch &amp; Putt oefenbaan</x:v>
      </x:c>
      <x:c r="E218" s="28" t="str">
        <x:f>IF('Course_Master'!F218="","",'Course_Master'!F218)</x:f>
        <x:v>Netherlands</x:v>
      </x:c>
      <x:c r="F218" s="28" t="str">
        <x:f>IF('Course_Master'!G218="","",'Course_Master'!G218)</x:f>
        <x:v>Noord-Brabant</x:v>
      </x:c>
      <x:c r="G218" s="28" t="str">
        <x:f>IF('Course_Master'!H218="","",'Course_Master'!H218)</x:f>
        <x:v>Hilvarenbeek</x:v>
      </x:c>
      <x:c r="H218" s="28" t="str">
        <x:f>IF('Course_Master'!I218="","",'Course_Master'!I218)</x:f>
        <x:v>Esbeek</x:v>
      </x:c>
      <x:c r="I218" s="28" t="str">
        <x:f>IF('Course_Master'!K218="","",'Course_Master'!K218)</x:f>
        <x:v>5085 ND</x:v>
      </x:c>
      <x:c r="J218" s="34" t="n">
        <x:f>IF('Course_Master'!L218="","",'Course_Master'!L218)</x:f>
        <x:v>51.44818499</x:v>
      </x:c>
      <x:c r="K218" s="34" t="n">
        <x:f>IF('Course_Master'!M218="","",'Course_Master'!M218)</x:f>
        <x:v>5.14268216</x:v>
      </x:c>
      <x:c r="L218" s="28" t="n">
        <x:f>IF('Course_Master'!S218="","",'Course_Master'!S218)</x:f>
        <x:v>9</x:v>
      </x:c>
      <x:c r="M218" s="28" t="n">
        <x:f>IF('Course_Master'!T218="","",'Course_Master'!T218)</x:f>
        <x:v>27</x:v>
      </x:c>
      <x:c r="N218" s="28" t="n">
        <x:f>IF('Course_Master'!Q218="","",'Course_Master'!Q218)</x:f>
        <x:v>656</x:v>
      </x:c>
      <x:c r="O218" s="28" t="n">
        <x:f>IF('Course_Master'!R218="","",'Course_Master'!R218)</x:f>
        <x:v>600</x:v>
      </x:c>
      <x:c r="P218" s="28" t="str">
        <x:f>IF('Course_Master'!U218="","",'Course_Master'!U218)</x:f>
        <x:v>Par-3 course</x:v>
      </x:c>
      <x:c r="Q218" s="28" t="str">
        <x:f>IF('Course_Master'!AD218="","",'Course_Master'!AD218)</x:f>
        <x:v>Public — no playing requirement</x:v>
      </x:c>
      <x:c r="R218" s="28" t="str">
        <x:f>IF('Course_Master'!AC218="","",'Course_Master'!AC218)</x:f>
        <x:v>Open</x:v>
      </x:c>
      <x:c r="S218" s="28" t="str">
        <x:f>IF('Course_Master'!Y218="","",'Course_Master'!Y218)</x:f>
        <x:v>https://www.golfmiddenbrabant.nl/</x:v>
      </x:c>
      <x:c r="T218" s="28" t="b">
        <x:f>IF('Course_Master'!Z218="","",'Course_Master'!Z218)</x:f>
        <x:v>1</x:v>
      </x:c>
      <x:c r="U218" s="28" t="b">
        <x:f>IF('Course_Master'!AA218="","",'Course_Master'!AA218)</x:f>
        <x:v>1</x:v>
      </x:c>
      <x:c r="V218" s="28" t="str">
        <x:f>IF('Course_Master'!AL218="","",'Course_Master'!AL218)</x:f>
        <x:v>Verified — national register and exact BAG address</x:v>
      </x:c>
    </x:row>
    <x:row r="219">
      <x:c r="A219" s="28" t="str">
        <x:f>IF('Course_Master'!B219="","",'Course_Master'!B219)</x:f>
        <x:v>NL-0218</x:v>
      </x:c>
      <x:c r="B219" s="28" t="str">
        <x:f>IF('Course_Master'!C219="","",'Course_Master'!C219)</x:f>
        <x:v>Noord-Brabantsche Golfclub Toxandria — Main Course</x:v>
      </x:c>
      <x:c r="C219" s="28" t="str">
        <x:f>IF('Course_Master'!D219="","",'Course_Master'!D219)</x:f>
        <x:v>Noord-Brabantsche Golfclub Toxandria</x:v>
      </x:c>
      <x:c r="D219" s="28" t="str">
        <x:f>IF('Course_Master'!E219="","",'Course_Master'!E219)</x:f>
        <x:v>Main Course</x:v>
      </x:c>
      <x:c r="E219" s="28" t="str">
        <x:f>IF('Course_Master'!F219="","",'Course_Master'!F219)</x:f>
        <x:v>Netherlands</x:v>
      </x:c>
      <x:c r="F219" s="28" t="str">
        <x:f>IF('Course_Master'!G219="","",'Course_Master'!G219)</x:f>
        <x:v>Noord-Brabant</x:v>
      </x:c>
      <x:c r="G219" s="28" t="str">
        <x:f>IF('Course_Master'!H219="","",'Course_Master'!H219)</x:f>
        <x:v>Gilze en Rijen</x:v>
      </x:c>
      <x:c r="H219" s="28" t="str">
        <x:f>IF('Course_Master'!I219="","",'Course_Master'!I219)</x:f>
        <x:v>Molenschot</x:v>
      </x:c>
      <x:c r="I219" s="28" t="str">
        <x:f>IF('Course_Master'!K219="","",'Course_Master'!K219)</x:f>
        <x:v>5124 NC</x:v>
      </x:c>
      <x:c r="J219" s="34" t="n">
        <x:f>IF('Course_Master'!L219="","",'Course_Master'!L219)</x:f>
        <x:v>51.5821504</x:v>
      </x:c>
      <x:c r="K219" s="34" t="n">
        <x:f>IF('Course_Master'!M219="","",'Course_Master'!M219)</x:f>
        <x:v>4.88755914</x:v>
      </x:c>
      <x:c r="L219" s="28" t="n">
        <x:f>IF('Course_Master'!S219="","",'Course_Master'!S219)</x:f>
        <x:v>18</x:v>
      </x:c>
      <x:c r="M219" s="28" t="n">
        <x:f>IF('Course_Master'!T219="","",'Course_Master'!T219)</x:f>
        <x:v>72</x:v>
      </x:c>
      <x:c r="N219" s="28" t="n">
        <x:f>IF('Course_Master'!Q219="","",'Course_Master'!Q219)</x:f>
        <x:v>6646</x:v>
      </x:c>
      <x:c r="O219" s="28" t="n">
        <x:f>IF('Course_Master'!R219="","",'Course_Master'!R219)</x:f>
        <x:v>6077</x:v>
      </x:c>
      <x:c r="P219" s="28" t="str">
        <x:f>IF('Course_Master'!U219="","",'Course_Master'!U219)</x:f>
        <x:v>Full-length course</x:v>
      </x:c>
      <x:c r="Q219" s="28" t="str">
        <x:f>IF('Course_Master'!AD219="","",'Course_Master'!AD219)</x:f>
        <x:v>Public — handicap 24 or lower</x:v>
      </x:c>
      <x:c r="R219" s="28" t="str">
        <x:f>IF('Course_Master'!AC219="","",'Course_Master'!AC219)</x:f>
        <x:v>Open</x:v>
      </x:c>
      <x:c r="S219" s="28" t="str">
        <x:f>IF('Course_Master'!Y219="","",'Course_Master'!Y219)</x:f>
        <x:v>https://www.toxandria.nl/</x:v>
      </x:c>
      <x:c r="T219" s="28" t="b">
        <x:f>IF('Course_Master'!Z219="","",'Course_Master'!Z219)</x:f>
        <x:v>1</x:v>
      </x:c>
      <x:c r="U219" s="28" t="b">
        <x:f>IF('Course_Master'!AA219="","",'Course_Master'!AA219)</x:f>
        <x:v>1</x:v>
      </x:c>
      <x:c r="V219" s="28" t="str">
        <x:f>IF('Course_Master'!AL219="","",'Course_Master'!AL219)</x:f>
        <x:v>Verified — national register and exact BAG address</x:v>
      </x:c>
    </x:row>
    <x:row r="220">
      <x:c r="A220" s="28" t="str">
        <x:f>IF('Course_Master'!B220="","",'Course_Master'!B220)</x:f>
        <x:v>NL-0219</x:v>
      </x:c>
      <x:c r="B220" s="28" t="str">
        <x:f>IF('Course_Master'!C220="","",'Course_Master'!C220)</x:f>
        <x:v>Oosterhoutse Golf Club — Academy Course</x:v>
      </x:c>
      <x:c r="C220" s="28" t="str">
        <x:f>IF('Course_Master'!D220="","",'Course_Master'!D220)</x:f>
        <x:v>Oosterhoutse Golf Club</x:v>
      </x:c>
      <x:c r="D220" s="28" t="str">
        <x:f>IF('Course_Master'!E220="","",'Course_Master'!E220)</x:f>
        <x:v>Academy Course</x:v>
      </x:c>
      <x:c r="E220" s="28" t="str">
        <x:f>IF('Course_Master'!F220="","",'Course_Master'!F220)</x:f>
        <x:v>Netherlands</x:v>
      </x:c>
      <x:c r="F220" s="28" t="str">
        <x:f>IF('Course_Master'!G220="","",'Course_Master'!G220)</x:f>
        <x:v>Noord-Brabant</x:v>
      </x:c>
      <x:c r="G220" s="28" t="str">
        <x:f>IF('Course_Master'!H220="","",'Course_Master'!H220)</x:f>
        <x:v>Oosterhout</x:v>
      </x:c>
      <x:c r="H220" s="28" t="str">
        <x:f>IF('Course_Master'!I220="","",'Course_Master'!I220)</x:f>
        <x:v>Oosterhout</x:v>
      </x:c>
      <x:c r="I220" s="28" t="str">
        <x:f>IF('Course_Master'!K220="","",'Course_Master'!K220)</x:f>
        <x:v>4903 RN</x:v>
      </x:c>
      <x:c r="J220" s="34" t="n">
        <x:f>IF('Course_Master'!L220="","",'Course_Master'!L220)</x:f>
        <x:v>51.62120577</x:v>
      </x:c>
      <x:c r="K220" s="34" t="n">
        <x:f>IF('Course_Master'!M220="","",'Course_Master'!M220)</x:f>
        <x:v>4.86940257</x:v>
      </x:c>
      <x:c r="L220" s="28" t="n">
        <x:f>IF('Course_Master'!S220="","",'Course_Master'!S220)</x:f>
        <x:v>9</x:v>
      </x:c>
      <x:c r="M220" s="28" t="n">
        <x:f>IF('Course_Master'!T220="","",'Course_Master'!T220)</x:f>
        <x:v>27</x:v>
      </x:c>
      <x:c r="N220" s="28" t="n">
        <x:f>IF('Course_Master'!Q220="","",'Course_Master'!Q220)</x:f>
        <x:v>1389</x:v>
      </x:c>
      <x:c r="O220" s="28" t="n">
        <x:f>IF('Course_Master'!R220="","",'Course_Master'!R220)</x:f>
        <x:v>1270</x:v>
      </x:c>
      <x:c r="P220" s="28" t="str">
        <x:f>IF('Course_Master'!U220="","",'Course_Master'!U220)</x:f>
        <x:v>Par-3 course</x:v>
      </x:c>
      <x:c r="Q220" s="28" t="str">
        <x:f>IF('Course_Master'!AD220="","",'Course_Master'!AD220)</x:f>
        <x:v>Public — NGF course permission</x:v>
      </x:c>
      <x:c r="R220" s="28" t="str">
        <x:f>IF('Course_Master'!AC220="","",'Course_Master'!AC220)</x:f>
        <x:v>Open</x:v>
      </x:c>
      <x:c r="S220" s="28" t="str">
        <x:f>IF('Course_Master'!Y220="","",'Course_Master'!Y220)</x:f>
        <x:v>https://www.oosterhoutse.nl/</x:v>
      </x:c>
      <x:c r="T220" s="28" t="b">
        <x:f>IF('Course_Master'!Z220="","",'Course_Master'!Z220)</x:f>
        <x:v>1</x:v>
      </x:c>
      <x:c r="U220" s="28" t="b">
        <x:f>IF('Course_Master'!AA220="","",'Course_Master'!AA220)</x:f>
        <x:v>1</x:v>
      </x:c>
      <x:c r="V220" s="28" t="str">
        <x:f>IF('Course_Master'!AL220="","",'Course_Master'!AL220)</x:f>
        <x:v>Verified — national register and exact BAG address</x:v>
      </x:c>
    </x:row>
    <x:row r="221">
      <x:c r="A221" s="28" t="str">
        <x:f>IF('Course_Master'!B221="","",'Course_Master'!B221)</x:f>
        <x:v>NL-0220</x:v>
      </x:c>
      <x:c r="B221" s="28" t="str">
        <x:f>IF('Course_Master'!C221="","",'Course_Master'!C221)</x:f>
        <x:v>Oosterhoutse Golf Club — Main Course</x:v>
      </x:c>
      <x:c r="C221" s="28" t="str">
        <x:f>IF('Course_Master'!D221="","",'Course_Master'!D221)</x:f>
        <x:v>Oosterhoutse Golf Club</x:v>
      </x:c>
      <x:c r="D221" s="28" t="str">
        <x:f>IF('Course_Master'!E221="","",'Course_Master'!E221)</x:f>
        <x:v>Main Course</x:v>
      </x:c>
      <x:c r="E221" s="28" t="str">
        <x:f>IF('Course_Master'!F221="","",'Course_Master'!F221)</x:f>
        <x:v>Netherlands</x:v>
      </x:c>
      <x:c r="F221" s="28" t="str">
        <x:f>IF('Course_Master'!G221="","",'Course_Master'!G221)</x:f>
        <x:v>Noord-Brabant</x:v>
      </x:c>
      <x:c r="G221" s="28" t="str">
        <x:f>IF('Course_Master'!H221="","",'Course_Master'!H221)</x:f>
        <x:v>Oosterhout</x:v>
      </x:c>
      <x:c r="H221" s="28" t="str">
        <x:f>IF('Course_Master'!I221="","",'Course_Master'!I221)</x:f>
        <x:v>Oosterhout</x:v>
      </x:c>
      <x:c r="I221" s="28" t="str">
        <x:f>IF('Course_Master'!K221="","",'Course_Master'!K221)</x:f>
        <x:v>4903 RN</x:v>
      </x:c>
      <x:c r="J221" s="34" t="n">
        <x:f>IF('Course_Master'!L221="","",'Course_Master'!L221)</x:f>
        <x:v>51.62120577</x:v>
      </x:c>
      <x:c r="K221" s="34" t="n">
        <x:f>IF('Course_Master'!M221="","",'Course_Master'!M221)</x:f>
        <x:v>4.86940257</x:v>
      </x:c>
      <x:c r="L221" s="28" t="n">
        <x:f>IF('Course_Master'!S221="","",'Course_Master'!S221)</x:f>
        <x:v>18</x:v>
      </x:c>
      <x:c r="M221" s="28" t="n">
        <x:f>IF('Course_Master'!T221="","",'Course_Master'!T221)</x:f>
        <x:v>72</x:v>
      </x:c>
      <x:c r="N221" s="28" t="n">
        <x:f>IF('Course_Master'!Q221="","",'Course_Master'!Q221)</x:f>
        <x:v>6719</x:v>
      </x:c>
      <x:c r="O221" s="28" t="n">
        <x:f>IF('Course_Master'!R221="","",'Course_Master'!R221)</x:f>
        <x:v>6144</x:v>
      </x:c>
      <x:c r="P221" s="28" t="str">
        <x:f>IF('Course_Master'!U221="","",'Course_Master'!U221)</x:f>
        <x:v>Full-length course</x:v>
      </x:c>
      <x:c r="Q221" s="28" t="str">
        <x:f>IF('Course_Master'!AD221="","",'Course_Master'!AD221)</x:f>
        <x:v>Public — handicap 54 or lower</x:v>
      </x:c>
      <x:c r="R221" s="28" t="str">
        <x:f>IF('Course_Master'!AC221="","",'Course_Master'!AC221)</x:f>
        <x:v>Open</x:v>
      </x:c>
      <x:c r="S221" s="28" t="str">
        <x:f>IF('Course_Master'!Y221="","",'Course_Master'!Y221)</x:f>
        <x:v>https://www.oosterhoutse.nl/</x:v>
      </x:c>
      <x:c r="T221" s="28" t="b">
        <x:f>IF('Course_Master'!Z221="","",'Course_Master'!Z221)</x:f>
        <x:v>1</x:v>
      </x:c>
      <x:c r="U221" s="28" t="b">
        <x:f>IF('Course_Master'!AA221="","",'Course_Master'!AA221)</x:f>
        <x:v>1</x:v>
      </x:c>
      <x:c r="V221" s="28" t="str">
        <x:f>IF('Course_Master'!AL221="","",'Course_Master'!AL221)</x:f>
        <x:v>Verified — national register and exact BAG address</x:v>
      </x:c>
    </x:row>
    <x:row r="222">
      <x:c r="A222" s="28" t="str">
        <x:f>IF('Course_Master'!B222="","",'Course_Master'!B222)</x:f>
        <x:v>NL-0221</x:v>
      </x:c>
      <x:c r="B222" s="28" t="str">
        <x:f>IF('Course_Master'!C222="","",'Course_Master'!C222)</x:f>
        <x:v>Pitch &amp; putt Golf De Leemput</x:v>
      </x:c>
      <x:c r="C222" s="28" t="str">
        <x:f>IF('Course_Master'!D222="","",'Course_Master'!D222)</x:f>
        <x:v>Pitch &amp; putt Golf De Leemput</x:v>
      </x:c>
      <x:c r="D222" s="28" t="str">
        <x:f>IF('Course_Master'!E222="","",'Course_Master'!E222)</x:f>
        <x:v>Course</x:v>
      </x:c>
      <x:c r="E222" s="28" t="str">
        <x:f>IF('Course_Master'!F222="","",'Course_Master'!F222)</x:f>
        <x:v>Netherlands</x:v>
      </x:c>
      <x:c r="F222" s="28" t="str">
        <x:f>IF('Course_Master'!G222="","",'Course_Master'!G222)</x:f>
        <x:v>Noord-Brabant</x:v>
      </x:c>
      <x:c r="G222" s="28" t="str">
        <x:f>IF('Course_Master'!H222="","",'Course_Master'!H222)</x:f>
        <x:v>Gilze en Rijen</x:v>
      </x:c>
      <x:c r="H222" s="28" t="str">
        <x:f>IF('Course_Master'!I222="","",'Course_Master'!I222)</x:f>
        <x:v>Rijen</x:v>
      </x:c>
      <x:c r="I222" s="28" t="str">
        <x:f>IF('Course_Master'!K222="","",'Course_Master'!K222)</x:f>
        <x:v>5121 RG</x:v>
      </x:c>
      <x:c r="J222" s="34" t="n">
        <x:f>IF('Course_Master'!L222="","",'Course_Master'!L222)</x:f>
        <x:v>51.58826093</x:v>
      </x:c>
      <x:c r="K222" s="34" t="n">
        <x:f>IF('Course_Master'!M222="","",'Course_Master'!M222)</x:f>
        <x:v>4.89844923</x:v>
      </x:c>
      <x:c r="L222" s="28" t="n">
        <x:f>IF('Course_Master'!S222="","",'Course_Master'!S222)</x:f>
        <x:v>9</x:v>
      </x:c>
      <x:c r="M222" s="28" t="n">
        <x:f>IF('Course_Master'!T222="","",'Course_Master'!T222)</x:f>
        <x:v>27</x:v>
      </x:c>
      <x:c r="N222" s="28" t="n">
        <x:f>IF('Course_Master'!Q222="","",'Course_Master'!Q222)</x:f>
        <x:v>437</x:v>
      </x:c>
      <x:c r="O222" s="28" t="n">
        <x:f>IF('Course_Master'!R222="","",'Course_Master'!R222)</x:f>
        <x:v>400</x:v>
      </x:c>
      <x:c r="P222" s="28" t="str">
        <x:f>IF('Course_Master'!U222="","",'Course_Master'!U222)</x:f>
        <x:v>Shortgolf / Pitch &amp; Putt</x:v>
      </x:c>
      <x:c r="Q222" s="28" t="str">
        <x:f>IF('Course_Master'!AD222="","",'Course_Master'!AD222)</x:f>
        <x:v>Public — no playing requirement</x:v>
      </x:c>
      <x:c r="R222" s="28" t="str">
        <x:f>IF('Course_Master'!AC222="","",'Course_Master'!AC222)</x:f>
        <x:v>Open</x:v>
      </x:c>
      <x:c r="S222" s="28" t="str">
        <x:f>IF('Course_Master'!Y222="","",'Course_Master'!Y222)</x:f>
        <x:v>https://www.deleemput.nl/pitch-en-putt</x:v>
      </x:c>
      <x:c r="T222" s="28" t="b">
        <x:f>IF('Course_Master'!Z222="","",'Course_Master'!Z222)</x:f>
        <x:v>1</x:v>
      </x:c>
      <x:c r="U222" s="28" t="b">
        <x:f>IF('Course_Master'!AA222="","",'Course_Master'!AA222)</x:f>
        <x:v>1</x:v>
      </x:c>
      <x:c r="V222" s="28" t="str">
        <x:f>IF('Course_Master'!AL222="","",'Course_Master'!AL222)</x:f>
        <x:v>Verified — national register and exact BAG address</x:v>
      </x:c>
    </x:row>
    <x:row r="223">
      <x:c r="A223" s="28" t="str">
        <x:f>IF('Course_Master'!B223="","",'Course_Master'!B223)</x:f>
        <x:v>NL-0222</x:v>
      </x:c>
      <x:c r="B223" s="28" t="str">
        <x:f>IF('Course_Master'!C223="","",'Course_Master'!C223)</x:f>
        <x:v>Pitch &amp; Putt Oirschot</x:v>
      </x:c>
      <x:c r="C223" s="28" t="str">
        <x:f>IF('Course_Master'!D223="","",'Course_Master'!D223)</x:f>
        <x:v>Pitch &amp; Putt Oirschot</x:v>
      </x:c>
      <x:c r="D223" s="28" t="str">
        <x:f>IF('Course_Master'!E223="","",'Course_Master'!E223)</x:f>
        <x:v>Course</x:v>
      </x:c>
      <x:c r="E223" s="28" t="str">
        <x:f>IF('Course_Master'!F223="","",'Course_Master'!F223)</x:f>
        <x:v>Netherlands</x:v>
      </x:c>
      <x:c r="F223" s="28" t="str">
        <x:f>IF('Course_Master'!G223="","",'Course_Master'!G223)</x:f>
        <x:v>Noord-Brabant</x:v>
      </x:c>
      <x:c r="G223" s="28" t="str">
        <x:f>IF('Course_Master'!H223="","",'Course_Master'!H223)</x:f>
        <x:v>Oirschot</x:v>
      </x:c>
      <x:c r="H223" s="28" t="str">
        <x:f>IF('Course_Master'!I223="","",'Course_Master'!I223)</x:f>
        <x:v>Oirschot</x:v>
      </x:c>
      <x:c r="I223" s="28" t="str">
        <x:f>IF('Course_Master'!K223="","",'Course_Master'!K223)</x:f>
        <x:v>5688 KE</x:v>
      </x:c>
      <x:c r="J223" s="34" t="n">
        <x:f>IF('Course_Master'!L223="","",'Course_Master'!L223)</x:f>
        <x:v>51.51653073</x:v>
      </x:c>
      <x:c r="K223" s="34" t="n">
        <x:f>IF('Course_Master'!M223="","",'Course_Master'!M223)</x:f>
        <x:v>5.28016962</x:v>
      </x:c>
      <x:c r="L223" s="28" t="n">
        <x:f>IF('Course_Master'!S223="","",'Course_Master'!S223)</x:f>
        <x:v>9</x:v>
      </x:c>
      <x:c r="M223" s="28" t="n">
        <x:f>IF('Course_Master'!T223="","",'Course_Master'!T223)</x:f>
        <x:v>27</x:v>
      </x:c>
      <x:c r="N223" s="28" t="n">
        <x:f>IF('Course_Master'!Q223="","",'Course_Master'!Q223)</x:f>
        <x:v>492</x:v>
      </x:c>
      <x:c r="O223" s="28" t="n">
        <x:f>IF('Course_Master'!R223="","",'Course_Master'!R223)</x:f>
        <x:v>450</x:v>
      </x:c>
      <x:c r="P223" s="28" t="str">
        <x:f>IF('Course_Master'!U223="","",'Course_Master'!U223)</x:f>
        <x:v>Shortgolf / Pitch &amp; Putt</x:v>
      </x:c>
      <x:c r="Q223" s="28" t="str">
        <x:f>IF('Course_Master'!AD223="","",'Course_Master'!AD223)</x:f>
        <x:v>Public — no playing requirement</x:v>
      </x:c>
      <x:c r="R223" s="28" t="str">
        <x:f>IF('Course_Master'!AC223="","",'Course_Master'!AC223)</x:f>
        <x:v>Open</x:v>
      </x:c>
      <x:c r="S223" s="28" t="str">
        <x:f>IF('Course_Master'!Y223="","",'Course_Master'!Y223)</x:f>
        <x:v>https://pitch-putt.nl/locaties/oirschot/</x:v>
      </x:c>
      <x:c r="T223" s="28" t="b">
        <x:f>IF('Course_Master'!Z223="","",'Course_Master'!Z223)</x:f>
        <x:v>1</x:v>
      </x:c>
      <x:c r="U223" s="28" t="b">
        <x:f>IF('Course_Master'!AA223="","",'Course_Master'!AA223)</x:f>
        <x:v>1</x:v>
      </x:c>
      <x:c r="V223" s="28" t="str">
        <x:f>IF('Course_Master'!AL223="","",'Course_Master'!AL223)</x:f>
        <x:v>Verified — national register and exact BAG address</x:v>
      </x:c>
    </x:row>
    <x:row r="224">
      <x:c r="A224" s="28" t="str">
        <x:f>IF('Course_Master'!B224="","",'Course_Master'!B224)</x:f>
        <x:v>NL-0223</x:v>
      </x:c>
      <x:c r="B224" s="28" t="str">
        <x:f>IF('Course_Master'!C224="","",'Course_Master'!C224)</x:f>
        <x:v>Prise d'Eau Golf — Blaak</x:v>
      </x:c>
      <x:c r="C224" s="28" t="str">
        <x:f>IF('Course_Master'!D224="","",'Course_Master'!D224)</x:f>
        <x:v>Prise d'Eau Golf</x:v>
      </x:c>
      <x:c r="D224" s="28" t="str">
        <x:f>IF('Course_Master'!E224="","",'Course_Master'!E224)</x:f>
        <x:v>Blaak</x:v>
      </x:c>
      <x:c r="E224" s="28" t="str">
        <x:f>IF('Course_Master'!F224="","",'Course_Master'!F224)</x:f>
        <x:v>Netherlands</x:v>
      </x:c>
      <x:c r="F224" s="28" t="str">
        <x:f>IF('Course_Master'!G224="","",'Course_Master'!G224)</x:f>
        <x:v>Noord-Brabant</x:v>
      </x:c>
      <x:c r="G224" s="28" t="str">
        <x:f>IF('Course_Master'!H224="","",'Course_Master'!H224)</x:f>
        <x:v>Tilburg</x:v>
      </x:c>
      <x:c r="H224" s="28" t="str">
        <x:f>IF('Course_Master'!I224="","",'Course_Master'!I224)</x:f>
        <x:v>Tilburg</x:v>
      </x:c>
      <x:c r="I224" s="28" t="str">
        <x:f>IF('Course_Master'!K224="","",'Course_Master'!K224)</x:f>
        <x:v>5032 VC</x:v>
      </x:c>
      <x:c r="J224" s="34" t="n">
        <x:f>IF('Course_Master'!L224="","",'Course_Master'!L224)</x:f>
        <x:v>51.54932505</x:v>
      </x:c>
      <x:c r="K224" s="34" t="n">
        <x:f>IF('Course_Master'!M224="","",'Course_Master'!M224)</x:f>
        <x:v>4.99465272</x:v>
      </x:c>
      <x:c r="L224" s="28" t="n">
        <x:f>IF('Course_Master'!S224="","",'Course_Master'!S224)</x:f>
        <x:v>9</x:v>
      </x:c>
      <x:c r="M224" s="28" t="n">
        <x:f>IF('Course_Master'!T224="","",'Course_Master'!T224)</x:f>
        <x:v>36</x:v>
      </x:c>
      <x:c r="N224" s="28" t="n">
        <x:f>IF('Course_Master'!Q224="","",'Course_Master'!Q224)</x:f>
        <x:v>3489</x:v>
      </x:c>
      <x:c r="O224" s="28" t="n">
        <x:f>IF('Course_Master'!R224="","",'Course_Master'!R224)</x:f>
        <x:v>3190</x:v>
      </x:c>
      <x:c r="P224" s="28" t="str">
        <x:f>IF('Course_Master'!U224="","",'Course_Master'!U224)</x:f>
        <x:v>Full-length course</x:v>
      </x:c>
      <x:c r="Q224" s="28" t="str">
        <x:f>IF('Course_Master'!AD224="","",'Course_Master'!AD224)</x:f>
        <x:v>Public — NGF course permission</x:v>
      </x:c>
      <x:c r="R224" s="28" t="str">
        <x:f>IF('Course_Master'!AC224="","",'Course_Master'!AC224)</x:f>
        <x:v>Open</x:v>
      </x:c>
      <x:c r="S224" s="28" t="str">
        <x:f>IF('Course_Master'!Y224="","",'Course_Master'!Y224)</x:f>
        <x:v>https://prisedeau-golf.nl/</x:v>
      </x:c>
      <x:c r="T224" s="28" t="b">
        <x:f>IF('Course_Master'!Z224="","",'Course_Master'!Z224)</x:f>
        <x:v>1</x:v>
      </x:c>
      <x:c r="U224" s="28" t="b">
        <x:f>IF('Course_Master'!AA224="","",'Course_Master'!AA224)</x:f>
        <x:v>1</x:v>
      </x:c>
      <x:c r="V224" s="28" t="str">
        <x:f>IF('Course_Master'!AL224="","",'Course_Master'!AL224)</x:f>
        <x:v>Verified — national register and exact BAG address</x:v>
      </x:c>
    </x:row>
    <x:row r="225">
      <x:c r="A225" s="28" t="str">
        <x:f>IF('Course_Master'!B225="","",'Course_Master'!B225)</x:f>
        <x:v>NL-0224</x:v>
      </x:c>
      <x:c r="B225" s="28" t="str">
        <x:f>IF('Course_Master'!C225="","",'Course_Master'!C225)</x:f>
        <x:v>Prise d'Eau Golf — Leij</x:v>
      </x:c>
      <x:c r="C225" s="28" t="str">
        <x:f>IF('Course_Master'!D225="","",'Course_Master'!D225)</x:f>
        <x:v>Prise d'Eau Golf</x:v>
      </x:c>
      <x:c r="D225" s="28" t="str">
        <x:f>IF('Course_Master'!E225="","",'Course_Master'!E225)</x:f>
        <x:v>Leij</x:v>
      </x:c>
      <x:c r="E225" s="28" t="str">
        <x:f>IF('Course_Master'!F225="","",'Course_Master'!F225)</x:f>
        <x:v>Netherlands</x:v>
      </x:c>
      <x:c r="F225" s="28" t="str">
        <x:f>IF('Course_Master'!G225="","",'Course_Master'!G225)</x:f>
        <x:v>Noord-Brabant</x:v>
      </x:c>
      <x:c r="G225" s="28" t="str">
        <x:f>IF('Course_Master'!H225="","",'Course_Master'!H225)</x:f>
        <x:v>Tilburg</x:v>
      </x:c>
      <x:c r="H225" s="28" t="str">
        <x:f>IF('Course_Master'!I225="","",'Course_Master'!I225)</x:f>
        <x:v>Tilburg</x:v>
      </x:c>
      <x:c r="I225" s="28" t="str">
        <x:f>IF('Course_Master'!K225="","",'Course_Master'!K225)</x:f>
        <x:v>5032 VC</x:v>
      </x:c>
      <x:c r="J225" s="34" t="n">
        <x:f>IF('Course_Master'!L225="","",'Course_Master'!L225)</x:f>
        <x:v>51.54932505</x:v>
      </x:c>
      <x:c r="K225" s="34" t="n">
        <x:f>IF('Course_Master'!M225="","",'Course_Master'!M225)</x:f>
        <x:v>4.99465272</x:v>
      </x:c>
      <x:c r="L225" s="28" t="n">
        <x:f>IF('Course_Master'!S225="","",'Course_Master'!S225)</x:f>
        <x:v>9</x:v>
      </x:c>
      <x:c r="M225" s="28" t="n">
        <x:f>IF('Course_Master'!T225="","",'Course_Master'!T225)</x:f>
        <x:v>36</x:v>
      </x:c>
      <x:c r="N225" s="28" t="n">
        <x:f>IF('Course_Master'!Q225="","",'Course_Master'!Q225)</x:f>
        <x:v>3536</x:v>
      </x:c>
      <x:c r="O225" s="28" t="n">
        <x:f>IF('Course_Master'!R225="","",'Course_Master'!R225)</x:f>
        <x:v>3233</x:v>
      </x:c>
      <x:c r="P225" s="28" t="str">
        <x:f>IF('Course_Master'!U225="","",'Course_Master'!U225)</x:f>
        <x:v>Full-length course</x:v>
      </x:c>
      <x:c r="Q225" s="28" t="str">
        <x:f>IF('Course_Master'!AD225="","",'Course_Master'!AD225)</x:f>
        <x:v>Public — NGF course permission</x:v>
      </x:c>
      <x:c r="R225" s="28" t="str">
        <x:f>IF('Course_Master'!AC225="","",'Course_Master'!AC225)</x:f>
        <x:v>Open</x:v>
      </x:c>
      <x:c r="S225" s="28" t="str">
        <x:f>IF('Course_Master'!Y225="","",'Course_Master'!Y225)</x:f>
        <x:v>https://prisedeau-golf.nl/</x:v>
      </x:c>
      <x:c r="T225" s="28" t="b">
        <x:f>IF('Course_Master'!Z225="","",'Course_Master'!Z225)</x:f>
        <x:v>1</x:v>
      </x:c>
      <x:c r="U225" s="28" t="b">
        <x:f>IF('Course_Master'!AA225="","",'Course_Master'!AA225)</x:f>
        <x:v>1</x:v>
      </x:c>
      <x:c r="V225" s="28" t="str">
        <x:f>IF('Course_Master'!AL225="","",'Course_Master'!AL225)</x:f>
        <x:v>Verified — national register and exact BAG address</x:v>
      </x:c>
    </x:row>
    <x:row r="226">
      <x:c r="A226" s="28" t="str">
        <x:f>IF('Course_Master'!B226="","",'Course_Master'!B226)</x:f>
        <x:v>NL-0225</x:v>
      </x:c>
      <x:c r="B226" s="28" t="str">
        <x:f>IF('Course_Master'!C226="","",'Course_Master'!C226)</x:f>
        <x:v>Prise d'Eau Golf — Sijsten</x:v>
      </x:c>
      <x:c r="C226" s="28" t="str">
        <x:f>IF('Course_Master'!D226="","",'Course_Master'!D226)</x:f>
        <x:v>Prise d'Eau Golf</x:v>
      </x:c>
      <x:c r="D226" s="28" t="str">
        <x:f>IF('Course_Master'!E226="","",'Course_Master'!E226)</x:f>
        <x:v>Sijsten</x:v>
      </x:c>
      <x:c r="E226" s="28" t="str">
        <x:f>IF('Course_Master'!F226="","",'Course_Master'!F226)</x:f>
        <x:v>Netherlands</x:v>
      </x:c>
      <x:c r="F226" s="28" t="str">
        <x:f>IF('Course_Master'!G226="","",'Course_Master'!G226)</x:f>
        <x:v>Noord-Brabant</x:v>
      </x:c>
      <x:c r="G226" s="28" t="str">
        <x:f>IF('Course_Master'!H226="","",'Course_Master'!H226)</x:f>
        <x:v>Tilburg</x:v>
      </x:c>
      <x:c r="H226" s="28" t="str">
        <x:f>IF('Course_Master'!I226="","",'Course_Master'!I226)</x:f>
        <x:v>Tilburg</x:v>
      </x:c>
      <x:c r="I226" s="28" t="str">
        <x:f>IF('Course_Master'!K226="","",'Course_Master'!K226)</x:f>
        <x:v>5032 VC</x:v>
      </x:c>
      <x:c r="J226" s="34" t="n">
        <x:f>IF('Course_Master'!L226="","",'Course_Master'!L226)</x:f>
        <x:v>51.54932505</x:v>
      </x:c>
      <x:c r="K226" s="34" t="n">
        <x:f>IF('Course_Master'!M226="","",'Course_Master'!M226)</x:f>
        <x:v>4.99465272</x:v>
      </x:c>
      <x:c r="L226" s="28" t="n">
        <x:f>IF('Course_Master'!S226="","",'Course_Master'!S226)</x:f>
        <x:v>9</x:v>
      </x:c>
      <x:c r="M226" s="28" t="n">
        <x:f>IF('Course_Master'!T226="","",'Course_Master'!T226)</x:f>
        <x:v>36</x:v>
      </x:c>
      <x:c r="N226" s="28" t="n">
        <x:f>IF('Course_Master'!Q226="","",'Course_Master'!Q226)</x:f>
        <x:v>3515</x:v>
      </x:c>
      <x:c r="O226" s="28" t="n">
        <x:f>IF('Course_Master'!R226="","",'Course_Master'!R226)</x:f>
        <x:v>3214</x:v>
      </x:c>
      <x:c r="P226" s="28" t="str">
        <x:f>IF('Course_Master'!U226="","",'Course_Master'!U226)</x:f>
        <x:v>Full-length course</x:v>
      </x:c>
      <x:c r="Q226" s="28" t="str">
        <x:f>IF('Course_Master'!AD226="","",'Course_Master'!AD226)</x:f>
        <x:v>Public — NGF course permission</x:v>
      </x:c>
      <x:c r="R226" s="28" t="str">
        <x:f>IF('Course_Master'!AC226="","",'Course_Master'!AC226)</x:f>
        <x:v>Open</x:v>
      </x:c>
      <x:c r="S226" s="28" t="str">
        <x:f>IF('Course_Master'!Y226="","",'Course_Master'!Y226)</x:f>
        <x:v>https://prisedeau-golf.nl/</x:v>
      </x:c>
      <x:c r="T226" s="28" t="b">
        <x:f>IF('Course_Master'!Z226="","",'Course_Master'!Z226)</x:f>
        <x:v>1</x:v>
      </x:c>
      <x:c r="U226" s="28" t="b">
        <x:f>IF('Course_Master'!AA226="","",'Course_Master'!AA226)</x:f>
        <x:v>1</x:v>
      </x:c>
      <x:c r="V226" s="28" t="str">
        <x:f>IF('Course_Master'!AL226="","",'Course_Master'!AL226)</x:f>
        <x:v>Verified — national register and exact BAG address</x:v>
      </x:c>
    </x:row>
    <x:row r="227">
      <x:c r="A227" s="28" t="str">
        <x:f>IF('Course_Master'!B227="","",'Course_Master'!B227)</x:f>
        <x:v>NL-0226</x:v>
      </x:c>
      <x:c r="B227" s="28" t="str">
        <x:f>IF('Course_Master'!C227="","",'Course_Master'!C227)</x:f>
        <x:v>Prise d'Eau Golf — Warande</x:v>
      </x:c>
      <x:c r="C227" s="28" t="str">
        <x:f>IF('Course_Master'!D227="","",'Course_Master'!D227)</x:f>
        <x:v>Prise d'Eau Golf</x:v>
      </x:c>
      <x:c r="D227" s="28" t="str">
        <x:f>IF('Course_Master'!E227="","",'Course_Master'!E227)</x:f>
        <x:v>Warande</x:v>
      </x:c>
      <x:c r="E227" s="28" t="str">
        <x:f>IF('Course_Master'!F227="","",'Course_Master'!F227)</x:f>
        <x:v>Netherlands</x:v>
      </x:c>
      <x:c r="F227" s="28" t="str">
        <x:f>IF('Course_Master'!G227="","",'Course_Master'!G227)</x:f>
        <x:v>Noord-Brabant</x:v>
      </x:c>
      <x:c r="G227" s="28" t="str">
        <x:f>IF('Course_Master'!H227="","",'Course_Master'!H227)</x:f>
        <x:v>Tilburg</x:v>
      </x:c>
      <x:c r="H227" s="28" t="str">
        <x:f>IF('Course_Master'!I227="","",'Course_Master'!I227)</x:f>
        <x:v>Tilburg</x:v>
      </x:c>
      <x:c r="I227" s="28" t="str">
        <x:f>IF('Course_Master'!K227="","",'Course_Master'!K227)</x:f>
        <x:v>5032 VC</x:v>
      </x:c>
      <x:c r="J227" s="34" t="n">
        <x:f>IF('Course_Master'!L227="","",'Course_Master'!L227)</x:f>
        <x:v>51.54932505</x:v>
      </x:c>
      <x:c r="K227" s="34" t="n">
        <x:f>IF('Course_Master'!M227="","",'Course_Master'!M227)</x:f>
        <x:v>4.99465272</x:v>
      </x:c>
      <x:c r="L227" s="28" t="n">
        <x:f>IF('Course_Master'!S227="","",'Course_Master'!S227)</x:f>
        <x:v>9</x:v>
      </x:c>
      <x:c r="M227" s="28" t="n">
        <x:f>IF('Course_Master'!T227="","",'Course_Master'!T227)</x:f>
        <x:v>27</x:v>
      </x:c>
      <x:c r="N227" s="28" t="n">
        <x:f>IF('Course_Master'!Q227="","",'Course_Master'!Q227)</x:f>
        <x:v>988</x:v>
      </x:c>
      <x:c r="O227" s="28" t="n">
        <x:f>IF('Course_Master'!R227="","",'Course_Master'!R227)</x:f>
        <x:v>903</x:v>
      </x:c>
      <x:c r="P227" s="28" t="str">
        <x:f>IF('Course_Master'!U227="","",'Course_Master'!U227)</x:f>
        <x:v>Par-3 course</x:v>
      </x:c>
      <x:c r="Q227" s="28" t="str">
        <x:f>IF('Course_Master'!AD227="","",'Course_Master'!AD227)</x:f>
        <x:v>Public — NGF course permission</x:v>
      </x:c>
      <x:c r="R227" s="28" t="str">
        <x:f>IF('Course_Master'!AC227="","",'Course_Master'!AC227)</x:f>
        <x:v>Open</x:v>
      </x:c>
      <x:c r="S227" s="28" t="str">
        <x:f>IF('Course_Master'!Y227="","",'Course_Master'!Y227)</x:f>
        <x:v>https://prisedeau-golf.nl/</x:v>
      </x:c>
      <x:c r="T227" s="28" t="b">
        <x:f>IF('Course_Master'!Z227="","",'Course_Master'!Z227)</x:f>
        <x:v>1</x:v>
      </x:c>
      <x:c r="U227" s="28" t="b">
        <x:f>IF('Course_Master'!AA227="","",'Course_Master'!AA227)</x:f>
        <x:v>1</x:v>
      </x:c>
      <x:c r="V227" s="28" t="str">
        <x:f>IF('Course_Master'!AL227="","",'Course_Master'!AL227)</x:f>
        <x:v>Verified — national register and exact BAG address</x:v>
      </x:c>
    </x:row>
    <x:row r="228">
      <x:c r="A228" s="28" t="str">
        <x:f>IF('Course_Master'!B228="","",'Course_Master'!B228)</x:f>
        <x:v>NL-0227</x:v>
      </x:c>
      <x:c r="B228" s="28" t="str">
        <x:f>IF('Course_Master'!C228="","",'Course_Master'!C228)</x:f>
        <x:v>Stichting Golfbaan Overloon</x:v>
      </x:c>
      <x:c r="C228" s="28" t="str">
        <x:f>IF('Course_Master'!D228="","",'Course_Master'!D228)</x:f>
        <x:v>Stichting Golfbaan Overloon</x:v>
      </x:c>
      <x:c r="D228" s="28" t="str">
        <x:f>IF('Course_Master'!E228="","",'Course_Master'!E228)</x:f>
        <x:v>Course</x:v>
      </x:c>
      <x:c r="E228" s="28" t="str">
        <x:f>IF('Course_Master'!F228="","",'Course_Master'!F228)</x:f>
        <x:v>Netherlands</x:v>
      </x:c>
      <x:c r="F228" s="28" t="str">
        <x:f>IF('Course_Master'!G228="","",'Course_Master'!G228)</x:f>
        <x:v>Noord-Brabant</x:v>
      </x:c>
      <x:c r="G228" s="28" t="str">
        <x:f>IF('Course_Master'!H228="","",'Course_Master'!H228)</x:f>
        <x:v>Land van Cuijk</x:v>
      </x:c>
      <x:c r="H228" s="28" t="str">
        <x:f>IF('Course_Master'!I228="","",'Course_Master'!I228)</x:f>
        <x:v>Overloon</x:v>
      </x:c>
      <x:c r="I228" s="28" t="str">
        <x:f>IF('Course_Master'!K228="","",'Course_Master'!K228)</x:f>
        <x:v>5825 BC</x:v>
      </x:c>
      <x:c r="J228" s="34" t="n">
        <x:f>IF('Course_Master'!L228="","",'Course_Master'!L228)</x:f>
        <x:v>51.57653786</x:v>
      </x:c>
      <x:c r="K228" s="34" t="n">
        <x:f>IF('Course_Master'!M228="","",'Course_Master'!M228)</x:f>
        <x:v>5.95294601</x:v>
      </x:c>
      <x:c r="L228" s="28" t="n">
        <x:f>IF('Course_Master'!S228="","",'Course_Master'!S228)</x:f>
        <x:v>9</x:v>
      </x:c>
      <x:c r="M228" s="28" t="n">
        <x:f>IF('Course_Master'!T228="","",'Course_Master'!T228)</x:f>
        <x:v>30</x:v>
      </x:c>
      <x:c r="N228" s="28" t="n">
        <x:f>IF('Course_Master'!Q228="","",'Course_Master'!Q228)</x:f>
        <x:v>1710</x:v>
      </x:c>
      <x:c r="O228" s="28" t="n">
        <x:f>IF('Course_Master'!R228="","",'Course_Master'!R228)</x:f>
        <x:v>1564</x:v>
      </x:c>
      <x:c r="P228" s="28" t="str">
        <x:f>IF('Course_Master'!U228="","",'Course_Master'!U228)</x:f>
        <x:v>Par-3/4 course</x:v>
      </x:c>
      <x:c r="Q228" s="28" t="str">
        <x:f>IF('Course_Master'!AD228="","",'Course_Master'!AD228)</x:f>
        <x:v>Public — handicap 54 or lower</x:v>
      </x:c>
      <x:c r="R228" s="28" t="str">
        <x:f>IF('Course_Master'!AC228="","",'Course_Master'!AC228)</x:f>
        <x:v>Open</x:v>
      </x:c>
      <x:c r="S228" s="28" t="str">
        <x:f>IF('Course_Master'!Y228="","",'Course_Master'!Y228)</x:f>
        <x:v>https://www.golfbaanoverloon.nl/</x:v>
      </x:c>
      <x:c r="T228" s="28" t="b">
        <x:f>IF('Course_Master'!Z228="","",'Course_Master'!Z228)</x:f>
        <x:v>1</x:v>
      </x:c>
      <x:c r="U228" s="28" t="b">
        <x:f>IF('Course_Master'!AA228="","",'Course_Master'!AA228)</x:f>
        <x:v>1</x:v>
      </x:c>
      <x:c r="V228" s="28" t="str">
        <x:f>IF('Course_Master'!AL228="","",'Course_Master'!AL228)</x:f>
        <x:v>Verified — national register and exact BAG address</x:v>
      </x:c>
    </x:row>
    <x:row r="229">
      <x:c r="A229" s="28" t="str">
        <x:f>IF('Course_Master'!B229="","",'Course_Master'!B229)</x:f>
        <x:v>NL-0228</x:v>
      </x:c>
      <x:c r="B229" s="28" t="str">
        <x:f>IF('Course_Master'!C229="","",'Course_Master'!C229)</x:f>
        <x:v>Stippelberg, Golfbaan — Executive course</x:v>
      </x:c>
      <x:c r="C229" s="28" t="str">
        <x:f>IF('Course_Master'!D229="","",'Course_Master'!D229)</x:f>
        <x:v>Stippelberg, Golfbaan</x:v>
      </x:c>
      <x:c r="D229" s="28" t="str">
        <x:f>IF('Course_Master'!E229="","",'Course_Master'!E229)</x:f>
        <x:v>Executive course</x:v>
      </x:c>
      <x:c r="E229" s="28" t="str">
        <x:f>IF('Course_Master'!F229="","",'Course_Master'!F229)</x:f>
        <x:v>Netherlands</x:v>
      </x:c>
      <x:c r="F229" s="28" t="str">
        <x:f>IF('Course_Master'!G229="","",'Course_Master'!G229)</x:f>
        <x:v>Noord-Brabant</x:v>
      </x:c>
      <x:c r="G229" s="28" t="str">
        <x:f>IF('Course_Master'!H229="","",'Course_Master'!H229)</x:f>
        <x:v>Gemert-Bakel</x:v>
      </x:c>
      <x:c r="H229" s="28" t="str">
        <x:f>IF('Course_Master'!I229="","",'Course_Master'!I229)</x:f>
        <x:v>Bakel</x:v>
      </x:c>
      <x:c r="I229" s="28" t="str">
        <x:f>IF('Course_Master'!K229="","",'Course_Master'!K229)</x:f>
        <x:v>5761 RZ</x:v>
      </x:c>
      <x:c r="J229" s="34" t="n">
        <x:f>IF('Course_Master'!L229="","",'Course_Master'!L229)</x:f>
        <x:v>51.51366115</x:v>
      </x:c>
      <x:c r="K229" s="34" t="n">
        <x:f>IF('Course_Master'!M229="","",'Course_Master'!M229)</x:f>
        <x:v>5.75899028</x:v>
      </x:c>
      <x:c r="L229" s="28" t="n">
        <x:f>IF('Course_Master'!S229="","",'Course_Master'!S229)</x:f>
        <x:v>9</x:v>
      </x:c>
      <x:c r="M229" s="28" t="n">
        <x:f>IF('Course_Master'!T229="","",'Course_Master'!T229)</x:f>
        <x:v>31</x:v>
      </x:c>
      <x:c r="N229" s="28" t="n">
        <x:f>IF('Course_Master'!Q229="","",'Course_Master'!Q229)</x:f>
        <x:v>2061</x:v>
      </x:c>
      <x:c r="O229" s="28" t="n">
        <x:f>IF('Course_Master'!R229="","",'Course_Master'!R229)</x:f>
        <x:v>1885</x:v>
      </x:c>
      <x:c r="P229" s="28" t="str">
        <x:f>IF('Course_Master'!U229="","",'Course_Master'!U229)</x:f>
        <x:v>Par-3/4 course</x:v>
      </x:c>
      <x:c r="Q229" s="28" t="str">
        <x:f>IF('Course_Master'!AD229="","",'Course_Master'!AD229)</x:f>
        <x:v>Public — NGF course permission</x:v>
      </x:c>
      <x:c r="R229" s="28" t="str">
        <x:f>IF('Course_Master'!AC229="","",'Course_Master'!AC229)</x:f>
        <x:v>Open</x:v>
      </x:c>
      <x:c r="S229" s="28" t="str">
        <x:f>IF('Course_Master'!Y229="","",'Course_Master'!Y229)</x:f>
        <x:v>https://golfbaan-stippelberg.com/</x:v>
      </x:c>
      <x:c r="T229" s="28" t="b">
        <x:f>IF('Course_Master'!Z229="","",'Course_Master'!Z229)</x:f>
        <x:v>1</x:v>
      </x:c>
      <x:c r="U229" s="28" t="b">
        <x:f>IF('Course_Master'!AA229="","",'Course_Master'!AA229)</x:f>
        <x:v>1</x:v>
      </x:c>
      <x:c r="V229" s="28" t="str">
        <x:f>IF('Course_Master'!AL229="","",'Course_Master'!AL229)</x:f>
        <x:v>Verified — national register and exact BAG address</x:v>
      </x:c>
    </x:row>
    <x:row r="230">
      <x:c r="A230" s="28" t="str">
        <x:f>IF('Course_Master'!B230="","",'Course_Master'!B230)</x:f>
        <x:v>NL-0229</x:v>
      </x:c>
      <x:c r="B230" s="28" t="str">
        <x:f>IF('Course_Master'!C230="","",'Course_Master'!C230)</x:f>
        <x:v>The Duke — Main Course</x:v>
      </x:c>
      <x:c r="C230" s="28" t="str">
        <x:f>IF('Course_Master'!D230="","",'Course_Master'!D230)</x:f>
        <x:v>The Duke</x:v>
      </x:c>
      <x:c r="D230" s="28" t="str">
        <x:f>IF('Course_Master'!E230="","",'Course_Master'!E230)</x:f>
        <x:v>Main Course</x:v>
      </x:c>
      <x:c r="E230" s="28" t="str">
        <x:f>IF('Course_Master'!F230="","",'Course_Master'!F230)</x:f>
        <x:v>Netherlands</x:v>
      </x:c>
      <x:c r="F230" s="28" t="str">
        <x:f>IF('Course_Master'!G230="","",'Course_Master'!G230)</x:f>
        <x:v>Noord-Brabant</x:v>
      </x:c>
      <x:c r="G230" s="28" t="str">
        <x:f>IF('Course_Master'!H230="","",'Course_Master'!H230)</x:f>
        <x:v>Bernheze</x:v>
      </x:c>
      <x:c r="H230" s="28" t="str">
        <x:f>IF('Course_Master'!I230="","",'Course_Master'!I230)</x:f>
        <x:v>Nistelrode</x:v>
      </x:c>
      <x:c r="I230" s="28" t="str">
        <x:f>IF('Course_Master'!K230="","",'Course_Master'!K230)</x:f>
        <x:v>5388 RC</x:v>
      </x:c>
      <x:c r="J230" s="34" t="n">
        <x:f>IF('Course_Master'!L230="","",'Course_Master'!L230)</x:f>
        <x:v>51.71752767</x:v>
      </x:c>
      <x:c r="K230" s="34" t="n">
        <x:f>IF('Course_Master'!M230="","",'Course_Master'!M230)</x:f>
        <x:v>5.56090734</x:v>
      </x:c>
      <x:c r="L230" s="28" t="n">
        <x:f>IF('Course_Master'!S230="","",'Course_Master'!S230)</x:f>
        <x:v>18</x:v>
      </x:c>
      <x:c r="M230" s="28" t="n">
        <x:f>IF('Course_Master'!T230="","",'Course_Master'!T230)</x:f>
        <x:v>72</x:v>
      </x:c>
      <x:c r="N230" s="28" t="n">
        <x:f>IF('Course_Master'!Q230="","",'Course_Master'!Q230)</x:f>
        <x:v>6323</x:v>
      </x:c>
      <x:c r="O230" s="28" t="n">
        <x:f>IF('Course_Master'!R230="","",'Course_Master'!R230)</x:f>
        <x:v>5782</x:v>
      </x:c>
      <x:c r="P230" s="28" t="str">
        <x:f>IF('Course_Master'!U230="","",'Course_Master'!U230)</x:f>
        <x:v>Full-length course</x:v>
      </x:c>
      <x:c r="Q230" s="28" t="str">
        <x:f>IF('Course_Master'!AD230="","",'Course_Master'!AD230)</x:f>
        <x:v>Public — handicap 36 or lower</x:v>
      </x:c>
      <x:c r="R230" s="28" t="str">
        <x:f>IF('Course_Master'!AC230="","",'Course_Master'!AC230)</x:f>
        <x:v>Open</x:v>
      </x:c>
      <x:c r="S230" s="28" t="str">
        <x:f>IF('Course_Master'!Y230="","",'Course_Master'!Y230)</x:f>
        <x:v>https://thedukegolf.nl/golf/</x:v>
      </x:c>
      <x:c r="T230" s="28" t="b">
        <x:f>IF('Course_Master'!Z230="","",'Course_Master'!Z230)</x:f>
        <x:v>1</x:v>
      </x:c>
      <x:c r="U230" s="28" t="b">
        <x:f>IF('Course_Master'!AA230="","",'Course_Master'!AA230)</x:f>
        <x:v>1</x:v>
      </x:c>
      <x:c r="V230" s="28" t="str">
        <x:f>IF('Course_Master'!AL230="","",'Course_Master'!AL230)</x:f>
        <x:v>Verified — national register and exact BAG address</x:v>
      </x:c>
    </x:row>
    <x:row r="231">
      <x:c r="A231" s="28" t="str">
        <x:f>IF('Course_Master'!B231="","",'Course_Master'!B231)</x:f>
        <x:v>NL-0230</x:v>
      </x:c>
      <x:c r="B231" s="28" t="str">
        <x:f>IF('Course_Master'!C231="","",'Course_Master'!C231)</x:f>
        <x:v>Valkenswaardse Golfclub</x:v>
      </x:c>
      <x:c r="C231" s="28" t="str">
        <x:f>IF('Course_Master'!D231="","",'Course_Master'!D231)</x:f>
        <x:v>Valkenswaardse Golfclub</x:v>
      </x:c>
      <x:c r="D231" s="28" t="str">
        <x:f>IF('Course_Master'!E231="","",'Course_Master'!E231)</x:f>
        <x:v>Course</x:v>
      </x:c>
      <x:c r="E231" s="28" t="str">
        <x:f>IF('Course_Master'!F231="","",'Course_Master'!F231)</x:f>
        <x:v>Netherlands</x:v>
      </x:c>
      <x:c r="F231" s="28" t="str">
        <x:f>IF('Course_Master'!G231="","",'Course_Master'!G231)</x:f>
        <x:v>Noord-Brabant</x:v>
      </x:c>
      <x:c r="G231" s="28" t="str">
        <x:f>IF('Course_Master'!H231="","",'Course_Master'!H231)</x:f>
        <x:v>Valkenswaard</x:v>
      </x:c>
      <x:c r="H231" s="28" t="str">
        <x:f>IF('Course_Master'!I231="","",'Course_Master'!I231)</x:f>
        <x:v>Valkenswaard</x:v>
      </x:c>
      <x:c r="I231" s="28" t="str">
        <x:f>IF('Course_Master'!K231="","",'Course_Master'!K231)</x:f>
        <x:v>5552 BG</x:v>
      </x:c>
      <x:c r="J231" s="34" t="n">
        <x:f>IF('Course_Master'!L231="","",'Course_Master'!L231)</x:f>
        <x:v>51.36511401</x:v>
      </x:c>
      <x:c r="K231" s="34" t="n">
        <x:f>IF('Course_Master'!M231="","",'Course_Master'!M231)</x:f>
        <x:v>5.46126472</x:v>
      </x:c>
      <x:c r="L231" s="28" t="n">
        <x:f>IF('Course_Master'!S231="","",'Course_Master'!S231)</x:f>
        <x:v>9</x:v>
      </x:c>
      <x:c r="M231" s="28" t="n">
        <x:f>IF('Course_Master'!T231="","",'Course_Master'!T231)</x:f>
        <x:v>29</x:v>
      </x:c>
      <x:c r="N231" s="28" t="n">
        <x:f>IF('Course_Master'!Q231="","",'Course_Master'!Q231)</x:f>
        <x:v>1580</x:v>
      </x:c>
      <x:c r="O231" s="28" t="n">
        <x:f>IF('Course_Master'!R231="","",'Course_Master'!R231)</x:f>
        <x:v>1445</x:v>
      </x:c>
      <x:c r="P231" s="28" t="str">
        <x:f>IF('Course_Master'!U231="","",'Course_Master'!U231)</x:f>
        <x:v>Par-3/4 course</x:v>
      </x:c>
      <x:c r="Q231" s="28" t="str">
        <x:f>IF('Course_Master'!AD231="","",'Course_Master'!AD231)</x:f>
        <x:v>Public — NGF course permission</x:v>
      </x:c>
      <x:c r="R231" s="28" t="str">
        <x:f>IF('Course_Master'!AC231="","",'Course_Master'!AC231)</x:f>
        <x:v>Open</x:v>
      </x:c>
      <x:c r="S231" s="28" t="str">
        <x:f>IF('Course_Master'!Y231="","",'Course_Master'!Y231)</x:f>
        <x:v>https://valkenswaardsegolfclub.nl/</x:v>
      </x:c>
      <x:c r="T231" s="28" t="b">
        <x:f>IF('Course_Master'!Z231="","",'Course_Master'!Z231)</x:f>
        <x:v>1</x:v>
      </x:c>
      <x:c r="U231" s="28" t="b">
        <x:f>IF('Course_Master'!AA231="","",'Course_Master'!AA231)</x:f>
        <x:v>1</x:v>
      </x:c>
      <x:c r="V231" s="28" t="str">
        <x:f>IF('Course_Master'!AL231="","",'Course_Master'!AL231)</x:f>
        <x:v>Verified — national register and exact BAG address</x:v>
      </x:c>
    </x:row>
    <x:row r="232">
      <x:c r="A232" s="28" t="str">
        <x:f>IF('Course_Master'!B232="","",'Course_Master'!B232)</x:f>
        <x:v>NL-0231</x:v>
      </x:c>
      <x:c r="B232" s="28" t="str">
        <x:f>IF('Course_Master'!C232="","",'Course_Master'!C232)</x:f>
        <x:v>Amsterdamse Golfclub — Main Course</x:v>
      </x:c>
      <x:c r="C232" s="28" t="str">
        <x:f>IF('Course_Master'!D232="","",'Course_Master'!D232)</x:f>
        <x:v>Amsterdamse Golfclub</x:v>
      </x:c>
      <x:c r="D232" s="28" t="str">
        <x:f>IF('Course_Master'!E232="","",'Course_Master'!E232)</x:f>
        <x:v>Main Course</x:v>
      </x:c>
      <x:c r="E232" s="28" t="str">
        <x:f>IF('Course_Master'!F232="","",'Course_Master'!F232)</x:f>
        <x:v>Netherlands</x:v>
      </x:c>
      <x:c r="F232" s="28" t="str">
        <x:f>IF('Course_Master'!G232="","",'Course_Master'!G232)</x:f>
        <x:v>Noord-Holland</x:v>
      </x:c>
      <x:c r="G232" s="28" t="str">
        <x:f>IF('Course_Master'!H232="","",'Course_Master'!H232)</x:f>
        <x:v>Amsterdam</x:v>
      </x:c>
      <x:c r="H232" s="28" t="str">
        <x:f>IF('Course_Master'!I232="","",'Course_Master'!I232)</x:f>
        <x:v>Amsterdam</x:v>
      </x:c>
      <x:c r="I232" s="28" t="str">
        <x:f>IF('Course_Master'!K232="","",'Course_Master'!K232)</x:f>
        <x:v>1047 HK</x:v>
      </x:c>
      <x:c r="J232" s="34" t="n">
        <x:f>IF('Course_Master'!L232="","",'Course_Master'!L232)</x:f>
        <x:v>52.39982859</x:v>
      </x:c>
      <x:c r="K232" s="34" t="n">
        <x:f>IF('Course_Master'!M232="","",'Course_Master'!M232)</x:f>
        <x:v>4.74633996</x:v>
      </x:c>
      <x:c r="L232" s="28" t="n">
        <x:f>IF('Course_Master'!S232="","",'Course_Master'!S232)</x:f>
        <x:v>18</x:v>
      </x:c>
      <x:c r="M232" s="28" t="n">
        <x:f>IF('Course_Master'!T232="","",'Course_Master'!T232)</x:f>
        <x:v>72</x:v>
      </x:c>
      <x:c r="N232" s="28" t="n">
        <x:f>IF('Course_Master'!Q232="","",'Course_Master'!Q232)</x:f>
        <x:v>6799</x:v>
      </x:c>
      <x:c r="O232" s="28" t="n">
        <x:f>IF('Course_Master'!R232="","",'Course_Master'!R232)</x:f>
        <x:v>6217</x:v>
      </x:c>
      <x:c r="P232" s="28" t="str">
        <x:f>IF('Course_Master'!U232="","",'Course_Master'!U232)</x:f>
        <x:v>Full-length course</x:v>
      </x:c>
      <x:c r="Q232" s="28" t="str">
        <x:f>IF('Course_Master'!AD232="","",'Course_Master'!AD232)</x:f>
        <x:v>Public — handicap 28 or lower</x:v>
      </x:c>
      <x:c r="R232" s="28" t="str">
        <x:f>IF('Course_Master'!AC232="","",'Course_Master'!AC232)</x:f>
        <x:v>Open</x:v>
      </x:c>
      <x:c r="S232" s="28" t="str">
        <x:f>IF('Course_Master'!Y232="","",'Course_Master'!Y232)</x:f>
        <x:v>https://www.amsterdamsegolfclub.nl/</x:v>
      </x:c>
      <x:c r="T232" s="28" t="b">
        <x:f>IF('Course_Master'!Z232="","",'Course_Master'!Z232)</x:f>
        <x:v>1</x:v>
      </x:c>
      <x:c r="U232" s="28" t="b">
        <x:f>IF('Course_Master'!AA232="","",'Course_Master'!AA232)</x:f>
        <x:v>1</x:v>
      </x:c>
      <x:c r="V232" s="28" t="str">
        <x:f>IF('Course_Master'!AL232="","",'Course_Master'!AL232)</x:f>
        <x:v>Verified — national register and exact BAG address</x:v>
      </x:c>
    </x:row>
    <x:row r="233">
      <x:c r="A233" s="28" t="str">
        <x:f>IF('Course_Master'!B233="","",'Course_Master'!B233)</x:f>
        <x:v>NL-0232</x:v>
      </x:c>
      <x:c r="B233" s="28" t="str">
        <x:f>IF('Course_Master'!C233="","",'Course_Master'!C233)</x:f>
        <x:v>Golf &amp; Country Club Regthuys — Dijklus</x:v>
      </x:c>
      <x:c r="C233" s="28" t="str">
        <x:f>IF('Course_Master'!D233="","",'Course_Master'!D233)</x:f>
        <x:v>Golf &amp; Country Club Regthuys</x:v>
      </x:c>
      <x:c r="D233" s="28" t="str">
        <x:f>IF('Course_Master'!E233="","",'Course_Master'!E233)</x:f>
        <x:v>Dijklus</x:v>
      </x:c>
      <x:c r="E233" s="28" t="str">
        <x:f>IF('Course_Master'!F233="","",'Course_Master'!F233)</x:f>
        <x:v>Netherlands</x:v>
      </x:c>
      <x:c r="F233" s="28" t="str">
        <x:f>IF('Course_Master'!G233="","",'Course_Master'!G233)</x:f>
        <x:v>Noord-Holland</x:v>
      </x:c>
      <x:c r="G233" s="28" t="str">
        <x:f>IF('Course_Master'!H233="","",'Course_Master'!H233)</x:f>
        <x:v>Hollands Kroon</x:v>
      </x:c>
      <x:c r="H233" s="28" t="str">
        <x:f>IF('Course_Master'!I233="","",'Course_Master'!I233)</x:f>
        <x:v>Winkel</x:v>
      </x:c>
      <x:c r="I233" s="28" t="str">
        <x:f>IF('Course_Master'!K233="","",'Course_Master'!K233)</x:f>
        <x:v>1731 RM</x:v>
      </x:c>
      <x:c r="J233" s="34" t="n">
        <x:f>IF('Course_Master'!L233="","",'Course_Master'!L233)</x:f>
        <x:v>52.75234233</x:v>
      </x:c>
      <x:c r="K233" s="34" t="n">
        <x:f>IF('Course_Master'!M233="","",'Course_Master'!M233)</x:f>
        <x:v>4.91438954</x:v>
      </x:c>
      <x:c r="L233" s="28" t="n">
        <x:f>IF('Course_Master'!S233="","",'Course_Master'!S233)</x:f>
        <x:v>9</x:v>
      </x:c>
      <x:c r="M233" s="28" t="n">
        <x:f>IF('Course_Master'!T233="","",'Course_Master'!T233)</x:f>
        <x:v>35</x:v>
      </x:c>
      <x:c r="N233" s="28" t="n">
        <x:f>IF('Course_Master'!Q233="","",'Course_Master'!Q233)</x:f>
        <x:v>2744</x:v>
      </x:c>
      <x:c r="O233" s="28" t="n">
        <x:f>IF('Course_Master'!R233="","",'Course_Master'!R233)</x:f>
        <x:v>2509</x:v>
      </x:c>
      <x:c r="P233" s="28" t="str">
        <x:f>IF('Course_Master'!U233="","",'Course_Master'!U233)</x:f>
        <x:v>Full-length course</x:v>
      </x:c>
      <x:c r="Q233" s="28" t="str">
        <x:f>IF('Course_Master'!AD233="","",'Course_Master'!AD233)</x:f>
        <x:v>Public — handicap 54 or lower</x:v>
      </x:c>
      <x:c r="R233" s="28" t="str">
        <x:f>IF('Course_Master'!AC233="","",'Course_Master'!AC233)</x:f>
        <x:v>Open</x:v>
      </x:c>
      <x:c r="S233" s="28" t="str">
        <x:f>IF('Course_Master'!Y233="","",'Course_Master'!Y233)</x:f>
        <x:v>https://www.regthuysgolf.nl/</x:v>
      </x:c>
      <x:c r="T233" s="28" t="b">
        <x:f>IF('Course_Master'!Z233="","",'Course_Master'!Z233)</x:f>
        <x:v>1</x:v>
      </x:c>
      <x:c r="U233" s="28" t="b">
        <x:f>IF('Course_Master'!AA233="","",'Course_Master'!AA233)</x:f>
        <x:v>1</x:v>
      </x:c>
      <x:c r="V233" s="28" t="str">
        <x:f>IF('Course_Master'!AL233="","",'Course_Master'!AL233)</x:f>
        <x:v>Verified — national register and exact BAG address</x:v>
      </x:c>
    </x:row>
    <x:row r="234">
      <x:c r="A234" s="28" t="str">
        <x:f>IF('Course_Master'!B234="","",'Course_Master'!B234)</x:f>
        <x:v>NL-0233</x:v>
      </x:c>
      <x:c r="B234" s="28" t="str">
        <x:f>IF('Course_Master'!C234="","",'Course_Master'!C234)</x:f>
        <x:v>Golf &amp; Country Club Regthuys — Korte lus</x:v>
      </x:c>
      <x:c r="C234" s="28" t="str">
        <x:f>IF('Course_Master'!D234="","",'Course_Master'!D234)</x:f>
        <x:v>Golf &amp; Country Club Regthuys</x:v>
      </x:c>
      <x:c r="D234" s="28" t="str">
        <x:f>IF('Course_Master'!E234="","",'Course_Master'!E234)</x:f>
        <x:v>Korte lus</x:v>
      </x:c>
      <x:c r="E234" s="28" t="str">
        <x:f>IF('Course_Master'!F234="","",'Course_Master'!F234)</x:f>
        <x:v>Netherlands</x:v>
      </x:c>
      <x:c r="F234" s="28" t="str">
        <x:f>IF('Course_Master'!G234="","",'Course_Master'!G234)</x:f>
        <x:v>Noord-Holland</x:v>
      </x:c>
      <x:c r="G234" s="28" t="str">
        <x:f>IF('Course_Master'!H234="","",'Course_Master'!H234)</x:f>
        <x:v>Hollands Kroon</x:v>
      </x:c>
      <x:c r="H234" s="28" t="str">
        <x:f>IF('Course_Master'!I234="","",'Course_Master'!I234)</x:f>
        <x:v>Winkel</x:v>
      </x:c>
      <x:c r="I234" s="28" t="str">
        <x:f>IF('Course_Master'!K234="","",'Course_Master'!K234)</x:f>
        <x:v>1731 RM</x:v>
      </x:c>
      <x:c r="J234" s="34" t="n">
        <x:f>IF('Course_Master'!L234="","",'Course_Master'!L234)</x:f>
        <x:v>52.75234233</x:v>
      </x:c>
      <x:c r="K234" s="34" t="n">
        <x:f>IF('Course_Master'!M234="","",'Course_Master'!M234)</x:f>
        <x:v>4.91438954</x:v>
      </x:c>
      <x:c r="L234" s="28" t="n">
        <x:f>IF('Course_Master'!S234="","",'Course_Master'!S234)</x:f>
        <x:v>9</x:v>
      </x:c>
      <x:c r="M234" s="28" t="n">
        <x:f>IF('Course_Master'!T234="","",'Course_Master'!T234)</x:f>
        <x:v>27</x:v>
      </x:c>
      <x:c r="N234" s="28" t="n">
        <x:f>IF('Course_Master'!Q234="","",'Course_Master'!Q234)</x:f>
        <x:v>796</x:v>
      </x:c>
      <x:c r="O234" s="28" t="n">
        <x:f>IF('Course_Master'!R234="","",'Course_Master'!R234)</x:f>
        <x:v>728</x:v>
      </x:c>
      <x:c r="P234" s="28" t="str">
        <x:f>IF('Course_Master'!U234="","",'Course_Master'!U234)</x:f>
        <x:v>Par-3 course</x:v>
      </x:c>
      <x:c r="Q234" s="28" t="str">
        <x:f>IF('Course_Master'!AD234="","",'Course_Master'!AD234)</x:f>
        <x:v>Public — no playing requirement</x:v>
      </x:c>
      <x:c r="R234" s="28" t="str">
        <x:f>IF('Course_Master'!AC234="","",'Course_Master'!AC234)</x:f>
        <x:v>Open</x:v>
      </x:c>
      <x:c r="S234" s="28" t="str">
        <x:f>IF('Course_Master'!Y234="","",'Course_Master'!Y234)</x:f>
        <x:v>https://www.regthuysgolf.nl/</x:v>
      </x:c>
      <x:c r="T234" s="28" t="b">
        <x:f>IF('Course_Master'!Z234="","",'Course_Master'!Z234)</x:f>
        <x:v>1</x:v>
      </x:c>
      <x:c r="U234" s="28" t="b">
        <x:f>IF('Course_Master'!AA234="","",'Course_Master'!AA234)</x:f>
        <x:v>1</x:v>
      </x:c>
      <x:c r="V234" s="28" t="str">
        <x:f>IF('Course_Master'!AL234="","",'Course_Master'!AL234)</x:f>
        <x:v>Verified — national register and exact BAG address</x:v>
      </x:c>
    </x:row>
    <x:row r="235">
      <x:c r="A235" s="28" t="str">
        <x:f>IF('Course_Master'!B235="","",'Course_Master'!B235)</x:f>
        <x:v>NL-0234</x:v>
      </x:c>
      <x:c r="B235" s="28" t="str">
        <x:f>IF('Course_Master'!C235="","",'Course_Master'!C235)</x:f>
        <x:v>Golf &amp; Country Club Regthuys — Tulplus</x:v>
      </x:c>
      <x:c r="C235" s="28" t="str">
        <x:f>IF('Course_Master'!D235="","",'Course_Master'!D235)</x:f>
        <x:v>Golf &amp; Country Club Regthuys</x:v>
      </x:c>
      <x:c r="D235" s="28" t="str">
        <x:f>IF('Course_Master'!E235="","",'Course_Master'!E235)</x:f>
        <x:v>Tulplus</x:v>
      </x:c>
      <x:c r="E235" s="28" t="str">
        <x:f>IF('Course_Master'!F235="","",'Course_Master'!F235)</x:f>
        <x:v>Netherlands</x:v>
      </x:c>
      <x:c r="F235" s="28" t="str">
        <x:f>IF('Course_Master'!G235="","",'Course_Master'!G235)</x:f>
        <x:v>Noord-Holland</x:v>
      </x:c>
      <x:c r="G235" s="28" t="str">
        <x:f>IF('Course_Master'!H235="","",'Course_Master'!H235)</x:f>
        <x:v>Hollands Kroon</x:v>
      </x:c>
      <x:c r="H235" s="28" t="str">
        <x:f>IF('Course_Master'!I235="","",'Course_Master'!I235)</x:f>
        <x:v>Winkel</x:v>
      </x:c>
      <x:c r="I235" s="28" t="str">
        <x:f>IF('Course_Master'!K235="","",'Course_Master'!K235)</x:f>
        <x:v>1731 RM</x:v>
      </x:c>
      <x:c r="J235" s="34" t="n">
        <x:f>IF('Course_Master'!L235="","",'Course_Master'!L235)</x:f>
        <x:v>52.75234233</x:v>
      </x:c>
      <x:c r="K235" s="34" t="n">
        <x:f>IF('Course_Master'!M235="","",'Course_Master'!M235)</x:f>
        <x:v>4.91438954</x:v>
      </x:c>
      <x:c r="L235" s="28" t="n">
        <x:f>IF('Course_Master'!S235="","",'Course_Master'!S235)</x:f>
        <x:v>9</x:v>
      </x:c>
      <x:c r="M235" s="28" t="n">
        <x:f>IF('Course_Master'!T235="","",'Course_Master'!T235)</x:f>
        <x:v>36</x:v>
      </x:c>
      <x:c r="N235" s="28" t="n">
        <x:f>IF('Course_Master'!Q235="","",'Course_Master'!Q235)</x:f>
        <x:v>3170</x:v>
      </x:c>
      <x:c r="O235" s="28" t="n">
        <x:f>IF('Course_Master'!R235="","",'Course_Master'!R235)</x:f>
        <x:v>2899</x:v>
      </x:c>
      <x:c r="P235" s="28" t="str">
        <x:f>IF('Course_Master'!U235="","",'Course_Master'!U235)</x:f>
        <x:v>Full-length course</x:v>
      </x:c>
      <x:c r="Q235" s="28" t="str">
        <x:f>IF('Course_Master'!AD235="","",'Course_Master'!AD235)</x:f>
        <x:v>Public — handicap 54 or lower</x:v>
      </x:c>
      <x:c r="R235" s="28" t="str">
        <x:f>IF('Course_Master'!AC235="","",'Course_Master'!AC235)</x:f>
        <x:v>Open</x:v>
      </x:c>
      <x:c r="S235" s="28" t="str">
        <x:f>IF('Course_Master'!Y235="","",'Course_Master'!Y235)</x:f>
        <x:v>https://www.regthuysgolf.nl/</x:v>
      </x:c>
      <x:c r="T235" s="28" t="b">
        <x:f>IF('Course_Master'!Z235="","",'Course_Master'!Z235)</x:f>
        <x:v>1</x:v>
      </x:c>
      <x:c r="U235" s="28" t="b">
        <x:f>IF('Course_Master'!AA235="","",'Course_Master'!AA235)</x:f>
        <x:v>1</x:v>
      </x:c>
      <x:c r="V235" s="28" t="str">
        <x:f>IF('Course_Master'!AL235="","",'Course_Master'!AL235)</x:f>
        <x:v>Verified — national register and exact BAG address</x:v>
      </x:c>
    </x:row>
    <x:row r="236">
      <x:c r="A236" s="28" t="str">
        <x:f>IF('Course_Master'!B236="","",'Course_Master'!B236)</x:f>
        <x:v>NL-0235</x:v>
      </x:c>
      <x:c r="B236" s="28" t="str">
        <x:f>IF('Course_Master'!C236="","",'Course_Master'!C236)</x:f>
        <x:v>Golf Amsteldijk — Main Course</x:v>
      </x:c>
      <x:c r="C236" s="28" t="str">
        <x:f>IF('Course_Master'!D236="","",'Course_Master'!D236)</x:f>
        <x:v>Golf Amsteldijk</x:v>
      </x:c>
      <x:c r="D236" s="28" t="str">
        <x:f>IF('Course_Master'!E236="","",'Course_Master'!E236)</x:f>
        <x:v>Main Course</x:v>
      </x:c>
      <x:c r="E236" s="28" t="str">
        <x:f>IF('Course_Master'!F236="","",'Course_Master'!F236)</x:f>
        <x:v>Netherlands</x:v>
      </x:c>
      <x:c r="F236" s="28" t="str">
        <x:f>IF('Course_Master'!G236="","",'Course_Master'!G236)</x:f>
        <x:v>Noord-Holland</x:v>
      </x:c>
      <x:c r="G236" s="28" t="str">
        <x:f>IF('Course_Master'!H236="","",'Course_Master'!H236)</x:f>
        <x:v>Amstelveen</x:v>
      </x:c>
      <x:c r="H236" s="28" t="str">
        <x:f>IF('Course_Master'!I236="","",'Course_Master'!I236)</x:f>
        <x:v>Amstelveen</x:v>
      </x:c>
      <x:c r="I236" s="28" t="str">
        <x:f>IF('Course_Master'!K236="","",'Course_Master'!K236)</x:f>
        <x:v>1186 VG</x:v>
      </x:c>
      <x:c r="J236" s="34" t="n">
        <x:f>IF('Course_Master'!L236="","",'Course_Master'!L236)</x:f>
        <x:v>52.28070556</x:v>
      </x:c>
      <x:c r="K236" s="34" t="n">
        <x:f>IF('Course_Master'!M236="","",'Course_Master'!M236)</x:f>
        <x:v>4.87617302</x:v>
      </x:c>
      <x:c r="L236" s="28" t="n">
        <x:f>IF('Course_Master'!S236="","",'Course_Master'!S236)</x:f>
        <x:v>9</x:v>
      </x:c>
      <x:c r="M236" s="28" t="n">
        <x:f>IF('Course_Master'!T236="","",'Course_Master'!T236)</x:f>
        <x:v>34</x:v>
      </x:c>
      <x:c r="N236" s="28" t="n">
        <x:f>IF('Course_Master'!Q236="","",'Course_Master'!Q236)</x:f>
        <x:v>2858</x:v>
      </x:c>
      <x:c r="O236" s="28" t="n">
        <x:f>IF('Course_Master'!R236="","",'Course_Master'!R236)</x:f>
        <x:v>2613</x:v>
      </x:c>
      <x:c r="P236" s="28" t="str">
        <x:f>IF('Course_Master'!U236="","",'Course_Master'!U236)</x:f>
        <x:v>Full-length course</x:v>
      </x:c>
      <x:c r="Q236" s="28" t="str">
        <x:f>IF('Course_Master'!AD236="","",'Course_Master'!AD236)</x:f>
        <x:v>Public — handicap 54 or lower</x:v>
      </x:c>
      <x:c r="R236" s="28" t="str">
        <x:f>IF('Course_Master'!AC236="","",'Course_Master'!AC236)</x:f>
        <x:v>Open</x:v>
      </x:c>
      <x:c r="S236" s="28" t="str">
        <x:f>IF('Course_Master'!Y236="","",'Course_Master'!Y236)</x:f>
        <x:v>https://www.amsteldijk.nl/</x:v>
      </x:c>
      <x:c r="T236" s="28" t="b">
        <x:f>IF('Course_Master'!Z236="","",'Course_Master'!Z236)</x:f>
        <x:v>1</x:v>
      </x:c>
      <x:c r="U236" s="28" t="b">
        <x:f>IF('Course_Master'!AA236="","",'Course_Master'!AA236)</x:f>
        <x:v>1</x:v>
      </x:c>
      <x:c r="V236" s="28" t="str">
        <x:f>IF('Course_Master'!AL236="","",'Course_Master'!AL236)</x:f>
        <x:v>Verified — national register and exact BAG address</x:v>
      </x:c>
    </x:row>
    <x:row r="237">
      <x:c r="A237" s="28" t="str">
        <x:f>IF('Course_Master'!B237="","",'Course_Master'!B237)</x:f>
        <x:v>NL-0236</x:v>
      </x:c>
      <x:c r="B237" s="28" t="str">
        <x:f>IF('Course_Master'!C237="","",'Course_Master'!C237)</x:f>
        <x:v>Golf Amsteldijk — Par-3 Course</x:v>
      </x:c>
      <x:c r="C237" s="28" t="str">
        <x:f>IF('Course_Master'!D237="","",'Course_Master'!D237)</x:f>
        <x:v>Golf Amsteldijk</x:v>
      </x:c>
      <x:c r="D237" s="28" t="str">
        <x:f>IF('Course_Master'!E237="","",'Course_Master'!E237)</x:f>
        <x:v>Par-3 Course</x:v>
      </x:c>
      <x:c r="E237" s="28" t="str">
        <x:f>IF('Course_Master'!F237="","",'Course_Master'!F237)</x:f>
        <x:v>Netherlands</x:v>
      </x:c>
      <x:c r="F237" s="28" t="str">
        <x:f>IF('Course_Master'!G237="","",'Course_Master'!G237)</x:f>
        <x:v>Noord-Holland</x:v>
      </x:c>
      <x:c r="G237" s="28" t="str">
        <x:f>IF('Course_Master'!H237="","",'Course_Master'!H237)</x:f>
        <x:v>Amstelveen</x:v>
      </x:c>
      <x:c r="H237" s="28" t="str">
        <x:f>IF('Course_Master'!I237="","",'Course_Master'!I237)</x:f>
        <x:v>Amstelveen</x:v>
      </x:c>
      <x:c r="I237" s="28" t="str">
        <x:f>IF('Course_Master'!K237="","",'Course_Master'!K237)</x:f>
        <x:v>1186 VG</x:v>
      </x:c>
      <x:c r="J237" s="34" t="n">
        <x:f>IF('Course_Master'!L237="","",'Course_Master'!L237)</x:f>
        <x:v>52.28070556</x:v>
      </x:c>
      <x:c r="K237" s="34" t="n">
        <x:f>IF('Course_Master'!M237="","",'Course_Master'!M237)</x:f>
        <x:v>4.87617302</x:v>
      </x:c>
      <x:c r="L237" s="28" t="n">
        <x:f>IF('Course_Master'!S237="","",'Course_Master'!S237)</x:f>
        <x:v>9</x:v>
      </x:c>
      <x:c r="M237" s="28" t="n">
        <x:f>IF('Course_Master'!T237="","",'Course_Master'!T237)</x:f>
        <x:v>27</x:v>
      </x:c>
      <x:c r="N237" s="28" t="n">
        <x:f>IF('Course_Master'!Q237="","",'Course_Master'!Q237)</x:f>
        <x:v>571</x:v>
      </x:c>
      <x:c r="O237" s="28" t="n">
        <x:f>IF('Course_Master'!R237="","",'Course_Master'!R237)</x:f>
        <x:v>522</x:v>
      </x:c>
      <x:c r="P237" s="28" t="str">
        <x:f>IF('Course_Master'!U237="","",'Course_Master'!U237)</x:f>
        <x:v>Par-3 course</x:v>
      </x:c>
      <x:c r="Q237" s="28" t="str">
        <x:f>IF('Course_Master'!AD237="","",'Course_Master'!AD237)</x:f>
        <x:v>Public — no playing requirement</x:v>
      </x:c>
      <x:c r="R237" s="28" t="str">
        <x:f>IF('Course_Master'!AC237="","",'Course_Master'!AC237)</x:f>
        <x:v>Open</x:v>
      </x:c>
      <x:c r="S237" s="28" t="str">
        <x:f>IF('Course_Master'!Y237="","",'Course_Master'!Y237)</x:f>
        <x:v>https://www.amsteldijk.nl/</x:v>
      </x:c>
      <x:c r="T237" s="28" t="b">
        <x:f>IF('Course_Master'!Z237="","",'Course_Master'!Z237)</x:f>
        <x:v>1</x:v>
      </x:c>
      <x:c r="U237" s="28" t="b">
        <x:f>IF('Course_Master'!AA237="","",'Course_Master'!AA237)</x:f>
        <x:v>1</x:v>
      </x:c>
      <x:c r="V237" s="28" t="str">
        <x:f>IF('Course_Master'!AL237="","",'Course_Master'!AL237)</x:f>
        <x:v>Verified — national register and exact BAG address</x:v>
      </x:c>
    </x:row>
    <x:row r="238">
      <x:c r="A238" s="28" t="str">
        <x:f>IF('Course_Master'!B238="","",'Course_Master'!B238)</x:f>
        <x:v>NL-0237</x:v>
      </x:c>
      <x:c r="B238" s="28" t="str">
        <x:f>IF('Course_Master'!C238="","",'Course_Master'!C238)</x:f>
        <x:v>Golf en Padel Sluispolder — Main Course</x:v>
      </x:c>
      <x:c r="C238" s="28" t="str">
        <x:f>IF('Course_Master'!D238="","",'Course_Master'!D238)</x:f>
        <x:v>Golf en Padel Sluispolder</x:v>
      </x:c>
      <x:c r="D238" s="28" t="str">
        <x:f>IF('Course_Master'!E238="","",'Course_Master'!E238)</x:f>
        <x:v>Main Course</x:v>
      </x:c>
      <x:c r="E238" s="28" t="str">
        <x:f>IF('Course_Master'!F238="","",'Course_Master'!F238)</x:f>
        <x:v>Netherlands</x:v>
      </x:c>
      <x:c r="F238" s="28" t="str">
        <x:f>IF('Course_Master'!G238="","",'Course_Master'!G238)</x:f>
        <x:v>Noord-Holland</x:v>
      </x:c>
      <x:c r="G238" s="28" t="str">
        <x:f>IF('Course_Master'!H238="","",'Course_Master'!H238)</x:f>
        <x:v>Alkmaar</x:v>
      </x:c>
      <x:c r="H238" s="28" t="str">
        <x:f>IF('Course_Master'!I238="","",'Course_Master'!I238)</x:f>
        <x:v>Alkmaar</x:v>
      </x:c>
      <x:c r="I238" s="28" t="str">
        <x:f>IF('Course_Master'!K238="","",'Course_Master'!K238)</x:f>
        <x:v>1817 BM</x:v>
      </x:c>
      <x:c r="J238" s="34" t="n">
        <x:f>IF('Course_Master'!L238="","",'Course_Master'!L238)</x:f>
        <x:v>52.65755734</x:v>
      </x:c>
      <x:c r="K238" s="34" t="n">
        <x:f>IF('Course_Master'!M238="","",'Course_Master'!M238)</x:f>
        <x:v>4.73967786</x:v>
      </x:c>
      <x:c r="L238" s="28" t="n">
        <x:f>IF('Course_Master'!S238="","",'Course_Master'!S238)</x:f>
        <x:v>18</x:v>
      </x:c>
      <x:c r="M238" s="28" t="n">
        <x:f>IF('Course_Master'!T238="","",'Course_Master'!T238)</x:f>
        <x:v>72</x:v>
      </x:c>
      <x:c r="N238" s="28" t="n">
        <x:f>IF('Course_Master'!Q238="","",'Course_Master'!Q238)</x:f>
        <x:v>6715</x:v>
      </x:c>
      <x:c r="O238" s="28" t="n">
        <x:f>IF('Course_Master'!R238="","",'Course_Master'!R238)</x:f>
        <x:v>6140</x:v>
      </x:c>
      <x:c r="P238" s="28" t="str">
        <x:f>IF('Course_Master'!U238="","",'Course_Master'!U238)</x:f>
        <x:v>Full-length course</x:v>
      </x:c>
      <x:c r="Q238" s="28" t="str">
        <x:f>IF('Course_Master'!AD238="","",'Course_Master'!AD238)</x:f>
        <x:v>Public — NGF course permission</x:v>
      </x:c>
      <x:c r="R238" s="28" t="str">
        <x:f>IF('Course_Master'!AC238="","",'Course_Master'!AC238)</x:f>
        <x:v>Open</x:v>
      </x:c>
      <x:c r="S238" s="28" t="str">
        <x:f>IF('Course_Master'!Y238="","",'Course_Master'!Y238)</x:f>
        <x:v>https://sluispolder.nl/</x:v>
      </x:c>
      <x:c r="T238" s="28" t="b">
        <x:f>IF('Course_Master'!Z238="","",'Course_Master'!Z238)</x:f>
        <x:v>1</x:v>
      </x:c>
      <x:c r="U238" s="28" t="b">
        <x:f>IF('Course_Master'!AA238="","",'Course_Master'!AA238)</x:f>
        <x:v>1</x:v>
      </x:c>
      <x:c r="V238" s="28" t="str">
        <x:f>IF('Course_Master'!AL238="","",'Course_Master'!AL238)</x:f>
        <x:v>Verified — national register and exact BAG address</x:v>
      </x:c>
    </x:row>
    <x:row r="239">
      <x:c r="A239" s="28" t="str">
        <x:f>IF('Course_Master'!B239="","",'Course_Master'!B239)</x:f>
        <x:v>NL-0238</x:v>
      </x:c>
      <x:c r="B239" s="28" t="str">
        <x:f>IF('Course_Master'!C239="","",'Course_Master'!C239)</x:f>
        <x:v>Golf en Padel Sluispolder — Par-3 Course</x:v>
      </x:c>
      <x:c r="C239" s="28" t="str">
        <x:f>IF('Course_Master'!D239="","",'Course_Master'!D239)</x:f>
        <x:v>Golf en Padel Sluispolder</x:v>
      </x:c>
      <x:c r="D239" s="28" t="str">
        <x:f>IF('Course_Master'!E239="","",'Course_Master'!E239)</x:f>
        <x:v>Par-3 Course</x:v>
      </x:c>
      <x:c r="E239" s="28" t="str">
        <x:f>IF('Course_Master'!F239="","",'Course_Master'!F239)</x:f>
        <x:v>Netherlands</x:v>
      </x:c>
      <x:c r="F239" s="28" t="str">
        <x:f>IF('Course_Master'!G239="","",'Course_Master'!G239)</x:f>
        <x:v>Noord-Holland</x:v>
      </x:c>
      <x:c r="G239" s="28" t="str">
        <x:f>IF('Course_Master'!H239="","",'Course_Master'!H239)</x:f>
        <x:v>Alkmaar</x:v>
      </x:c>
      <x:c r="H239" s="28" t="str">
        <x:f>IF('Course_Master'!I239="","",'Course_Master'!I239)</x:f>
        <x:v>Alkmaar</x:v>
      </x:c>
      <x:c r="I239" s="28" t="str">
        <x:f>IF('Course_Master'!K239="","",'Course_Master'!K239)</x:f>
        <x:v>1817 BM</x:v>
      </x:c>
      <x:c r="J239" s="34" t="n">
        <x:f>IF('Course_Master'!L239="","",'Course_Master'!L239)</x:f>
        <x:v>52.65755734</x:v>
      </x:c>
      <x:c r="K239" s="34" t="n">
        <x:f>IF('Course_Master'!M239="","",'Course_Master'!M239)</x:f>
        <x:v>4.73967786</x:v>
      </x:c>
      <x:c r="L239" s="28" t="n">
        <x:f>IF('Course_Master'!S239="","",'Course_Master'!S239)</x:f>
        <x:v>9</x:v>
      </x:c>
      <x:c r="M239" s="28" t="n">
        <x:f>IF('Course_Master'!T239="","",'Course_Master'!T239)</x:f>
        <x:v>27</x:v>
      </x:c>
      <x:c r="N239" s="28" t="n">
        <x:f>IF('Course_Master'!Q239="","",'Course_Master'!Q239)</x:f>
        <x:v>563</x:v>
      </x:c>
      <x:c r="O239" s="28" t="n">
        <x:f>IF('Course_Master'!R239="","",'Course_Master'!R239)</x:f>
        <x:v>515</x:v>
      </x:c>
      <x:c r="P239" s="28" t="str">
        <x:f>IF('Course_Master'!U239="","",'Course_Master'!U239)</x:f>
        <x:v>Par-3 course</x:v>
      </x:c>
      <x:c r="Q239" s="28" t="str">
        <x:f>IF('Course_Master'!AD239="","",'Course_Master'!AD239)</x:f>
        <x:v>Public — no playing requirement</x:v>
      </x:c>
      <x:c r="R239" s="28" t="str">
        <x:f>IF('Course_Master'!AC239="","",'Course_Master'!AC239)</x:f>
        <x:v>Open</x:v>
      </x:c>
      <x:c r="S239" s="28" t="str">
        <x:f>IF('Course_Master'!Y239="","",'Course_Master'!Y239)</x:f>
        <x:v>https://sluispolder.nl/</x:v>
      </x:c>
      <x:c r="T239" s="28" t="b">
        <x:f>IF('Course_Master'!Z239="","",'Course_Master'!Z239)</x:f>
        <x:v>1</x:v>
      </x:c>
      <x:c r="U239" s="28" t="b">
        <x:f>IF('Course_Master'!AA239="","",'Course_Master'!AA239)</x:f>
        <x:v>1</x:v>
      </x:c>
      <x:c r="V239" s="28" t="str">
        <x:f>IF('Course_Master'!AL239="","",'Course_Master'!AL239)</x:f>
        <x:v>Verified — national register and exact BAG address</x:v>
      </x:c>
    </x:row>
    <x:row r="240">
      <x:c r="A240" s="28" t="str">
        <x:f>IF('Course_Master'!B240="","",'Course_Master'!B240)</x:f>
        <x:v>NL-0239</x:v>
      </x:c>
      <x:c r="B240" s="28" t="str">
        <x:f>IF('Course_Master'!C240="","",'Course_Master'!C240)</x:f>
        <x:v>Golf Waterland — Hazenlus</x:v>
      </x:c>
      <x:c r="C240" s="28" t="str">
        <x:f>IF('Course_Master'!D240="","",'Course_Master'!D240)</x:f>
        <x:v>Golf Waterland</x:v>
      </x:c>
      <x:c r="D240" s="28" t="str">
        <x:f>IF('Course_Master'!E240="","",'Course_Master'!E240)</x:f>
        <x:v>Hazenlus</x:v>
      </x:c>
      <x:c r="E240" s="28" t="str">
        <x:f>IF('Course_Master'!F240="","",'Course_Master'!F240)</x:f>
        <x:v>Netherlands</x:v>
      </x:c>
      <x:c r="F240" s="28" t="str">
        <x:f>IF('Course_Master'!G240="","",'Course_Master'!G240)</x:f>
        <x:v>Noord-Holland</x:v>
      </x:c>
      <x:c r="G240" s="28" t="str">
        <x:f>IF('Course_Master'!H240="","",'Course_Master'!H240)</x:f>
        <x:v>Amsterdam</x:v>
      </x:c>
      <x:c r="H240" s="28" t="str">
        <x:f>IF('Course_Master'!I240="","",'Course_Master'!I240)</x:f>
        <x:v>Amsterdam</x:v>
      </x:c>
      <x:c r="I240" s="28" t="str">
        <x:f>IF('Course_Master'!K240="","",'Course_Master'!K240)</x:f>
        <x:v>1027 AC</x:v>
      </x:c>
      <x:c r="J240" s="34" t="n">
        <x:f>IF('Course_Master'!L240="","",'Course_Master'!L240)</x:f>
        <x:v>52.40939047</x:v>
      </x:c>
      <x:c r="K240" s="34" t="n">
        <x:f>IF('Course_Master'!M240="","",'Course_Master'!M240)</x:f>
        <x:v>4.94222576</x:v>
      </x:c>
      <x:c r="L240" s="28" t="n">
        <x:f>IF('Course_Master'!S240="","",'Course_Master'!S240)</x:f>
        <x:v>9</x:v>
      </x:c>
      <x:c r="M240" s="28" t="n">
        <x:f>IF('Course_Master'!T240="","",'Course_Master'!T240)</x:f>
        <x:v>27</x:v>
      </x:c>
      <x:c r="N240" s="28" t="n">
        <x:f>IF('Course_Master'!Q240="","",'Course_Master'!Q240)</x:f>
        <x:v>949</x:v>
      </x:c>
      <x:c r="O240" s="28" t="n">
        <x:f>IF('Course_Master'!R240="","",'Course_Master'!R240)</x:f>
        <x:v>868</x:v>
      </x:c>
      <x:c r="P240" s="28" t="str">
        <x:f>IF('Course_Master'!U240="","",'Course_Master'!U240)</x:f>
        <x:v>Par-3 course</x:v>
      </x:c>
      <x:c r="Q240" s="28" t="str">
        <x:f>IF('Course_Master'!AD240="","",'Course_Master'!AD240)</x:f>
        <x:v>Public — no playing requirement</x:v>
      </x:c>
      <x:c r="R240" s="28" t="str">
        <x:f>IF('Course_Master'!AC240="","",'Course_Master'!AC240)</x:f>
        <x:v>Open</x:v>
      </x:c>
      <x:c r="S240" s="28" t="str">
        <x:f>IF('Course_Master'!Y240="","",'Course_Master'!Y240)</x:f>
        <x:v>https://www.golfbaanwaterlandamsterdam.nl/</x:v>
      </x:c>
      <x:c r="T240" s="28" t="b">
        <x:f>IF('Course_Master'!Z240="","",'Course_Master'!Z240)</x:f>
        <x:v>1</x:v>
      </x:c>
      <x:c r="U240" s="28" t="b">
        <x:f>IF('Course_Master'!AA240="","",'Course_Master'!AA240)</x:f>
        <x:v>1</x:v>
      </x:c>
      <x:c r="V240" s="28" t="str">
        <x:f>IF('Course_Master'!AL240="","",'Course_Master'!AL240)</x:f>
        <x:v>Verified — national register and exact BAG address</x:v>
      </x:c>
    </x:row>
    <x:row r="241">
      <x:c r="A241" s="28" t="str">
        <x:f>IF('Course_Master'!B241="","",'Course_Master'!B241)</x:f>
        <x:v>NL-0240</x:v>
      </x:c>
      <x:c r="B241" s="28" t="str">
        <x:f>IF('Course_Master'!C241="","",'Course_Master'!C241)</x:f>
        <x:v>Golf Waterland — Main Course</x:v>
      </x:c>
      <x:c r="C241" s="28" t="str">
        <x:f>IF('Course_Master'!D241="","",'Course_Master'!D241)</x:f>
        <x:v>Golf Waterland</x:v>
      </x:c>
      <x:c r="D241" s="28" t="str">
        <x:f>IF('Course_Master'!E241="","",'Course_Master'!E241)</x:f>
        <x:v>Main Course</x:v>
      </x:c>
      <x:c r="E241" s="28" t="str">
        <x:f>IF('Course_Master'!F241="","",'Course_Master'!F241)</x:f>
        <x:v>Netherlands</x:v>
      </x:c>
      <x:c r="F241" s="28" t="str">
        <x:f>IF('Course_Master'!G241="","",'Course_Master'!G241)</x:f>
        <x:v>Noord-Holland</x:v>
      </x:c>
      <x:c r="G241" s="28" t="str">
        <x:f>IF('Course_Master'!H241="","",'Course_Master'!H241)</x:f>
        <x:v>Amsterdam</x:v>
      </x:c>
      <x:c r="H241" s="28" t="str">
        <x:f>IF('Course_Master'!I241="","",'Course_Master'!I241)</x:f>
        <x:v>Amsterdam</x:v>
      </x:c>
      <x:c r="I241" s="28" t="str">
        <x:f>IF('Course_Master'!K241="","",'Course_Master'!K241)</x:f>
        <x:v>1027 AC</x:v>
      </x:c>
      <x:c r="J241" s="34" t="n">
        <x:f>IF('Course_Master'!L241="","",'Course_Master'!L241)</x:f>
        <x:v>52.40939047</x:v>
      </x:c>
      <x:c r="K241" s="34" t="n">
        <x:f>IF('Course_Master'!M241="","",'Course_Master'!M241)</x:f>
        <x:v>4.94222576</x:v>
      </x:c>
      <x:c r="L241" s="28" t="n">
        <x:f>IF('Course_Master'!S241="","",'Course_Master'!S241)</x:f>
        <x:v>18</x:v>
      </x:c>
      <x:c r="M241" s="28" t="n">
        <x:f>IF('Course_Master'!T241="","",'Course_Master'!T241)</x:f>
        <x:v>71</x:v>
      </x:c>
      <x:c r="N241" s="28" t="n">
        <x:f>IF('Course_Master'!Q241="","",'Course_Master'!Q241)</x:f>
        <x:v>5891</x:v>
      </x:c>
      <x:c r="O241" s="28" t="n">
        <x:f>IF('Course_Master'!R241="","",'Course_Master'!R241)</x:f>
        <x:v>5387</x:v>
      </x:c>
      <x:c r="P241" s="28" t="str">
        <x:f>IF('Course_Master'!U241="","",'Course_Master'!U241)</x:f>
        <x:v>Full-length course</x:v>
      </x:c>
      <x:c r="Q241" s="28" t="str">
        <x:f>IF('Course_Master'!AD241="","",'Course_Master'!AD241)</x:f>
        <x:v>Public — no playing requirement</x:v>
      </x:c>
      <x:c r="R241" s="28" t="str">
        <x:f>IF('Course_Master'!AC241="","",'Course_Master'!AC241)</x:f>
        <x:v>Open</x:v>
      </x:c>
      <x:c r="S241" s="28" t="str">
        <x:f>IF('Course_Master'!Y241="","",'Course_Master'!Y241)</x:f>
        <x:v>https://www.golfbaanwaterlandamsterdam.nl/</x:v>
      </x:c>
      <x:c r="T241" s="28" t="b">
        <x:f>IF('Course_Master'!Z241="","",'Course_Master'!Z241)</x:f>
        <x:v>1</x:v>
      </x:c>
      <x:c r="U241" s="28" t="b">
        <x:f>IF('Course_Master'!AA241="","",'Course_Master'!AA241)</x:f>
        <x:v>1</x:v>
      </x:c>
      <x:c r="V241" s="28" t="str">
        <x:f>IF('Course_Master'!AL241="","",'Course_Master'!AL241)</x:f>
        <x:v>Verified — national register and exact BAG address</x:v>
      </x:c>
    </x:row>
    <x:row r="242">
      <x:c r="A242" s="28" t="str">
        <x:f>IF('Course_Master'!B242="","",'Course_Master'!B242)</x:f>
        <x:v>NL-0241</x:v>
      </x:c>
      <x:c r="B242" s="28" t="str">
        <x:f>IF('Course_Master'!C242="","",'Course_Master'!C242)</x:f>
        <x:v>Golf- &amp; Countryclub Heiloo</x:v>
      </x:c>
      <x:c r="C242" s="28" t="str">
        <x:f>IF('Course_Master'!D242="","",'Course_Master'!D242)</x:f>
        <x:v>Golf- &amp; Countryclub Heiloo</x:v>
      </x:c>
      <x:c r="D242" s="28" t="str">
        <x:f>IF('Course_Master'!E242="","",'Course_Master'!E242)</x:f>
        <x:v>Course</x:v>
      </x:c>
      <x:c r="E242" s="28" t="str">
        <x:f>IF('Course_Master'!F242="","",'Course_Master'!F242)</x:f>
        <x:v>Netherlands</x:v>
      </x:c>
      <x:c r="F242" s="28" t="str">
        <x:f>IF('Course_Master'!G242="","",'Course_Master'!G242)</x:f>
        <x:v>Noord-Holland</x:v>
      </x:c>
      <x:c r="G242" s="28" t="str">
        <x:f>IF('Course_Master'!H242="","",'Course_Master'!H242)</x:f>
        <x:v>Heiloo</x:v>
      </x:c>
      <x:c r="H242" s="28" t="str">
        <x:f>IF('Course_Master'!I242="","",'Course_Master'!I242)</x:f>
        <x:v>Heiloo</x:v>
      </x:c>
      <x:c r="I242" s="28" t="str">
        <x:f>IF('Course_Master'!K242="","",'Course_Master'!K242)</x:f>
        <x:v>1851 PC</x:v>
      </x:c>
      <x:c r="J242" s="34" t="n">
        <x:f>IF('Course_Master'!L242="","",'Course_Master'!L242)</x:f>
        <x:v>52.58354675</x:v>
      </x:c>
      <x:c r="K242" s="34" t="n">
        <x:f>IF('Course_Master'!M242="","",'Course_Master'!M242)</x:f>
        <x:v>4.71316417</x:v>
      </x:c>
      <x:c r="L242" s="28" t="n">
        <x:f>IF('Course_Master'!S242="","",'Course_Master'!S242)</x:f>
        <x:v>9</x:v>
      </x:c>
      <x:c r="M242" s="28" t="n">
        <x:f>IF('Course_Master'!T242="","",'Course_Master'!T242)</x:f>
        <x:v>34</x:v>
      </x:c>
      <x:c r="N242" s="28" t="n">
        <x:f>IF('Course_Master'!Q242="","",'Course_Master'!Q242)</x:f>
        <x:v>2967</x:v>
      </x:c>
      <x:c r="O242" s="28" t="n">
        <x:f>IF('Course_Master'!R242="","",'Course_Master'!R242)</x:f>
        <x:v>2713</x:v>
      </x:c>
      <x:c r="P242" s="28" t="str">
        <x:f>IF('Course_Master'!U242="","",'Course_Master'!U242)</x:f>
        <x:v>Full-length course</x:v>
      </x:c>
      <x:c r="Q242" s="28" t="str">
        <x:f>IF('Course_Master'!AD242="","",'Course_Master'!AD242)</x:f>
        <x:v>Public — handicap 54 or lower</x:v>
      </x:c>
      <x:c r="R242" s="28" t="str">
        <x:f>IF('Course_Master'!AC242="","",'Course_Master'!AC242)</x:f>
        <x:v>Open</x:v>
      </x:c>
      <x:c r="S242" s="28" t="str">
        <x:f>IF('Course_Master'!Y242="","",'Course_Master'!Y242)</x:f>
        <x:v>https://www.golfclubheiloo.nl/</x:v>
      </x:c>
      <x:c r="T242" s="28" t="b">
        <x:f>IF('Course_Master'!Z242="","",'Course_Master'!Z242)</x:f>
        <x:v>1</x:v>
      </x:c>
      <x:c r="U242" s="28" t="b">
        <x:f>IF('Course_Master'!AA242="","",'Course_Master'!AA242)</x:f>
        <x:v>1</x:v>
      </x:c>
      <x:c r="V242" s="28" t="str">
        <x:f>IF('Course_Master'!AL242="","",'Course_Master'!AL242)</x:f>
        <x:v>Verified — national register and exact BAG address</x:v>
      </x:c>
    </x:row>
    <x:row r="243">
      <x:c r="A243" s="28" t="str">
        <x:f>IF('Course_Master'!B243="","",'Course_Master'!B243)</x:f>
        <x:v>NL-0242</x:v>
      </x:c>
      <x:c r="B243" s="28" t="str">
        <x:f>IF('Course_Master'!C243="","",'Course_Master'!C243)</x:f>
        <x:v>Golfbaan De Hoge Dijk/Olympus — Abcoudebaan</x:v>
      </x:c>
      <x:c r="C243" s="28" t="str">
        <x:f>IF('Course_Master'!D243="","",'Course_Master'!D243)</x:f>
        <x:v>Golfbaan De Hoge Dijk/Olympus</x:v>
      </x:c>
      <x:c r="D243" s="28" t="str">
        <x:f>IF('Course_Master'!E243="","",'Course_Master'!E243)</x:f>
        <x:v>Abcoudebaan</x:v>
      </x:c>
      <x:c r="E243" s="28" t="str">
        <x:f>IF('Course_Master'!F243="","",'Course_Master'!F243)</x:f>
        <x:v>Netherlands</x:v>
      </x:c>
      <x:c r="F243" s="28" t="str">
        <x:f>IF('Course_Master'!G243="","",'Course_Master'!G243)</x:f>
        <x:v>Noord-Holland</x:v>
      </x:c>
      <x:c r="G243" s="28" t="str">
        <x:f>IF('Course_Master'!H243="","",'Course_Master'!H243)</x:f>
        <x:v>Amsterdam</x:v>
      </x:c>
      <x:c r="H243" s="28" t="str">
        <x:f>IF('Course_Master'!I243="","",'Course_Master'!I243)</x:f>
        <x:v>Amsterdam</x:v>
      </x:c>
      <x:c r="I243" s="28" t="str">
        <x:f>IF('Course_Master'!K243="","",'Course_Master'!K243)</x:f>
        <x:v>1105 AA</x:v>
      </x:c>
      <x:c r="J243" s="34" t="n">
        <x:f>IF('Course_Master'!L243="","",'Course_Master'!L243)</x:f>
        <x:v>52.28710527</x:v>
      </x:c>
      <x:c r="K243" s="34" t="n">
        <x:f>IF('Course_Master'!M243="","",'Course_Master'!M243)</x:f>
        <x:v>4.95976214</x:v>
      </x:c>
      <x:c r="L243" s="28" t="n">
        <x:f>IF('Course_Master'!S243="","",'Course_Master'!S243)</x:f>
        <x:v>9</x:v>
      </x:c>
      <x:c r="M243" s="28" t="n">
        <x:f>IF('Course_Master'!T243="","",'Course_Master'!T243)</x:f>
        <x:v>31</x:v>
      </x:c>
      <x:c r="N243" s="28" t="n">
        <x:f>IF('Course_Master'!Q243="","",'Course_Master'!Q243)</x:f>
        <x:v>1962</x:v>
      </x:c>
      <x:c r="O243" s="28" t="n">
        <x:f>IF('Course_Master'!R243="","",'Course_Master'!R243)</x:f>
        <x:v>1794</x:v>
      </x:c>
      <x:c r="P243" s="28" t="str">
        <x:f>IF('Course_Master'!U243="","",'Course_Master'!U243)</x:f>
        <x:v>Par-3/4 course</x:v>
      </x:c>
      <x:c r="Q243" s="28" t="str">
        <x:f>IF('Course_Master'!AD243="","",'Course_Master'!AD243)</x:f>
        <x:v>Public — NGF course permission</x:v>
      </x:c>
      <x:c r="R243" s="28" t="str">
        <x:f>IF('Course_Master'!AC243="","",'Course_Master'!AC243)</x:f>
        <x:v>Open</x:v>
      </x:c>
      <x:c r="S243" s="28" t="str">
        <x:f>IF('Course_Master'!Y243="","",'Course_Master'!Y243)</x:f>
        <x:v>https://dehogedijk.nl/</x:v>
      </x:c>
      <x:c r="T243" s="28" t="b">
        <x:f>IF('Course_Master'!Z243="","",'Course_Master'!Z243)</x:f>
        <x:v>1</x:v>
      </x:c>
      <x:c r="U243" s="28" t="b">
        <x:f>IF('Course_Master'!AA243="","",'Course_Master'!AA243)</x:f>
        <x:v>1</x:v>
      </x:c>
      <x:c r="V243" s="28" t="str">
        <x:f>IF('Course_Master'!AL243="","",'Course_Master'!AL243)</x:f>
        <x:v>Verified — national register and exact BAG address</x:v>
      </x:c>
    </x:row>
    <x:row r="244">
      <x:c r="A244" s="28" t="str">
        <x:f>IF('Course_Master'!B244="","",'Course_Master'!B244)</x:f>
        <x:v>NL-0243</x:v>
      </x:c>
      <x:c r="B244" s="28" t="str">
        <x:f>IF('Course_Master'!C244="","",'Course_Master'!C244)</x:f>
        <x:v>Golfbaan De Hoge Dijk/Olympus — Bullewijkbaan</x:v>
      </x:c>
      <x:c r="C244" s="28" t="str">
        <x:f>IF('Course_Master'!D244="","",'Course_Master'!D244)</x:f>
        <x:v>Golfbaan De Hoge Dijk/Olympus</x:v>
      </x:c>
      <x:c r="D244" s="28" t="str">
        <x:f>IF('Course_Master'!E244="","",'Course_Master'!E244)</x:f>
        <x:v>Bullewijkbaan</x:v>
      </x:c>
      <x:c r="E244" s="28" t="str">
        <x:f>IF('Course_Master'!F244="","",'Course_Master'!F244)</x:f>
        <x:v>Netherlands</x:v>
      </x:c>
      <x:c r="F244" s="28" t="str">
        <x:f>IF('Course_Master'!G244="","",'Course_Master'!G244)</x:f>
        <x:v>Noord-Holland</x:v>
      </x:c>
      <x:c r="G244" s="28" t="str">
        <x:f>IF('Course_Master'!H244="","",'Course_Master'!H244)</x:f>
        <x:v>Amsterdam</x:v>
      </x:c>
      <x:c r="H244" s="28" t="str">
        <x:f>IF('Course_Master'!I244="","",'Course_Master'!I244)</x:f>
        <x:v>Amsterdam</x:v>
      </x:c>
      <x:c r="I244" s="28" t="str">
        <x:f>IF('Course_Master'!K244="","",'Course_Master'!K244)</x:f>
        <x:v>1105 AA</x:v>
      </x:c>
      <x:c r="J244" s="34" t="n">
        <x:f>IF('Course_Master'!L244="","",'Course_Master'!L244)</x:f>
        <x:v>52.28710527</x:v>
      </x:c>
      <x:c r="K244" s="34" t="n">
        <x:f>IF('Course_Master'!M244="","",'Course_Master'!M244)</x:f>
        <x:v>4.95976214</x:v>
      </x:c>
      <x:c r="L244" s="28" t="n">
        <x:f>IF('Course_Master'!S244="","",'Course_Master'!S244)</x:f>
        <x:v>9</x:v>
      </x:c>
      <x:c r="M244" s="28" t="n">
        <x:f>IF('Course_Master'!T244="","",'Course_Master'!T244)</x:f>
        <x:v>35</x:v>
      </x:c>
      <x:c r="N244" s="28" t="n">
        <x:f>IF('Course_Master'!Q244="","",'Course_Master'!Q244)</x:f>
        <x:v>3244</x:v>
      </x:c>
      <x:c r="O244" s="28" t="n">
        <x:f>IF('Course_Master'!R244="","",'Course_Master'!R244)</x:f>
        <x:v>2966</x:v>
      </x:c>
      <x:c r="P244" s="28" t="str">
        <x:f>IF('Course_Master'!U244="","",'Course_Master'!U244)</x:f>
        <x:v>Full-length course</x:v>
      </x:c>
      <x:c r="Q244" s="28" t="str">
        <x:f>IF('Course_Master'!AD244="","",'Course_Master'!AD244)</x:f>
        <x:v>Public — handicap 54 or lower</x:v>
      </x:c>
      <x:c r="R244" s="28" t="str">
        <x:f>IF('Course_Master'!AC244="","",'Course_Master'!AC244)</x:f>
        <x:v>Open</x:v>
      </x:c>
      <x:c r="S244" s="28" t="str">
        <x:f>IF('Course_Master'!Y244="","",'Course_Master'!Y244)</x:f>
        <x:v>https://dehogedijk.nl/</x:v>
      </x:c>
      <x:c r="T244" s="28" t="b">
        <x:f>IF('Course_Master'!Z244="","",'Course_Master'!Z244)</x:f>
        <x:v>1</x:v>
      </x:c>
      <x:c r="U244" s="28" t="b">
        <x:f>IF('Course_Master'!AA244="","",'Course_Master'!AA244)</x:f>
        <x:v>1</x:v>
      </x:c>
      <x:c r="V244" s="28" t="str">
        <x:f>IF('Course_Master'!AL244="","",'Course_Master'!AL244)</x:f>
        <x:v>Verified — national register and exact BAG address</x:v>
      </x:c>
    </x:row>
    <x:row r="245">
      <x:c r="A245" s="28" t="str">
        <x:f>IF('Course_Master'!B245="","",'Course_Master'!B245)</x:f>
        <x:v>NL-0244</x:v>
      </x:c>
      <x:c r="B245" s="28" t="str">
        <x:f>IF('Course_Master'!C245="","",'Course_Master'!C245)</x:f>
        <x:v>Golfbaan De Hoge Dijk/Olympus — Holendrechtbaan</x:v>
      </x:c>
      <x:c r="C245" s="28" t="str">
        <x:f>IF('Course_Master'!D245="","",'Course_Master'!D245)</x:f>
        <x:v>Golfbaan De Hoge Dijk/Olympus</x:v>
      </x:c>
      <x:c r="D245" s="28" t="str">
        <x:f>IF('Course_Master'!E245="","",'Course_Master'!E245)</x:f>
        <x:v>Holendrechtbaan</x:v>
      </x:c>
      <x:c r="E245" s="28" t="str">
        <x:f>IF('Course_Master'!F245="","",'Course_Master'!F245)</x:f>
        <x:v>Netherlands</x:v>
      </x:c>
      <x:c r="F245" s="28" t="str">
        <x:f>IF('Course_Master'!G245="","",'Course_Master'!G245)</x:f>
        <x:v>Noord-Holland</x:v>
      </x:c>
      <x:c r="G245" s="28" t="str">
        <x:f>IF('Course_Master'!H245="","",'Course_Master'!H245)</x:f>
        <x:v>Amsterdam</x:v>
      </x:c>
      <x:c r="H245" s="28" t="str">
        <x:f>IF('Course_Master'!I245="","",'Course_Master'!I245)</x:f>
        <x:v>Amsterdam</x:v>
      </x:c>
      <x:c r="I245" s="28" t="str">
        <x:f>IF('Course_Master'!K245="","",'Course_Master'!K245)</x:f>
        <x:v>1105 AA</x:v>
      </x:c>
      <x:c r="J245" s="34" t="n">
        <x:f>IF('Course_Master'!L245="","",'Course_Master'!L245)</x:f>
        <x:v>52.28710527</x:v>
      </x:c>
      <x:c r="K245" s="34" t="n">
        <x:f>IF('Course_Master'!M245="","",'Course_Master'!M245)</x:f>
        <x:v>4.95976214</x:v>
      </x:c>
      <x:c r="L245" s="28" t="n">
        <x:f>IF('Course_Master'!S245="","",'Course_Master'!S245)</x:f>
        <x:v>9</x:v>
      </x:c>
      <x:c r="M245" s="28" t="n">
        <x:f>IF('Course_Master'!T245="","",'Course_Master'!T245)</x:f>
        <x:v>36</x:v>
      </x:c>
      <x:c r="N245" s="28" t="n">
        <x:f>IF('Course_Master'!Q245="","",'Course_Master'!Q245)</x:f>
        <x:v>3318</x:v>
      </x:c>
      <x:c r="O245" s="28" t="n">
        <x:f>IF('Course_Master'!R245="","",'Course_Master'!R245)</x:f>
        <x:v>3034</x:v>
      </x:c>
      <x:c r="P245" s="28" t="str">
        <x:f>IF('Course_Master'!U245="","",'Course_Master'!U245)</x:f>
        <x:v>Full-length course</x:v>
      </x:c>
      <x:c r="Q245" s="28" t="str">
        <x:f>IF('Course_Master'!AD245="","",'Course_Master'!AD245)</x:f>
        <x:v>Public — handicap 54 or lower</x:v>
      </x:c>
      <x:c r="R245" s="28" t="str">
        <x:f>IF('Course_Master'!AC245="","",'Course_Master'!AC245)</x:f>
        <x:v>Open</x:v>
      </x:c>
      <x:c r="S245" s="28" t="str">
        <x:f>IF('Course_Master'!Y245="","",'Course_Master'!Y245)</x:f>
        <x:v>https://dehogedijk.nl/</x:v>
      </x:c>
      <x:c r="T245" s="28" t="b">
        <x:f>IF('Course_Master'!Z245="","",'Course_Master'!Z245)</x:f>
        <x:v>1</x:v>
      </x:c>
      <x:c r="U245" s="28" t="b">
        <x:f>IF('Course_Master'!AA245="","",'Course_Master'!AA245)</x:f>
        <x:v>1</x:v>
      </x:c>
      <x:c r="V245" s="28" t="str">
        <x:f>IF('Course_Master'!AL245="","",'Course_Master'!AL245)</x:f>
        <x:v>Verified — national register and exact BAG address</x:v>
      </x:c>
    </x:row>
    <x:row r="246">
      <x:c r="A246" s="28" t="str">
        <x:f>IF('Course_Master'!B246="","",'Course_Master'!B246)</x:f>
        <x:v>NL-0245</x:v>
      </x:c>
      <x:c r="B246" s="28" t="str">
        <x:f>IF('Course_Master'!C246="","",'Course_Master'!C246)</x:f>
        <x:v>Golfbaan De Texelse — Main Course</x:v>
      </x:c>
      <x:c r="C246" s="28" t="str">
        <x:f>IF('Course_Master'!D246="","",'Course_Master'!D246)</x:f>
        <x:v>Golfbaan De Texelse</x:v>
      </x:c>
      <x:c r="D246" s="28" t="str">
        <x:f>IF('Course_Master'!E246="","",'Course_Master'!E246)</x:f>
        <x:v>Main Course</x:v>
      </x:c>
      <x:c r="E246" s="28" t="str">
        <x:f>IF('Course_Master'!F246="","",'Course_Master'!F246)</x:f>
        <x:v>Netherlands</x:v>
      </x:c>
      <x:c r="F246" s="28" t="str">
        <x:f>IF('Course_Master'!G246="","",'Course_Master'!G246)</x:f>
        <x:v>Noord-Holland</x:v>
      </x:c>
      <x:c r="G246" s="28" t="str">
        <x:f>IF('Course_Master'!H246="","",'Course_Master'!H246)</x:f>
        <x:v>Texel</x:v>
      </x:c>
      <x:c r="H246" s="28" t="str">
        <x:f>IF('Course_Master'!I246="","",'Course_Master'!I246)</x:f>
        <x:v>De Cocksdorp</x:v>
      </x:c>
      <x:c r="I246" s="28" t="str">
        <x:f>IF('Course_Master'!K246="","",'Course_Master'!K246)</x:f>
        <x:v>1795 JX</x:v>
      </x:c>
      <x:c r="J246" s="34" t="n">
        <x:f>IF('Course_Master'!L246="","",'Course_Master'!L246)</x:f>
        <x:v>53.1468301</x:v>
      </x:c>
      <x:c r="K246" s="34" t="n">
        <x:f>IF('Course_Master'!M246="","",'Course_Master'!M246)</x:f>
        <x:v>4.85431681</x:v>
      </x:c>
      <x:c r="L246" s="28" t="n">
        <x:f>IF('Course_Master'!S246="","",'Course_Master'!S246)</x:f>
        <x:v>18</x:v>
      </x:c>
      <x:c r="M246" s="28" t="n">
        <x:f>IF('Course_Master'!T246="","",'Course_Master'!T246)</x:f>
        <x:v>72</x:v>
      </x:c>
      <x:c r="N246" s="28" t="n">
        <x:f>IF('Course_Master'!Q246="","",'Course_Master'!Q246)</x:f>
        <x:v>6570</x:v>
      </x:c>
      <x:c r="O246" s="28" t="n">
        <x:f>IF('Course_Master'!R246="","",'Course_Master'!R246)</x:f>
        <x:v>6008</x:v>
      </x:c>
      <x:c r="P246" s="28" t="str">
        <x:f>IF('Course_Master'!U246="","",'Course_Master'!U246)</x:f>
        <x:v>Full-length course</x:v>
      </x:c>
      <x:c r="Q246" s="28" t="str">
        <x:f>IF('Course_Master'!AD246="","",'Course_Master'!AD246)</x:f>
        <x:v>Public — handicap 54 or lower</x:v>
      </x:c>
      <x:c r="R246" s="28" t="str">
        <x:f>IF('Course_Master'!AC246="","",'Course_Master'!AC246)</x:f>
        <x:v>Open</x:v>
      </x:c>
      <x:c r="S246" s="28" t="str">
        <x:f>IF('Course_Master'!Y246="","",'Course_Master'!Y246)</x:f>
        <x:v>https://texelse.nl/</x:v>
      </x:c>
      <x:c r="T246" s="28" t="b">
        <x:f>IF('Course_Master'!Z246="","",'Course_Master'!Z246)</x:f>
        <x:v>1</x:v>
      </x:c>
      <x:c r="U246" s="28" t="b">
        <x:f>IF('Course_Master'!AA246="","",'Course_Master'!AA246)</x:f>
        <x:v>1</x:v>
      </x:c>
      <x:c r="V246" s="28" t="str">
        <x:f>IF('Course_Master'!AL246="","",'Course_Master'!AL246)</x:f>
        <x:v>Verified — national register and exact BAG address</x:v>
      </x:c>
    </x:row>
    <x:row r="247">
      <x:c r="A247" s="28" t="str">
        <x:f>IF('Course_Master'!B247="","",'Course_Master'!B247)</x:f>
        <x:v>NL-0246</x:v>
      </x:c>
      <x:c r="B247" s="28" t="str">
        <x:f>IF('Course_Master'!C247="","",'Course_Master'!C247)</x:f>
        <x:v>Golfbaan De Texelse — Par-3 Course</x:v>
      </x:c>
      <x:c r="C247" s="28" t="str">
        <x:f>IF('Course_Master'!D247="","",'Course_Master'!D247)</x:f>
        <x:v>Golfbaan De Texelse</x:v>
      </x:c>
      <x:c r="D247" s="28" t="str">
        <x:f>IF('Course_Master'!E247="","",'Course_Master'!E247)</x:f>
        <x:v>Par-3 Course</x:v>
      </x:c>
      <x:c r="E247" s="28" t="str">
        <x:f>IF('Course_Master'!F247="","",'Course_Master'!F247)</x:f>
        <x:v>Netherlands</x:v>
      </x:c>
      <x:c r="F247" s="28" t="str">
        <x:f>IF('Course_Master'!G247="","",'Course_Master'!G247)</x:f>
        <x:v>Noord-Holland</x:v>
      </x:c>
      <x:c r="G247" s="28" t="str">
        <x:f>IF('Course_Master'!H247="","",'Course_Master'!H247)</x:f>
        <x:v>Texel</x:v>
      </x:c>
      <x:c r="H247" s="28" t="str">
        <x:f>IF('Course_Master'!I247="","",'Course_Master'!I247)</x:f>
        <x:v>De Cocksdorp</x:v>
      </x:c>
      <x:c r="I247" s="28" t="str">
        <x:f>IF('Course_Master'!K247="","",'Course_Master'!K247)</x:f>
        <x:v>1795 JX</x:v>
      </x:c>
      <x:c r="J247" s="34" t="n">
        <x:f>IF('Course_Master'!L247="","",'Course_Master'!L247)</x:f>
        <x:v>53.1468301</x:v>
      </x:c>
      <x:c r="K247" s="34" t="n">
        <x:f>IF('Course_Master'!M247="","",'Course_Master'!M247)</x:f>
        <x:v>4.85431681</x:v>
      </x:c>
      <x:c r="L247" s="28" t="n">
        <x:f>IF('Course_Master'!S247="","",'Course_Master'!S247)</x:f>
        <x:v>9</x:v>
      </x:c>
      <x:c r="M247" s="28" t="n">
        <x:f>IF('Course_Master'!T247="","",'Course_Master'!T247)</x:f>
        <x:v>27</x:v>
      </x:c>
      <x:c r="N247" s="28" t="n">
        <x:f>IF('Course_Master'!Q247="","",'Course_Master'!Q247)</x:f>
        <x:v>734</x:v>
      </x:c>
      <x:c r="O247" s="28" t="n">
        <x:f>IF('Course_Master'!R247="","",'Course_Master'!R247)</x:f>
        <x:v>671</x:v>
      </x:c>
      <x:c r="P247" s="28" t="str">
        <x:f>IF('Course_Master'!U247="","",'Course_Master'!U247)</x:f>
        <x:v>Par-3 course</x:v>
      </x:c>
      <x:c r="Q247" s="28" t="str">
        <x:f>IF('Course_Master'!AD247="","",'Course_Master'!AD247)</x:f>
        <x:v>Public — no playing requirement</x:v>
      </x:c>
      <x:c r="R247" s="28" t="str">
        <x:f>IF('Course_Master'!AC247="","",'Course_Master'!AC247)</x:f>
        <x:v>Open</x:v>
      </x:c>
      <x:c r="S247" s="28" t="str">
        <x:f>IF('Course_Master'!Y247="","",'Course_Master'!Y247)</x:f>
        <x:v>https://texelse.nl/</x:v>
      </x:c>
      <x:c r="T247" s="28" t="b">
        <x:f>IF('Course_Master'!Z247="","",'Course_Master'!Z247)</x:f>
        <x:v>1</x:v>
      </x:c>
      <x:c r="U247" s="28" t="b">
        <x:f>IF('Course_Master'!AA247="","",'Course_Master'!AA247)</x:f>
        <x:v>1</x:v>
      </x:c>
      <x:c r="V247" s="28" t="str">
        <x:f>IF('Course_Master'!AL247="","",'Course_Master'!AL247)</x:f>
        <x:v>Verified — national register and exact BAG address</x:v>
      </x:c>
    </x:row>
    <x:row r="248">
      <x:c r="A248" s="28" t="str">
        <x:f>IF('Course_Master'!B248="","",'Course_Master'!B248)</x:f>
        <x:v>NL-0247</x:v>
      </x:c>
      <x:c r="B248" s="28" t="str">
        <x:f>IF('Course_Master'!C248="","",'Course_Master'!C248)</x:f>
        <x:v>Golfbaan De Vlietlanden — Main Course</x:v>
      </x:c>
      <x:c r="C248" s="28" t="str">
        <x:f>IF('Course_Master'!D248="","",'Course_Master'!D248)</x:f>
        <x:v>Golfbaan De Vlietlanden</x:v>
      </x:c>
      <x:c r="D248" s="28" t="str">
        <x:f>IF('Course_Master'!E248="","",'Course_Master'!E248)</x:f>
        <x:v>Main Course</x:v>
      </x:c>
      <x:c r="E248" s="28" t="str">
        <x:f>IF('Course_Master'!F248="","",'Course_Master'!F248)</x:f>
        <x:v>Netherlands</x:v>
      </x:c>
      <x:c r="F248" s="28" t="str">
        <x:f>IF('Course_Master'!G248="","",'Course_Master'!G248)</x:f>
        <x:v>Noord-Holland</x:v>
      </x:c>
      <x:c r="G248" s="28" t="str">
        <x:f>IF('Course_Master'!H248="","",'Course_Master'!H248)</x:f>
        <x:v>Medemblik</x:v>
      </x:c>
      <x:c r="H248" s="28" t="str">
        <x:f>IF('Course_Master'!I248="","",'Course_Master'!I248)</x:f>
        <x:v>Wervershoof</x:v>
      </x:c>
      <x:c r="I248" s="28" t="str">
        <x:f>IF('Course_Master'!K248="","",'Course_Master'!K248)</x:f>
        <x:v>1693 HR</x:v>
      </x:c>
      <x:c r="J248" s="34" t="n">
        <x:f>IF('Course_Master'!L248="","",'Course_Master'!L248)</x:f>
        <x:v>52.74673767</x:v>
      </x:c>
      <x:c r="K248" s="34" t="n">
        <x:f>IF('Course_Master'!M248="","",'Course_Master'!M248)</x:f>
        <x:v>5.10874093</x:v>
      </x:c>
      <x:c r="L248" s="28" t="n">
        <x:f>IF('Course_Master'!S248="","",'Course_Master'!S248)</x:f>
        <x:v>18</x:v>
      </x:c>
      <x:c r="M248" s="28" t="n">
        <x:f>IF('Course_Master'!T248="","",'Course_Master'!T248)</x:f>
        <x:v>60</x:v>
      </x:c>
      <x:c r="N248" s="28" t="n">
        <x:f>IF('Course_Master'!Q248="","",'Course_Master'!Q248)</x:f>
        <x:v>3333</x:v>
      </x:c>
      <x:c r="O248" s="28" t="n">
        <x:f>IF('Course_Master'!R248="","",'Course_Master'!R248)</x:f>
        <x:v>3048</x:v>
      </x:c>
      <x:c r="P248" s="28" t="str">
        <x:f>IF('Course_Master'!U248="","",'Course_Master'!U248)</x:f>
        <x:v>Full-length course</x:v>
      </x:c>
      <x:c r="Q248" s="28" t="str">
        <x:f>IF('Course_Master'!AD248="","",'Course_Master'!AD248)</x:f>
        <x:v>Public — no playing requirement</x:v>
      </x:c>
      <x:c r="R248" s="28" t="str">
        <x:f>IF('Course_Master'!AC248="","",'Course_Master'!AC248)</x:f>
        <x:v>Open</x:v>
      </x:c>
      <x:c r="S248" s="28" t="str">
        <x:f>IF('Course_Master'!Y248="","",'Course_Master'!Y248)</x:f>
        <x:v>https://golfbaandevlietlanden.nl/</x:v>
      </x:c>
      <x:c r="T248" s="28" t="b">
        <x:f>IF('Course_Master'!Z248="","",'Course_Master'!Z248)</x:f>
        <x:v>1</x:v>
      </x:c>
      <x:c r="U248" s="28" t="b">
        <x:f>IF('Course_Master'!AA248="","",'Course_Master'!AA248)</x:f>
        <x:v>1</x:v>
      </x:c>
      <x:c r="V248" s="28" t="str">
        <x:f>IF('Course_Master'!AL248="","",'Course_Master'!AL248)</x:f>
        <x:v>Verified — national register and exact BAG address</x:v>
      </x:c>
    </x:row>
    <x:row r="249">
      <x:c r="A249" s="28" t="str">
        <x:f>IF('Course_Master'!B249="","",'Course_Master'!B249)</x:f>
        <x:v>NL-0248</x:v>
      </x:c>
      <x:c r="B249" s="28" t="str">
        <x:f>IF('Course_Master'!C249="","",'Course_Master'!C249)</x:f>
        <x:v>Golfbaan Dirkshorn — Main Course</x:v>
      </x:c>
      <x:c r="C249" s="28" t="str">
        <x:f>IF('Course_Master'!D249="","",'Course_Master'!D249)</x:f>
        <x:v>Golfbaan Dirkshorn</x:v>
      </x:c>
      <x:c r="D249" s="28" t="str">
        <x:f>IF('Course_Master'!E249="","",'Course_Master'!E249)</x:f>
        <x:v>Main Course</x:v>
      </x:c>
      <x:c r="E249" s="28" t="str">
        <x:f>IF('Course_Master'!F249="","",'Course_Master'!F249)</x:f>
        <x:v>Netherlands</x:v>
      </x:c>
      <x:c r="F249" s="28" t="str">
        <x:f>IF('Course_Master'!G249="","",'Course_Master'!G249)</x:f>
        <x:v>Noord-Holland</x:v>
      </x:c>
      <x:c r="G249" s="28" t="str">
        <x:f>IF('Course_Master'!H249="","",'Course_Master'!H249)</x:f>
        <x:v>Schagen</x:v>
      </x:c>
      <x:c r="H249" s="28" t="str">
        <x:f>IF('Course_Master'!I249="","",'Course_Master'!I249)</x:f>
        <x:v>Dirkshorn</x:v>
      </x:c>
      <x:c r="I249" s="28" t="str">
        <x:f>IF('Course_Master'!K249="","",'Course_Master'!K249)</x:f>
        <x:v>1746 EE</x:v>
      </x:c>
      <x:c r="J249" s="34" t="n">
        <x:f>IF('Course_Master'!L249="","",'Course_Master'!L249)</x:f>
        <x:v>52.7560698</x:v>
      </x:c>
      <x:c r="K249" s="34" t="n">
        <x:f>IF('Course_Master'!M249="","",'Course_Master'!M249)</x:f>
        <x:v>4.7869704</x:v>
      </x:c>
      <x:c r="L249" s="28" t="n">
        <x:f>IF('Course_Master'!S249="","",'Course_Master'!S249)</x:f>
        <x:v>18</x:v>
      </x:c>
      <x:c r="M249" s="28" t="n">
        <x:f>IF('Course_Master'!T249="","",'Course_Master'!T249)</x:f>
        <x:v>72</x:v>
      </x:c>
      <x:c r="N249" s="28" t="n">
        <x:f>IF('Course_Master'!Q249="","",'Course_Master'!Q249)</x:f>
        <x:v>6808</x:v>
      </x:c>
      <x:c r="O249" s="28" t="n">
        <x:f>IF('Course_Master'!R249="","",'Course_Master'!R249)</x:f>
        <x:v>6225</x:v>
      </x:c>
      <x:c r="P249" s="28" t="str">
        <x:f>IF('Course_Master'!U249="","",'Course_Master'!U249)</x:f>
        <x:v>Full-length course</x:v>
      </x:c>
      <x:c r="Q249" s="28" t="str">
        <x:f>IF('Course_Master'!AD249="","",'Course_Master'!AD249)</x:f>
        <x:v>Public — handicap 54 or lower</x:v>
      </x:c>
      <x:c r="R249" s="28" t="str">
        <x:f>IF('Course_Master'!AC249="","",'Course_Master'!AC249)</x:f>
        <x:v>Open</x:v>
      </x:c>
      <x:c r="S249" s="28" t="str">
        <x:f>IF('Course_Master'!Y249="","",'Course_Master'!Y249)</x:f>
        <x:v>https://golfbaandirkshorn.nl/</x:v>
      </x:c>
      <x:c r="T249" s="28" t="b">
        <x:f>IF('Course_Master'!Z249="","",'Course_Master'!Z249)</x:f>
        <x:v>1</x:v>
      </x:c>
      <x:c r="U249" s="28" t="b">
        <x:f>IF('Course_Master'!AA249="","",'Course_Master'!AA249)</x:f>
        <x:v>1</x:v>
      </x:c>
      <x:c r="V249" s="28" t="str">
        <x:f>IF('Course_Master'!AL249="","",'Course_Master'!AL249)</x:f>
        <x:v>Verified — national register and exact BAG address</x:v>
      </x:c>
    </x:row>
    <x:row r="250">
      <x:c r="A250" s="28" t="str">
        <x:f>IF('Course_Master'!B250="","",'Course_Master'!B250)</x:f>
        <x:v>NL-0249</x:v>
      </x:c>
      <x:c r="B250" s="28" t="str">
        <x:f>IF('Course_Master'!C250="","",'Course_Master'!C250)</x:f>
        <x:v>Golfbaan Kavel 2 Beemster</x:v>
      </x:c>
      <x:c r="C250" s="28" t="str">
        <x:f>IF('Course_Master'!D250="","",'Course_Master'!D250)</x:f>
        <x:v>Golfbaan Kavel 2 Beemster</x:v>
      </x:c>
      <x:c r="D250" s="28" t="str">
        <x:f>IF('Course_Master'!E250="","",'Course_Master'!E250)</x:f>
        <x:v>Course</x:v>
      </x:c>
      <x:c r="E250" s="28" t="str">
        <x:f>IF('Course_Master'!F250="","",'Course_Master'!F250)</x:f>
        <x:v>Netherlands</x:v>
      </x:c>
      <x:c r="F250" s="28" t="str">
        <x:f>IF('Course_Master'!G250="","",'Course_Master'!G250)</x:f>
        <x:v>Noord-Holland</x:v>
      </x:c>
      <x:c r="G250" s="28" t="str">
        <x:f>IF('Course_Master'!H250="","",'Course_Master'!H250)</x:f>
        <x:v>Purmerend</x:v>
      </x:c>
      <x:c r="H250" s="28" t="str">
        <x:f>IF('Course_Master'!I250="","",'Course_Master'!I250)</x:f>
        <x:v>Middenbeemster</x:v>
      </x:c>
      <x:c r="I250" s="28" t="str">
        <x:f>IF('Course_Master'!K250="","",'Course_Master'!K250)</x:f>
        <x:v>1462 HR</x:v>
      </x:c>
      <x:c r="J250" s="34" t="n">
        <x:f>IF('Course_Master'!L250="","",'Course_Master'!L250)</x:f>
        <x:v>52.52756907</x:v>
      </x:c>
      <x:c r="K250" s="34" t="n">
        <x:f>IF('Course_Master'!M250="","",'Course_Master'!M250)</x:f>
        <x:v>4.92256679</x:v>
      </x:c>
      <x:c r="L250" s="28" t="n">
        <x:f>IF('Course_Master'!S250="","",'Course_Master'!S250)</x:f>
        <x:v>9</x:v>
      </x:c>
      <x:c r="M250" s="28" t="n">
        <x:f>IF('Course_Master'!T250="","",'Course_Master'!T250)</x:f>
        <x:v>32</x:v>
      </x:c>
      <x:c r="N250" s="28" t="n">
        <x:f>IF('Course_Master'!Q250="","",'Course_Master'!Q250)</x:f>
        <x:v>2304</x:v>
      </x:c>
      <x:c r="O250" s="28" t="n">
        <x:f>IF('Course_Master'!R250="","",'Course_Master'!R250)</x:f>
        <x:v>2107</x:v>
      </x:c>
      <x:c r="P250" s="28" t="str">
        <x:f>IF('Course_Master'!U250="","",'Course_Master'!U250)</x:f>
        <x:v>Par-3/4 course</x:v>
      </x:c>
      <x:c r="Q250" s="28" t="str">
        <x:f>IF('Course_Master'!AD250="","",'Course_Master'!AD250)</x:f>
        <x:v>Public — NGF course permission</x:v>
      </x:c>
      <x:c r="R250" s="28" t="str">
        <x:f>IF('Course_Master'!AC250="","",'Course_Master'!AC250)</x:f>
        <x:v>Open</x:v>
      </x:c>
      <x:c r="S250" s="28" t="str">
        <x:f>IF('Course_Master'!Y250="","",'Course_Master'!Y250)</x:f>
        <x:v>https://kavel2.nl/</x:v>
      </x:c>
      <x:c r="T250" s="28" t="b">
        <x:f>IF('Course_Master'!Z250="","",'Course_Master'!Z250)</x:f>
        <x:v>1</x:v>
      </x:c>
      <x:c r="U250" s="28" t="b">
        <x:f>IF('Course_Master'!AA250="","",'Course_Master'!AA250)</x:f>
        <x:v>1</x:v>
      </x:c>
      <x:c r="V250" s="28" t="str">
        <x:f>IF('Course_Master'!AL250="","",'Course_Master'!AL250)</x:f>
        <x:v>Verified — national register and exact BAG address</x:v>
      </x:c>
    </x:row>
    <x:row r="251">
      <x:c r="A251" s="28" t="str">
        <x:f>IF('Course_Master'!B251="","",'Course_Master'!B251)</x:f>
        <x:v>NL-0250</x:v>
      </x:c>
      <x:c r="B251" s="28" t="str">
        <x:f>IF('Course_Master'!C251="","",'Course_Master'!C251)</x:f>
        <x:v>Golfbaan Molenslag</x:v>
      </x:c>
      <x:c r="C251" s="28" t="str">
        <x:f>IF('Course_Master'!D251="","",'Course_Master'!D251)</x:f>
        <x:v>Golfbaan Molenslag</x:v>
      </x:c>
      <x:c r="D251" s="28" t="str">
        <x:f>IF('Course_Master'!E251="","",'Course_Master'!E251)</x:f>
        <x:v>Course</x:v>
      </x:c>
      <x:c r="E251" s="28" t="str">
        <x:f>IF('Course_Master'!F251="","",'Course_Master'!F251)</x:f>
        <x:v>Netherlands</x:v>
      </x:c>
      <x:c r="F251" s="28" t="str">
        <x:f>IF('Course_Master'!G251="","",'Course_Master'!G251)</x:f>
        <x:v>Noord-Holland</x:v>
      </x:c>
      <x:c r="G251" s="28" t="str">
        <x:f>IF('Course_Master'!H251="","",'Course_Master'!H251)</x:f>
        <x:v>Hollands Kroon</x:v>
      </x:c>
      <x:c r="H251" s="28" t="str">
        <x:f>IF('Course_Master'!I251="","",'Course_Master'!I251)</x:f>
        <x:v>Barsingerhorn</x:v>
      </x:c>
      <x:c r="I251" s="28" t="str">
        <x:f>IF('Course_Master'!K251="","",'Course_Master'!K251)</x:f>
        <x:v>1768 BL</x:v>
      </x:c>
      <x:c r="J251" s="34" t="n">
        <x:f>IF('Course_Master'!L251="","",'Course_Master'!L251)</x:f>
        <x:v>52.78695516</x:v>
      </x:c>
      <x:c r="K251" s="34" t="n">
        <x:f>IF('Course_Master'!M251="","",'Course_Master'!M251)</x:f>
        <x:v>4.8692952</x:v>
      </x:c>
      <x:c r="L251" s="28" t="n">
        <x:f>IF('Course_Master'!S251="","",'Course_Master'!S251)</x:f>
        <x:v>9</x:v>
      </x:c>
      <x:c r="M251" s="28" t="n">
        <x:f>IF('Course_Master'!T251="","",'Course_Master'!T251)</x:f>
        <x:v>30</x:v>
      </x:c>
      <x:c r="N251" s="28" t="n">
        <x:f>IF('Course_Master'!Q251="","",'Course_Master'!Q251)</x:f>
        <x:v>1566</x:v>
      </x:c>
      <x:c r="O251" s="28" t="n">
        <x:f>IF('Course_Master'!R251="","",'Course_Master'!R251)</x:f>
        <x:v>1432</x:v>
      </x:c>
      <x:c r="P251" s="28" t="str">
        <x:f>IF('Course_Master'!U251="","",'Course_Master'!U251)</x:f>
        <x:v>Par-3/4 course</x:v>
      </x:c>
      <x:c r="Q251" s="28" t="str">
        <x:f>IF('Course_Master'!AD251="","",'Course_Master'!AD251)</x:f>
        <x:v>Public — no playing requirement</x:v>
      </x:c>
      <x:c r="R251" s="28" t="str">
        <x:f>IF('Course_Master'!AC251="","",'Course_Master'!AC251)</x:f>
        <x:v>Open</x:v>
      </x:c>
      <x:c r="S251" s="28" t="str">
        <x:f>IF('Course_Master'!Y251="","",'Course_Master'!Y251)</x:f>
        <x:v>https://www.molenslag.nl/</x:v>
      </x:c>
      <x:c r="T251" s="28" t="b">
        <x:f>IF('Course_Master'!Z251="","",'Course_Master'!Z251)</x:f>
        <x:v>1</x:v>
      </x:c>
      <x:c r="U251" s="28" t="b">
        <x:f>IF('Course_Master'!AA251="","",'Course_Master'!AA251)</x:f>
        <x:v>1</x:v>
      </x:c>
      <x:c r="V251" s="28" t="str">
        <x:f>IF('Course_Master'!AL251="","",'Course_Master'!AL251)</x:f>
        <x:v>Verified — national register and exact BAG address</x:v>
      </x:c>
    </x:row>
    <x:row r="252">
      <x:c r="A252" s="28" t="str">
        <x:f>IF('Course_Master'!B252="","",'Course_Master'!B252)</x:f>
        <x:v>NL-0251</x:v>
      </x:c>
      <x:c r="B252" s="28" t="str">
        <x:f>IF('Course_Master'!C252="","",'Course_Master'!C252)</x:f>
        <x:v>Golfbaan Spaarnwoude — A</x:v>
      </x:c>
      <x:c r="C252" s="28" t="str">
        <x:f>IF('Course_Master'!D252="","",'Course_Master'!D252)</x:f>
        <x:v>Golfbaan Spaarnwoude</x:v>
      </x:c>
      <x:c r="D252" s="28" t="str">
        <x:f>IF('Course_Master'!E252="","",'Course_Master'!E252)</x:f>
        <x:v>A</x:v>
      </x:c>
      <x:c r="E252" s="28" t="str">
        <x:f>IF('Course_Master'!F252="","",'Course_Master'!F252)</x:f>
        <x:v>Netherlands</x:v>
      </x:c>
      <x:c r="F252" s="28" t="str">
        <x:f>IF('Course_Master'!G252="","",'Course_Master'!G252)</x:f>
        <x:v>Noord-Holland</x:v>
      </x:c>
      <x:c r="G252" s="28" t="str">
        <x:f>IF('Course_Master'!H252="","",'Course_Master'!H252)</x:f>
        <x:v>Velsen</x:v>
      </x:c>
      <x:c r="H252" s="28" t="str">
        <x:f>IF('Course_Master'!I252="","",'Course_Master'!I252)</x:f>
        <x:v>Velsen-Zuid</x:v>
      </x:c>
      <x:c r="I252" s="28" t="str">
        <x:f>IF('Course_Master'!K252="","",'Course_Master'!K252)</x:f>
        <x:v>1981 LT</x:v>
      </x:c>
      <x:c r="J252" s="34" t="n">
        <x:f>IF('Course_Master'!L252="","",'Course_Master'!L252)</x:f>
        <x:v>52.43091591</x:v>
      </x:c>
      <x:c r="K252" s="34" t="n">
        <x:f>IF('Course_Master'!M252="","",'Course_Master'!M252)</x:f>
        <x:v>4.69899915</x:v>
      </x:c>
      <x:c r="L252" s="28" t="n">
        <x:f>IF('Course_Master'!S252="","",'Course_Master'!S252)</x:f>
        <x:v>9</x:v>
      </x:c>
      <x:c r="M252" s="28" t="n">
        <x:f>IF('Course_Master'!T252="","",'Course_Master'!T252)</x:f>
        <x:v>29</x:v>
      </x:c>
      <x:c r="N252" s="28" t="n">
        <x:f>IF('Course_Master'!Q252="","",'Course_Master'!Q252)</x:f>
        <x:v>1759</x:v>
      </x:c>
      <x:c r="O252" s="28" t="n">
        <x:f>IF('Course_Master'!R252="","",'Course_Master'!R252)</x:f>
        <x:v>1608</x:v>
      </x:c>
      <x:c r="P252" s="28" t="str">
        <x:f>IF('Course_Master'!U252="","",'Course_Master'!U252)</x:f>
        <x:v>Par-3/4 course</x:v>
      </x:c>
      <x:c r="Q252" s="28" t="str">
        <x:f>IF('Course_Master'!AD252="","",'Course_Master'!AD252)</x:f>
        <x:v>Public — no playing requirement</x:v>
      </x:c>
      <x:c r="R252" s="28" t="str">
        <x:f>IF('Course_Master'!AC252="","",'Course_Master'!AC252)</x:f>
        <x:v>Open</x:v>
      </x:c>
      <x:c r="S252" s="28" t="str">
        <x:f>IF('Course_Master'!Y252="","",'Course_Master'!Y252)</x:f>
        <x:v>https://golfbaanspaarnwoude.nl/</x:v>
      </x:c>
      <x:c r="T252" s="28" t="b">
        <x:f>IF('Course_Master'!Z252="","",'Course_Master'!Z252)</x:f>
        <x:v>1</x:v>
      </x:c>
      <x:c r="U252" s="28" t="b">
        <x:f>IF('Course_Master'!AA252="","",'Course_Master'!AA252)</x:f>
        <x:v>1</x:v>
      </x:c>
      <x:c r="V252" s="28" t="str">
        <x:f>IF('Course_Master'!AL252="","",'Course_Master'!AL252)</x:f>
        <x:v>Verified — national register and exact BAG address</x:v>
      </x:c>
    </x:row>
    <x:row r="253">
      <x:c r="A253" s="28" t="str">
        <x:f>IF('Course_Master'!B253="","",'Course_Master'!B253)</x:f>
        <x:v>NL-0252</x:v>
      </x:c>
      <x:c r="B253" s="28" t="str">
        <x:f>IF('Course_Master'!C253="","",'Course_Master'!C253)</x:f>
        <x:v>Golfbaan Spaarnwoude — B</x:v>
      </x:c>
      <x:c r="C253" s="28" t="str">
        <x:f>IF('Course_Master'!D253="","",'Course_Master'!D253)</x:f>
        <x:v>Golfbaan Spaarnwoude</x:v>
      </x:c>
      <x:c r="D253" s="28" t="str">
        <x:f>IF('Course_Master'!E253="","",'Course_Master'!E253)</x:f>
        <x:v>B</x:v>
      </x:c>
      <x:c r="E253" s="28" t="str">
        <x:f>IF('Course_Master'!F253="","",'Course_Master'!F253)</x:f>
        <x:v>Netherlands</x:v>
      </x:c>
      <x:c r="F253" s="28" t="str">
        <x:f>IF('Course_Master'!G253="","",'Course_Master'!G253)</x:f>
        <x:v>Noord-Holland</x:v>
      </x:c>
      <x:c r="G253" s="28" t="str">
        <x:f>IF('Course_Master'!H253="","",'Course_Master'!H253)</x:f>
        <x:v>Velsen</x:v>
      </x:c>
      <x:c r="H253" s="28" t="str">
        <x:f>IF('Course_Master'!I253="","",'Course_Master'!I253)</x:f>
        <x:v>Velsen-Zuid</x:v>
      </x:c>
      <x:c r="I253" s="28" t="str">
        <x:f>IF('Course_Master'!K253="","",'Course_Master'!K253)</x:f>
        <x:v>1981 LT</x:v>
      </x:c>
      <x:c r="J253" s="34" t="n">
        <x:f>IF('Course_Master'!L253="","",'Course_Master'!L253)</x:f>
        <x:v>52.43091591</x:v>
      </x:c>
      <x:c r="K253" s="34" t="n">
        <x:f>IF('Course_Master'!M253="","",'Course_Master'!M253)</x:f>
        <x:v>4.69899915</x:v>
      </x:c>
      <x:c r="L253" s="28" t="n">
        <x:f>IF('Course_Master'!S253="","",'Course_Master'!S253)</x:f>
        <x:v>9</x:v>
      </x:c>
      <x:c r="M253" s="28" t="n">
        <x:f>IF('Course_Master'!T253="","",'Course_Master'!T253)</x:f>
        <x:v>29</x:v>
      </x:c>
      <x:c r="N253" s="28" t="n">
        <x:f>IF('Course_Master'!Q253="","",'Course_Master'!Q253)</x:f>
        <x:v>1487</x:v>
      </x:c>
      <x:c r="O253" s="28" t="n">
        <x:f>IF('Course_Master'!R253="","",'Course_Master'!R253)</x:f>
        <x:v>1360</x:v>
      </x:c>
      <x:c r="P253" s="28" t="str">
        <x:f>IF('Course_Master'!U253="","",'Course_Master'!U253)</x:f>
        <x:v>Par-3/4 course</x:v>
      </x:c>
      <x:c r="Q253" s="28" t="str">
        <x:f>IF('Course_Master'!AD253="","",'Course_Master'!AD253)</x:f>
        <x:v>Public — no playing requirement</x:v>
      </x:c>
      <x:c r="R253" s="28" t="str">
        <x:f>IF('Course_Master'!AC253="","",'Course_Master'!AC253)</x:f>
        <x:v>Open</x:v>
      </x:c>
      <x:c r="S253" s="28" t="str">
        <x:f>IF('Course_Master'!Y253="","",'Course_Master'!Y253)</x:f>
        <x:v>https://golfbaanspaarnwoude.nl/</x:v>
      </x:c>
      <x:c r="T253" s="28" t="b">
        <x:f>IF('Course_Master'!Z253="","",'Course_Master'!Z253)</x:f>
        <x:v>1</x:v>
      </x:c>
      <x:c r="U253" s="28" t="b">
        <x:f>IF('Course_Master'!AA253="","",'Course_Master'!AA253)</x:f>
        <x:v>1</x:v>
      </x:c>
      <x:c r="V253" s="28" t="str">
        <x:f>IF('Course_Master'!AL253="","",'Course_Master'!AL253)</x:f>
        <x:v>Verified — national register and exact BAG address</x:v>
      </x:c>
    </x:row>
    <x:row r="254">
      <x:c r="A254" s="28" t="str">
        <x:f>IF('Course_Master'!B254="","",'Course_Master'!B254)</x:f>
        <x:v>NL-0253</x:v>
      </x:c>
      <x:c r="B254" s="28" t="str">
        <x:f>IF('Course_Master'!C254="","",'Course_Master'!C254)</x:f>
        <x:v>Golfbaan Spaarnwoude — C</x:v>
      </x:c>
      <x:c r="C254" s="28" t="str">
        <x:f>IF('Course_Master'!D254="","",'Course_Master'!D254)</x:f>
        <x:v>Golfbaan Spaarnwoude</x:v>
      </x:c>
      <x:c r="D254" s="28" t="str">
        <x:f>IF('Course_Master'!E254="","",'Course_Master'!E254)</x:f>
        <x:v>C</x:v>
      </x:c>
      <x:c r="E254" s="28" t="str">
        <x:f>IF('Course_Master'!F254="","",'Course_Master'!F254)</x:f>
        <x:v>Netherlands</x:v>
      </x:c>
      <x:c r="F254" s="28" t="str">
        <x:f>IF('Course_Master'!G254="","",'Course_Master'!G254)</x:f>
        <x:v>Noord-Holland</x:v>
      </x:c>
      <x:c r="G254" s="28" t="str">
        <x:f>IF('Course_Master'!H254="","",'Course_Master'!H254)</x:f>
        <x:v>Velsen</x:v>
      </x:c>
      <x:c r="H254" s="28" t="str">
        <x:f>IF('Course_Master'!I254="","",'Course_Master'!I254)</x:f>
        <x:v>Velsen-Zuid</x:v>
      </x:c>
      <x:c r="I254" s="28" t="str">
        <x:f>IF('Course_Master'!K254="","",'Course_Master'!K254)</x:f>
        <x:v>1981 LT</x:v>
      </x:c>
      <x:c r="J254" s="34" t="n">
        <x:f>IF('Course_Master'!L254="","",'Course_Master'!L254)</x:f>
        <x:v>52.43091591</x:v>
      </x:c>
      <x:c r="K254" s="34" t="n">
        <x:f>IF('Course_Master'!M254="","",'Course_Master'!M254)</x:f>
        <x:v>4.69899915</x:v>
      </x:c>
      <x:c r="L254" s="28" t="n">
        <x:f>IF('Course_Master'!S254="","",'Course_Master'!S254)</x:f>
        <x:v>9</x:v>
      </x:c>
      <x:c r="M254" s="28" t="n">
        <x:f>IF('Course_Master'!T254="","",'Course_Master'!T254)</x:f>
        <x:v>37</x:v>
      </x:c>
      <x:c r="N254" s="28" t="n">
        <x:f>IF('Course_Master'!Q254="","",'Course_Master'!Q254)</x:f>
        <x:v>3457</x:v>
      </x:c>
      <x:c r="O254" s="28" t="n">
        <x:f>IF('Course_Master'!R254="","",'Course_Master'!R254)</x:f>
        <x:v>3161</x:v>
      </x:c>
      <x:c r="P254" s="28" t="str">
        <x:f>IF('Course_Master'!U254="","",'Course_Master'!U254)</x:f>
        <x:v>Full-length course</x:v>
      </x:c>
      <x:c r="Q254" s="28" t="str">
        <x:f>IF('Course_Master'!AD254="","",'Course_Master'!AD254)</x:f>
        <x:v>Public — handicap 54 or lower</x:v>
      </x:c>
      <x:c r="R254" s="28" t="str">
        <x:f>IF('Course_Master'!AC254="","",'Course_Master'!AC254)</x:f>
        <x:v>Open</x:v>
      </x:c>
      <x:c r="S254" s="28" t="str">
        <x:f>IF('Course_Master'!Y254="","",'Course_Master'!Y254)</x:f>
        <x:v>https://golfbaanspaarnwoude.nl/</x:v>
      </x:c>
      <x:c r="T254" s="28" t="b">
        <x:f>IF('Course_Master'!Z254="","",'Course_Master'!Z254)</x:f>
        <x:v>1</x:v>
      </x:c>
      <x:c r="U254" s="28" t="b">
        <x:f>IF('Course_Master'!AA254="","",'Course_Master'!AA254)</x:f>
        <x:v>1</x:v>
      </x:c>
      <x:c r="V254" s="28" t="str">
        <x:f>IF('Course_Master'!AL254="","",'Course_Master'!AL254)</x:f>
        <x:v>Verified — national register and exact BAG address</x:v>
      </x:c>
    </x:row>
    <x:row r="255">
      <x:c r="A255" s="28" t="str">
        <x:f>IF('Course_Master'!B255="","",'Course_Master'!B255)</x:f>
        <x:v>NL-0254</x:v>
      </x:c>
      <x:c r="B255" s="28" t="str">
        <x:f>IF('Course_Master'!C255="","",'Course_Master'!C255)</x:f>
        <x:v>Golfbaan Spaarnwoude — D</x:v>
      </x:c>
      <x:c r="C255" s="28" t="str">
        <x:f>IF('Course_Master'!D255="","",'Course_Master'!D255)</x:f>
        <x:v>Golfbaan Spaarnwoude</x:v>
      </x:c>
      <x:c r="D255" s="28" t="str">
        <x:f>IF('Course_Master'!E255="","",'Course_Master'!E255)</x:f>
        <x:v>D</x:v>
      </x:c>
      <x:c r="E255" s="28" t="str">
        <x:f>IF('Course_Master'!F255="","",'Course_Master'!F255)</x:f>
        <x:v>Netherlands</x:v>
      </x:c>
      <x:c r="F255" s="28" t="str">
        <x:f>IF('Course_Master'!G255="","",'Course_Master'!G255)</x:f>
        <x:v>Noord-Holland</x:v>
      </x:c>
      <x:c r="G255" s="28" t="str">
        <x:f>IF('Course_Master'!H255="","",'Course_Master'!H255)</x:f>
        <x:v>Velsen</x:v>
      </x:c>
      <x:c r="H255" s="28" t="str">
        <x:f>IF('Course_Master'!I255="","",'Course_Master'!I255)</x:f>
        <x:v>Velsen-Zuid</x:v>
      </x:c>
      <x:c r="I255" s="28" t="str">
        <x:f>IF('Course_Master'!K255="","",'Course_Master'!K255)</x:f>
        <x:v>1981 LT</x:v>
      </x:c>
      <x:c r="J255" s="34" t="n">
        <x:f>IF('Course_Master'!L255="","",'Course_Master'!L255)</x:f>
        <x:v>52.43091591</x:v>
      </x:c>
      <x:c r="K255" s="34" t="n">
        <x:f>IF('Course_Master'!M255="","",'Course_Master'!M255)</x:f>
        <x:v>4.69899915</x:v>
      </x:c>
      <x:c r="L255" s="28" t="n">
        <x:f>IF('Course_Master'!S255="","",'Course_Master'!S255)</x:f>
        <x:v>9</x:v>
      </x:c>
      <x:c r="M255" s="28" t="n">
        <x:f>IF('Course_Master'!T255="","",'Course_Master'!T255)</x:f>
        <x:v>36</x:v>
      </x:c>
      <x:c r="N255" s="28" t="n">
        <x:f>IF('Course_Master'!Q255="","",'Course_Master'!Q255)</x:f>
        <x:v>3309</x:v>
      </x:c>
      <x:c r="O255" s="28" t="n">
        <x:f>IF('Course_Master'!R255="","",'Course_Master'!R255)</x:f>
        <x:v>3026</x:v>
      </x:c>
      <x:c r="P255" s="28" t="str">
        <x:f>IF('Course_Master'!U255="","",'Course_Master'!U255)</x:f>
        <x:v>Full-length course</x:v>
      </x:c>
      <x:c r="Q255" s="28" t="str">
        <x:f>IF('Course_Master'!AD255="","",'Course_Master'!AD255)</x:f>
        <x:v>Public — handicap 54 or lower</x:v>
      </x:c>
      <x:c r="R255" s="28" t="str">
        <x:f>IF('Course_Master'!AC255="","",'Course_Master'!AC255)</x:f>
        <x:v>Open</x:v>
      </x:c>
      <x:c r="S255" s="28" t="str">
        <x:f>IF('Course_Master'!Y255="","",'Course_Master'!Y255)</x:f>
        <x:v>https://golfbaanspaarnwoude.nl/</x:v>
      </x:c>
      <x:c r="T255" s="28" t="b">
        <x:f>IF('Course_Master'!Z255="","",'Course_Master'!Z255)</x:f>
        <x:v>1</x:v>
      </x:c>
      <x:c r="U255" s="28" t="b">
        <x:f>IF('Course_Master'!AA255="","",'Course_Master'!AA255)</x:f>
        <x:v>1</x:v>
      </x:c>
      <x:c r="V255" s="28" t="str">
        <x:f>IF('Course_Master'!AL255="","",'Course_Master'!AL255)</x:f>
        <x:v>Verified — national register and exact BAG address</x:v>
      </x:c>
    </x:row>
    <x:row r="256">
      <x:c r="A256" s="28" t="str">
        <x:f>IF('Course_Master'!B256="","",'Course_Master'!B256)</x:f>
        <x:v>NL-0255</x:v>
      </x:c>
      <x:c r="B256" s="28" t="str">
        <x:f>IF('Course_Master'!C256="","",'Course_Master'!C256)</x:f>
        <x:v>Golfbaan Spaarnwoude — E</x:v>
      </x:c>
      <x:c r="C256" s="28" t="str">
        <x:f>IF('Course_Master'!D256="","",'Course_Master'!D256)</x:f>
        <x:v>Golfbaan Spaarnwoude</x:v>
      </x:c>
      <x:c r="D256" s="28" t="str">
        <x:f>IF('Course_Master'!E256="","",'Course_Master'!E256)</x:f>
        <x:v>E</x:v>
      </x:c>
      <x:c r="E256" s="28" t="str">
        <x:f>IF('Course_Master'!F256="","",'Course_Master'!F256)</x:f>
        <x:v>Netherlands</x:v>
      </x:c>
      <x:c r="F256" s="28" t="str">
        <x:f>IF('Course_Master'!G256="","",'Course_Master'!G256)</x:f>
        <x:v>Noord-Holland</x:v>
      </x:c>
      <x:c r="G256" s="28" t="str">
        <x:f>IF('Course_Master'!H256="","",'Course_Master'!H256)</x:f>
        <x:v>Velsen</x:v>
      </x:c>
      <x:c r="H256" s="28" t="str">
        <x:f>IF('Course_Master'!I256="","",'Course_Master'!I256)</x:f>
        <x:v>Velsen-Zuid</x:v>
      </x:c>
      <x:c r="I256" s="28" t="str">
        <x:f>IF('Course_Master'!K256="","",'Course_Master'!K256)</x:f>
        <x:v>1981 LT</x:v>
      </x:c>
      <x:c r="J256" s="34" t="n">
        <x:f>IF('Course_Master'!L256="","",'Course_Master'!L256)</x:f>
        <x:v>52.43091591</x:v>
      </x:c>
      <x:c r="K256" s="34" t="n">
        <x:f>IF('Course_Master'!M256="","",'Course_Master'!M256)</x:f>
        <x:v>4.69899915</x:v>
      </x:c>
      <x:c r="L256" s="28" t="n">
        <x:f>IF('Course_Master'!S256="","",'Course_Master'!S256)</x:f>
        <x:v>9</x:v>
      </x:c>
      <x:c r="M256" s="28" t="n">
        <x:f>IF('Course_Master'!T256="","",'Course_Master'!T256)</x:f>
        <x:v>35</x:v>
      </x:c>
      <x:c r="N256" s="28" t="n">
        <x:f>IF('Course_Master'!Q256="","",'Course_Master'!Q256)</x:f>
        <x:v>3174</x:v>
      </x:c>
      <x:c r="O256" s="28" t="n">
        <x:f>IF('Course_Master'!R256="","",'Course_Master'!R256)</x:f>
        <x:v>2902</x:v>
      </x:c>
      <x:c r="P256" s="28" t="str">
        <x:f>IF('Course_Master'!U256="","",'Course_Master'!U256)</x:f>
        <x:v>Full-length course</x:v>
      </x:c>
      <x:c r="Q256" s="28" t="str">
        <x:f>IF('Course_Master'!AD256="","",'Course_Master'!AD256)</x:f>
        <x:v>Public — handicap 54 or lower</x:v>
      </x:c>
      <x:c r="R256" s="28" t="str">
        <x:f>IF('Course_Master'!AC256="","",'Course_Master'!AC256)</x:f>
        <x:v>Open</x:v>
      </x:c>
      <x:c r="S256" s="28" t="str">
        <x:f>IF('Course_Master'!Y256="","",'Course_Master'!Y256)</x:f>
        <x:v>https://golfbaanspaarnwoude.nl/</x:v>
      </x:c>
      <x:c r="T256" s="28" t="b">
        <x:f>IF('Course_Master'!Z256="","",'Course_Master'!Z256)</x:f>
        <x:v>1</x:v>
      </x:c>
      <x:c r="U256" s="28" t="b">
        <x:f>IF('Course_Master'!AA256="","",'Course_Master'!AA256)</x:f>
        <x:v>1</x:v>
      </x:c>
      <x:c r="V256" s="28" t="str">
        <x:f>IF('Course_Master'!AL256="","",'Course_Master'!AL256)</x:f>
        <x:v>Verified — national register and exact BAG address</x:v>
      </x:c>
    </x:row>
    <x:row r="257">
      <x:c r="A257" s="28" t="str">
        <x:f>IF('Course_Master'!B257="","",'Course_Master'!B257)</x:f>
        <x:v>NL-0256</x:v>
      </x:c>
      <x:c r="B257" s="28" t="str">
        <x:f>IF('Course_Master'!C257="","",'Course_Master'!C257)</x:f>
        <x:v>Golfbaan Spaarnwoude — F</x:v>
      </x:c>
      <x:c r="C257" s="28" t="str">
        <x:f>IF('Course_Master'!D257="","",'Course_Master'!D257)</x:f>
        <x:v>Golfbaan Spaarnwoude</x:v>
      </x:c>
      <x:c r="D257" s="28" t="str">
        <x:f>IF('Course_Master'!E257="","",'Course_Master'!E257)</x:f>
        <x:v>F</x:v>
      </x:c>
      <x:c r="E257" s="28" t="str">
        <x:f>IF('Course_Master'!F257="","",'Course_Master'!F257)</x:f>
        <x:v>Netherlands</x:v>
      </x:c>
      <x:c r="F257" s="28" t="str">
        <x:f>IF('Course_Master'!G257="","",'Course_Master'!G257)</x:f>
        <x:v>Noord-Holland</x:v>
      </x:c>
      <x:c r="G257" s="28" t="str">
        <x:f>IF('Course_Master'!H257="","",'Course_Master'!H257)</x:f>
        <x:v>Velsen</x:v>
      </x:c>
      <x:c r="H257" s="28" t="str">
        <x:f>IF('Course_Master'!I257="","",'Course_Master'!I257)</x:f>
        <x:v>Velsen-Zuid</x:v>
      </x:c>
      <x:c r="I257" s="28" t="str">
        <x:f>IF('Course_Master'!K257="","",'Course_Master'!K257)</x:f>
        <x:v>1981 LT</x:v>
      </x:c>
      <x:c r="J257" s="34" t="n">
        <x:f>IF('Course_Master'!L257="","",'Course_Master'!L257)</x:f>
        <x:v>52.43091591</x:v>
      </x:c>
      <x:c r="K257" s="34" t="n">
        <x:f>IF('Course_Master'!M257="","",'Course_Master'!M257)</x:f>
        <x:v>4.69899915</x:v>
      </x:c>
      <x:c r="L257" s="28" t="n">
        <x:f>IF('Course_Master'!S257="","",'Course_Master'!S257)</x:f>
        <x:v>9</x:v>
      </x:c>
      <x:c r="M257" s="28" t="n">
        <x:f>IF('Course_Master'!T257="","",'Course_Master'!T257)</x:f>
        <x:v>27</x:v>
      </x:c>
      <x:c r="N257" s="28" t="n">
        <x:f>IF('Course_Master'!Q257="","",'Course_Master'!Q257)</x:f>
        <x:v>1041</x:v>
      </x:c>
      <x:c r="O257" s="28" t="n">
        <x:f>IF('Course_Master'!R257="","",'Course_Master'!R257)</x:f>
        <x:v>952</x:v>
      </x:c>
      <x:c r="P257" s="28" t="str">
        <x:f>IF('Course_Master'!U257="","",'Course_Master'!U257)</x:f>
        <x:v>Par-3 course</x:v>
      </x:c>
      <x:c r="Q257" s="28" t="str">
        <x:f>IF('Course_Master'!AD257="","",'Course_Master'!AD257)</x:f>
        <x:v>Public — no playing requirement</x:v>
      </x:c>
      <x:c r="R257" s="28" t="str">
        <x:f>IF('Course_Master'!AC257="","",'Course_Master'!AC257)</x:f>
        <x:v>Open</x:v>
      </x:c>
      <x:c r="S257" s="28" t="str">
        <x:f>IF('Course_Master'!Y257="","",'Course_Master'!Y257)</x:f>
        <x:v>https://golfbaanspaarnwoude.nl/</x:v>
      </x:c>
      <x:c r="T257" s="28" t="b">
        <x:f>IF('Course_Master'!Z257="","",'Course_Master'!Z257)</x:f>
        <x:v>1</x:v>
      </x:c>
      <x:c r="U257" s="28" t="b">
        <x:f>IF('Course_Master'!AA257="","",'Course_Master'!AA257)</x:f>
        <x:v>1</x:v>
      </x:c>
      <x:c r="V257" s="28" t="str">
        <x:f>IF('Course_Master'!AL257="","",'Course_Master'!AL257)</x:f>
        <x:v>Verified — national register and exact BAG address</x:v>
      </x:c>
    </x:row>
    <x:row r="258">
      <x:c r="A258" s="28" t="str">
        <x:f>IF('Course_Master'!B258="","",'Course_Master'!B258)</x:f>
        <x:v>NL-0257</x:v>
      </x:c>
      <x:c r="B258" s="28" t="str">
        <x:f>IF('Course_Master'!C258="","",'Course_Master'!C258)</x:f>
        <x:v>Golfbaan Spierdijk</x:v>
      </x:c>
      <x:c r="C258" s="28" t="str">
        <x:f>IF('Course_Master'!D258="","",'Course_Master'!D258)</x:f>
        <x:v>Golfbaan Spierdijk</x:v>
      </x:c>
      <x:c r="D258" s="28" t="str">
        <x:f>IF('Course_Master'!E258="","",'Course_Master'!E258)</x:f>
        <x:v>Course</x:v>
      </x:c>
      <x:c r="E258" s="28" t="str">
        <x:f>IF('Course_Master'!F258="","",'Course_Master'!F258)</x:f>
        <x:v>Netherlands</x:v>
      </x:c>
      <x:c r="F258" s="28" t="str">
        <x:f>IF('Course_Master'!G258="","",'Course_Master'!G258)</x:f>
        <x:v>Noord-Holland</x:v>
      </x:c>
      <x:c r="G258" s="28" t="str">
        <x:f>IF('Course_Master'!H258="","",'Course_Master'!H258)</x:f>
        <x:v>Koggenland</x:v>
      </x:c>
      <x:c r="H258" s="28" t="str">
        <x:f>IF('Course_Master'!I258="","",'Course_Master'!I258)</x:f>
        <x:v>Spierdijk</x:v>
      </x:c>
      <x:c r="I258" s="28" t="str">
        <x:f>IF('Course_Master'!K258="","",'Course_Master'!K258)</x:f>
        <x:v>1641 LV</x:v>
      </x:c>
      <x:c r="J258" s="34" t="n">
        <x:f>IF('Course_Master'!L258="","",'Course_Master'!L258)</x:f>
        <x:v>52.64655554</x:v>
      </x:c>
      <x:c r="K258" s="34" t="n">
        <x:f>IF('Course_Master'!M258="","",'Course_Master'!M258)</x:f>
        <x:v>4.93852944</x:v>
      </x:c>
      <x:c r="L258" s="28" t="n">
        <x:f>IF('Course_Master'!S258="","",'Course_Master'!S258)</x:f>
        <x:v>9</x:v>
      </x:c>
      <x:c r="M258" s="28" t="n">
        <x:f>IF('Course_Master'!T258="","",'Course_Master'!T258)</x:f>
        <x:v>36</x:v>
      </x:c>
      <x:c r="N258" s="28" t="n">
        <x:f>IF('Course_Master'!Q258="","",'Course_Master'!Q258)</x:f>
        <x:v>3281</x:v>
      </x:c>
      <x:c r="O258" s="28" t="n">
        <x:f>IF('Course_Master'!R258="","",'Course_Master'!R258)</x:f>
        <x:v>3000</x:v>
      </x:c>
      <x:c r="P258" s="28" t="str">
        <x:f>IF('Course_Master'!U258="","",'Course_Master'!U258)</x:f>
        <x:v>Full-length course</x:v>
      </x:c>
      <x:c r="Q258" s="28" t="str">
        <x:f>IF('Course_Master'!AD258="","",'Course_Master'!AD258)</x:f>
        <x:v>Public — NGF course permission</x:v>
      </x:c>
      <x:c r="R258" s="28" t="str">
        <x:f>IF('Course_Master'!AC258="","",'Course_Master'!AC258)</x:f>
        <x:v>Open</x:v>
      </x:c>
      <x:c r="S258" s="28" t="str">
        <x:f>IF('Course_Master'!Y258="","",'Course_Master'!Y258)</x:f>
        <x:v>https://www.golfbaanspierdijk.nl/</x:v>
      </x:c>
      <x:c r="T258" s="28" t="b">
        <x:f>IF('Course_Master'!Z258="","",'Course_Master'!Z258)</x:f>
        <x:v>1</x:v>
      </x:c>
      <x:c r="U258" s="28" t="b">
        <x:f>IF('Course_Master'!AA258="","",'Course_Master'!AA258)</x:f>
        <x:v>1</x:v>
      </x:c>
      <x:c r="V258" s="28" t="str">
        <x:f>IF('Course_Master'!AL258="","",'Course_Master'!AL258)</x:f>
        <x:v>Verified — national register and exact BAG address</x:v>
      </x:c>
    </x:row>
    <x:row r="259">
      <x:c r="A259" s="28" t="str">
        <x:f>IF('Course_Master'!B259="","",'Course_Master'!B259)</x:f>
        <x:v>NL-0258</x:v>
      </x:c>
      <x:c r="B259" s="28" t="str">
        <x:f>IF('Course_Master'!C259="","",'Course_Master'!C259)</x:f>
        <x:v>Golfbaan Weesp</x:v>
      </x:c>
      <x:c r="C259" s="28" t="str">
        <x:f>IF('Course_Master'!D259="","",'Course_Master'!D259)</x:f>
        <x:v>Golfbaan Weesp</x:v>
      </x:c>
      <x:c r="D259" s="28" t="str">
        <x:f>IF('Course_Master'!E259="","",'Course_Master'!E259)</x:f>
        <x:v>Course</x:v>
      </x:c>
      <x:c r="E259" s="28" t="str">
        <x:f>IF('Course_Master'!F259="","",'Course_Master'!F259)</x:f>
        <x:v>Netherlands</x:v>
      </x:c>
      <x:c r="F259" s="28" t="str">
        <x:f>IF('Course_Master'!G259="","",'Course_Master'!G259)</x:f>
        <x:v>Noord-Holland</x:v>
      </x:c>
      <x:c r="G259" s="28" t="str">
        <x:f>IF('Course_Master'!H259="","",'Course_Master'!H259)</x:f>
        <x:v>Amsterdam</x:v>
      </x:c>
      <x:c r="H259" s="28" t="str">
        <x:f>IF('Course_Master'!I259="","",'Course_Master'!I259)</x:f>
        <x:v>Weesp</x:v>
      </x:c>
      <x:c r="I259" s="28" t="str">
        <x:f>IF('Course_Master'!K259="","",'Course_Master'!K259)</x:f>
        <x:v>1383 NC</x:v>
      </x:c>
      <x:c r="J259" s="34" t="n">
        <x:f>IF('Course_Master'!L259="","",'Course_Master'!L259)</x:f>
        <x:v>52.29964219</x:v>
      </x:c>
      <x:c r="K259" s="34" t="n">
        <x:f>IF('Course_Master'!M259="","",'Course_Master'!M259)</x:f>
        <x:v>5.02680228</x:v>
      </x:c>
      <x:c r="L259" s="28" t="n">
        <x:f>IF('Course_Master'!S259="","",'Course_Master'!S259)</x:f>
        <x:v>9</x:v>
      </x:c>
      <x:c r="M259" s="28" t="n">
        <x:f>IF('Course_Master'!T259="","",'Course_Master'!T259)</x:f>
        <x:v>27</x:v>
      </x:c>
      <x:c r="N259" s="28" t="n">
        <x:f>IF('Course_Master'!Q259="","",'Course_Master'!Q259)</x:f>
        <x:v>1345</x:v>
      </x:c>
      <x:c r="O259" s="28" t="n">
        <x:f>IF('Course_Master'!R259="","",'Course_Master'!R259)</x:f>
        <x:v>1230</x:v>
      </x:c>
      <x:c r="P259" s="28" t="str">
        <x:f>IF('Course_Master'!U259="","",'Course_Master'!U259)</x:f>
        <x:v>Par-3 course</x:v>
      </x:c>
      <x:c r="Q259" s="28" t="str">
        <x:f>IF('Course_Master'!AD259="","",'Course_Master'!AD259)</x:f>
        <x:v>Public — no playing requirement</x:v>
      </x:c>
      <x:c r="R259" s="28" t="str">
        <x:f>IF('Course_Master'!AC259="","",'Course_Master'!AC259)</x:f>
        <x:v>Open</x:v>
      </x:c>
      <x:c r="S259" s="28" t="str">
        <x:f>IF('Course_Master'!Y259="","",'Course_Master'!Y259)</x:f>
        <x:v>https://upevents.nl/golfbaan-weesp</x:v>
      </x:c>
      <x:c r="T259" s="28" t="b">
        <x:f>IF('Course_Master'!Z259="","",'Course_Master'!Z259)</x:f>
        <x:v>1</x:v>
      </x:c>
      <x:c r="U259" s="28" t="b">
        <x:f>IF('Course_Master'!AA259="","",'Course_Master'!AA259)</x:f>
        <x:v>1</x:v>
      </x:c>
      <x:c r="V259" s="28" t="str">
        <x:f>IF('Course_Master'!AL259="","",'Course_Master'!AL259)</x:f>
        <x:v>Verified — national register and exact BAG address</x:v>
      </x:c>
    </x:row>
    <x:row r="260">
      <x:c r="A260" s="28" t="str">
        <x:f>IF('Course_Master'!B260="","",'Course_Master'!B260)</x:f>
        <x:v>NL-0259</x:v>
      </x:c>
      <x:c r="B260" s="28" t="str">
        <x:f>IF('Course_Master'!C260="","",'Course_Master'!C260)</x:f>
        <x:v>Golfbaan Westwoud — Main Course</x:v>
      </x:c>
      <x:c r="C260" s="28" t="str">
        <x:f>IF('Course_Master'!D260="","",'Course_Master'!D260)</x:f>
        <x:v>Golfbaan Westwoud</x:v>
      </x:c>
      <x:c r="D260" s="28" t="str">
        <x:f>IF('Course_Master'!E260="","",'Course_Master'!E260)</x:f>
        <x:v>Main Course</x:v>
      </x:c>
      <x:c r="E260" s="28" t="str">
        <x:f>IF('Course_Master'!F260="","",'Course_Master'!F260)</x:f>
        <x:v>Netherlands</x:v>
      </x:c>
      <x:c r="F260" s="28" t="str">
        <x:f>IF('Course_Master'!G260="","",'Course_Master'!G260)</x:f>
        <x:v>Noord-Holland</x:v>
      </x:c>
      <x:c r="G260" s="28" t="str">
        <x:f>IF('Course_Master'!H260="","",'Course_Master'!H260)</x:f>
        <x:v>Drechterland</x:v>
      </x:c>
      <x:c r="H260" s="28" t="str">
        <x:f>IF('Course_Master'!I260="","",'Course_Master'!I260)</x:f>
        <x:v>Westwoud</x:v>
      </x:c>
      <x:c r="I260" s="28" t="str">
        <x:f>IF('Course_Master'!K260="","",'Course_Master'!K260)</x:f>
        <x:v>1617 KS</x:v>
      </x:c>
      <x:c r="J260" s="34" t="n">
        <x:f>IF('Course_Master'!L260="","",'Course_Master'!L260)</x:f>
        <x:v>52.66651387</x:v>
      </x:c>
      <x:c r="K260" s="34" t="n">
        <x:f>IF('Course_Master'!M260="","",'Course_Master'!M260)</x:f>
        <x:v>5.14732398</x:v>
      </x:c>
      <x:c r="L260" s="28" t="n">
        <x:f>IF('Course_Master'!S260="","",'Course_Master'!S260)</x:f>
        <x:v>18</x:v>
      </x:c>
      <x:c r="M260" s="28" t="n">
        <x:f>IF('Course_Master'!T260="","",'Course_Master'!T260)</x:f>
        <x:v>71</x:v>
      </x:c>
      <x:c r="N260" s="28" t="n">
        <x:f>IF('Course_Master'!Q260="","",'Course_Master'!Q260)</x:f>
        <x:v>6497</x:v>
      </x:c>
      <x:c r="O260" s="28" t="n">
        <x:f>IF('Course_Master'!R260="","",'Course_Master'!R260)</x:f>
        <x:v>5941</x:v>
      </x:c>
      <x:c r="P260" s="28" t="str">
        <x:f>IF('Course_Master'!U260="","",'Course_Master'!U260)</x:f>
        <x:v>Full-length course</x:v>
      </x:c>
      <x:c r="Q260" s="28" t="str">
        <x:f>IF('Course_Master'!AD260="","",'Course_Master'!AD260)</x:f>
        <x:v>Public — handicap 54 or lower</x:v>
      </x:c>
      <x:c r="R260" s="28" t="str">
        <x:f>IF('Course_Master'!AC260="","",'Course_Master'!AC260)</x:f>
        <x:v>Open</x:v>
      </x:c>
      <x:c r="S260" s="28" t="str">
        <x:f>IF('Course_Master'!Y260="","",'Course_Master'!Y260)</x:f>
        <x:v>https://golfbaanwestwoud.nl/</x:v>
      </x:c>
      <x:c r="T260" s="28" t="b">
        <x:f>IF('Course_Master'!Z260="","",'Course_Master'!Z260)</x:f>
        <x:v>1</x:v>
      </x:c>
      <x:c r="U260" s="28" t="b">
        <x:f>IF('Course_Master'!AA260="","",'Course_Master'!AA260)</x:f>
        <x:v>1</x:v>
      </x:c>
      <x:c r="V260" s="28" t="str">
        <x:f>IF('Course_Master'!AL260="","",'Course_Master'!AL260)</x:f>
        <x:v>Verified — national register and exact BAG address</x:v>
      </x:c>
    </x:row>
    <x:row r="261">
      <x:c r="A261" s="28" t="str">
        <x:f>IF('Course_Master'!B261="","",'Course_Master'!B261)</x:f>
        <x:v>NL-0260</x:v>
      </x:c>
      <x:c r="B261" s="28" t="str">
        <x:f>IF('Course_Master'!C261="","",'Course_Master'!C261)</x:f>
        <x:v>Golfcenter Uithoorn</x:v>
      </x:c>
      <x:c r="C261" s="28" t="str">
        <x:f>IF('Course_Master'!D261="","",'Course_Master'!D261)</x:f>
        <x:v>Golfcenter Uithoorn</x:v>
      </x:c>
      <x:c r="D261" s="28" t="str">
        <x:f>IF('Course_Master'!E261="","",'Course_Master'!E261)</x:f>
        <x:v>Course</x:v>
      </x:c>
      <x:c r="E261" s="28" t="str">
        <x:f>IF('Course_Master'!F261="","",'Course_Master'!F261)</x:f>
        <x:v>Netherlands</x:v>
      </x:c>
      <x:c r="F261" s="28" t="str">
        <x:f>IF('Course_Master'!G261="","",'Course_Master'!G261)</x:f>
        <x:v>Noord-Holland</x:v>
      </x:c>
      <x:c r="G261" s="28" t="str">
        <x:f>IF('Course_Master'!H261="","",'Course_Master'!H261)</x:f>
        <x:v>Uithoorn</x:v>
      </x:c>
      <x:c r="H261" s="28" t="str">
        <x:f>IF('Course_Master'!I261="","",'Course_Master'!I261)</x:f>
        <x:v>De Kwakel</x:v>
      </x:c>
      <x:c r="I261" s="28" t="str">
        <x:f>IF('Course_Master'!K261="","",'Course_Master'!K261)</x:f>
        <x:v>1424 NX</x:v>
      </x:c>
      <x:c r="J261" s="34" t="n">
        <x:f>IF('Course_Master'!L261="","",'Course_Master'!L261)</x:f>
        <x:v>52.24534251</x:v>
      </x:c>
      <x:c r="K261" s="34" t="n">
        <x:f>IF('Course_Master'!M261="","",'Course_Master'!M261)</x:f>
        <x:v>4.79967922</x:v>
      </x:c>
      <x:c r="L261" s="28" t="n">
        <x:f>IF('Course_Master'!S261="","",'Course_Master'!S261)</x:f>
        <x:v>9</x:v>
      </x:c>
      <x:c r="M261" s="28" t="n">
        <x:f>IF('Course_Master'!T261="","",'Course_Master'!T261)</x:f>
        <x:v>27</x:v>
      </x:c>
      <x:c r="N261" s="28" t="n">
        <x:f>IF('Course_Master'!Q261="","",'Course_Master'!Q261)</x:f>
        <x:v>836</x:v>
      </x:c>
      <x:c r="O261" s="28" t="n">
        <x:f>IF('Course_Master'!R261="","",'Course_Master'!R261)</x:f>
        <x:v>764</x:v>
      </x:c>
      <x:c r="P261" s="28" t="str">
        <x:f>IF('Course_Master'!U261="","",'Course_Master'!U261)</x:f>
        <x:v>Par-3 course</x:v>
      </x:c>
      <x:c r="Q261" s="28" t="str">
        <x:f>IF('Course_Master'!AD261="","",'Course_Master'!AD261)</x:f>
        <x:v>Public — NGF course permission</x:v>
      </x:c>
      <x:c r="R261" s="28" t="str">
        <x:f>IF('Course_Master'!AC261="","",'Course_Master'!AC261)</x:f>
        <x:v>Open</x:v>
      </x:c>
      <x:c r="S261" s="28" t="str">
        <x:f>IF('Course_Master'!Y261="","",'Course_Master'!Y261)</x:f>
        <x:v>https://www.golfcenteruithoorn.nl/</x:v>
      </x:c>
      <x:c r="T261" s="28" t="b">
        <x:f>IF('Course_Master'!Z261="","",'Course_Master'!Z261)</x:f>
        <x:v>1</x:v>
      </x:c>
      <x:c r="U261" s="28" t="b">
        <x:f>IF('Course_Master'!AA261="","",'Course_Master'!AA261)</x:f>
        <x:v>1</x:v>
      </x:c>
      <x:c r="V261" s="28" t="str">
        <x:f>IF('Course_Master'!AL261="","",'Course_Master'!AL261)</x:f>
        <x:v>Verified — national register and exact BAG address</x:v>
      </x:c>
    </x:row>
    <x:row r="262">
      <x:c r="A262" s="28" t="str">
        <x:f>IF('Course_Master'!B262="","",'Course_Master'!B262)</x:f>
        <x:v>NL-0261</x:v>
      </x:c>
      <x:c r="B262" s="28" t="str">
        <x:f>IF('Course_Master'!C262="","",'Course_Master'!C262)</x:f>
        <x:v>Golfclub 't Jagerspaadje</x:v>
      </x:c>
      <x:c r="C262" s="28" t="str">
        <x:f>IF('Course_Master'!D262="","",'Course_Master'!D262)</x:f>
        <x:v>Golfclub 't Jagerspaadje</x:v>
      </x:c>
      <x:c r="D262" s="28" t="str">
        <x:f>IF('Course_Master'!E262="","",'Course_Master'!E262)</x:f>
        <x:v>Course</x:v>
      </x:c>
      <x:c r="E262" s="28" t="str">
        <x:f>IF('Course_Master'!F262="","",'Course_Master'!F262)</x:f>
        <x:v>Netherlands</x:v>
      </x:c>
      <x:c r="F262" s="28" t="str">
        <x:f>IF('Course_Master'!G262="","",'Course_Master'!G262)</x:f>
        <x:v>Noord-Holland</x:v>
      </x:c>
      <x:c r="G262" s="28" t="str">
        <x:f>IF('Course_Master'!H262="","",'Course_Master'!H262)</x:f>
        <x:v>Hilversum</x:v>
      </x:c>
      <x:c r="H262" s="28" t="str">
        <x:f>IF('Course_Master'!I262="","",'Course_Master'!I262)</x:f>
        <x:v>Hilversum</x:v>
      </x:c>
      <x:c r="I262" s="28" t="str">
        <x:f>IF('Course_Master'!K262="","",'Course_Master'!K262)</x:f>
        <x:v>1217 TM</x:v>
      </x:c>
      <x:c r="J262" s="34" t="n">
        <x:f>IF('Course_Master'!L262="","",'Course_Master'!L262)</x:f>
        <x:v>52.2262912</x:v>
      </x:c>
      <x:c r="K262" s="34" t="n">
        <x:f>IF('Course_Master'!M262="","",'Course_Master'!M262)</x:f>
        <x:v>5.14392864</x:v>
      </x:c>
      <x:c r="L262" s="28" t="n">
        <x:f>IF('Course_Master'!S262="","",'Course_Master'!S262)</x:f>
        <x:v>9</x:v>
      </x:c>
      <x:c r="M262" s="28" t="n">
        <x:f>IF('Course_Master'!T262="","",'Course_Master'!T262)</x:f>
        <x:v>30</x:v>
      </x:c>
      <x:c r="N262" s="28" t="n">
        <x:f>IF('Course_Master'!Q262="","",'Course_Master'!Q262)</x:f>
        <x:v>1531</x:v>
      </x:c>
      <x:c r="O262" s="28" t="n">
        <x:f>IF('Course_Master'!R262="","",'Course_Master'!R262)</x:f>
        <x:v>1400</x:v>
      </x:c>
      <x:c r="P262" s="28" t="str">
        <x:f>IF('Course_Master'!U262="","",'Course_Master'!U262)</x:f>
        <x:v>Par-3/4 course</x:v>
      </x:c>
      <x:c r="Q262" s="28" t="str">
        <x:f>IF('Course_Master'!AD262="","",'Course_Master'!AD262)</x:f>
        <x:v>Public — handicap 54 or lower</x:v>
      </x:c>
      <x:c r="R262" s="28" t="str">
        <x:f>IF('Course_Master'!AC262="","",'Course_Master'!AC262)</x:f>
        <x:v>Open</x:v>
      </x:c>
      <x:c r="S262" s="28" t="str">
        <x:f>IF('Course_Master'!Y262="","",'Course_Master'!Y262)</x:f>
        <x:v>https://www.jagerspaadje.nl/</x:v>
      </x:c>
      <x:c r="T262" s="28" t="b">
        <x:f>IF('Course_Master'!Z262="","",'Course_Master'!Z262)</x:f>
        <x:v>1</x:v>
      </x:c>
      <x:c r="U262" s="28" t="b">
        <x:f>IF('Course_Master'!AA262="","",'Course_Master'!AA262)</x:f>
        <x:v>1</x:v>
      </x:c>
      <x:c r="V262" s="28" t="str">
        <x:f>IF('Course_Master'!AL262="","",'Course_Master'!AL262)</x:f>
        <x:v>Verified — national register and exact BAG address</x:v>
      </x:c>
    </x:row>
    <x:row r="263">
      <x:c r="A263" s="28" t="str">
        <x:f>IF('Course_Master'!B263="","",'Course_Master'!B263)</x:f>
        <x:v>NL-0262</x:v>
      </x:c>
      <x:c r="B263" s="28" t="str">
        <x:f>IF('Course_Master'!C263="","",'Course_Master'!C263)</x:f>
        <x:v>Golfclub Amsterdam Old Course</x:v>
      </x:c>
      <x:c r="C263" s="28" t="str">
        <x:f>IF('Course_Master'!D263="","",'Course_Master'!D263)</x:f>
        <x:v>Golfclub Amsterdam Old Course</x:v>
      </x:c>
      <x:c r="D263" s="28" t="str">
        <x:f>IF('Course_Master'!E263="","",'Course_Master'!E263)</x:f>
        <x:v>Course</x:v>
      </x:c>
      <x:c r="E263" s="28" t="str">
        <x:f>IF('Course_Master'!F263="","",'Course_Master'!F263)</x:f>
        <x:v>Netherlands</x:v>
      </x:c>
      <x:c r="F263" s="28" t="str">
        <x:f>IF('Course_Master'!G263="","",'Course_Master'!G263)</x:f>
        <x:v>Noord-Holland</x:v>
      </x:c>
      <x:c r="G263" s="28" t="str">
        <x:f>IF('Course_Master'!H263="","",'Course_Master'!H263)</x:f>
        <x:v>Ouder-Amstel</x:v>
      </x:c>
      <x:c r="H263" s="28" t="str">
        <x:f>IF('Course_Master'!I263="","",'Course_Master'!I263)</x:f>
        <x:v>Amsterdam-Duivendrecht</x:v>
      </x:c>
      <x:c r="I263" s="28" t="str">
        <x:f>IF('Course_Master'!K263="","",'Course_Master'!K263)</x:f>
        <x:v>1114 BA</x:v>
      </x:c>
      <x:c r="J263" s="34" t="n">
        <x:f>IF('Course_Master'!L263="","",'Course_Master'!L263)</x:f>
        <x:v>52.31850793</x:v>
      </x:c>
      <x:c r="K263" s="34" t="n">
        <x:f>IF('Course_Master'!M263="","",'Course_Master'!M263)</x:f>
        <x:v>4.93652328</x:v>
      </x:c>
      <x:c r="L263" s="28" t="n">
        <x:f>IF('Course_Master'!S263="","",'Course_Master'!S263)</x:f>
        <x:v>9</x:v>
      </x:c>
      <x:c r="M263" s="28" t="n">
        <x:f>IF('Course_Master'!T263="","",'Course_Master'!T263)</x:f>
        <x:v>36</x:v>
      </x:c>
      <x:c r="N263" s="28" t="n">
        <x:f>IF('Course_Master'!Q263="","",'Course_Master'!Q263)</x:f>
        <x:v>2805</x:v>
      </x:c>
      <x:c r="O263" s="28" t="n">
        <x:f>IF('Course_Master'!R263="","",'Course_Master'!R263)</x:f>
        <x:v>2565</x:v>
      </x:c>
      <x:c r="P263" s="28" t="str">
        <x:f>IF('Course_Master'!U263="","",'Course_Master'!U263)</x:f>
        <x:v>Full-length course</x:v>
      </x:c>
      <x:c r="Q263" s="28" t="str">
        <x:f>IF('Course_Master'!AD263="","",'Course_Master'!AD263)</x:f>
        <x:v>Public — handicap 54 or lower</x:v>
      </x:c>
      <x:c r="R263" s="28" t="str">
        <x:f>IF('Course_Master'!AC263="","",'Course_Master'!AC263)</x:f>
        <x:v>Open</x:v>
      </x:c>
      <x:c r="S263" s="28" t="str">
        <x:f>IF('Course_Master'!Y263="","",'Course_Master'!Y263)</x:f>
        <x:v>https://www.amsterdamoldcourse.nl/</x:v>
      </x:c>
      <x:c r="T263" s="28" t="b">
        <x:f>IF('Course_Master'!Z263="","",'Course_Master'!Z263)</x:f>
        <x:v>1</x:v>
      </x:c>
      <x:c r="U263" s="28" t="b">
        <x:f>IF('Course_Master'!AA263="","",'Course_Master'!AA263)</x:f>
        <x:v>1</x:v>
      </x:c>
      <x:c r="V263" s="28" t="str">
        <x:f>IF('Course_Master'!AL263="","",'Course_Master'!AL263)</x:f>
        <x:v>Verified — national register and exact BAG address</x:v>
      </x:c>
    </x:row>
    <x:row r="264">
      <x:c r="A264" s="28" t="str">
        <x:f>IF('Course_Master'!B264="","",'Course_Master'!B264)</x:f>
        <x:v>NL-0263</x:v>
      </x:c>
      <x:c r="B264" s="28" t="str">
        <x:f>IF('Course_Master'!C264="","",'Course_Master'!C264)</x:f>
        <x:v>Golfclub Houtrak — Noord</x:v>
      </x:c>
      <x:c r="C264" s="28" t="str">
        <x:f>IF('Course_Master'!D264="","",'Course_Master'!D264)</x:f>
        <x:v>Golfclub Houtrak</x:v>
      </x:c>
      <x:c r="D264" s="28" t="str">
        <x:f>IF('Course_Master'!E264="","",'Course_Master'!E264)</x:f>
        <x:v>Noord</x:v>
      </x:c>
      <x:c r="E264" s="28" t="str">
        <x:f>IF('Course_Master'!F264="","",'Course_Master'!F264)</x:f>
        <x:v>Netherlands</x:v>
      </x:c>
      <x:c r="F264" s="28" t="str">
        <x:f>IF('Course_Master'!G264="","",'Course_Master'!G264)</x:f>
        <x:v>Noord-Holland</x:v>
      </x:c>
      <x:c r="G264" s="28" t="str">
        <x:f>IF('Course_Master'!H264="","",'Course_Master'!H264)</x:f>
        <x:v>Haarlemmermeer</x:v>
      </x:c>
      <x:c r="H264" s="28" t="str">
        <x:f>IF('Course_Master'!I264="","",'Course_Master'!I264)</x:f>
        <x:v>Halfweg</x:v>
      </x:c>
      <x:c r="I264" s="28" t="str">
        <x:f>IF('Course_Master'!K264="","",'Course_Master'!K264)</x:f>
        <x:v>1165 NB</x:v>
      </x:c>
      <x:c r="J264" s="34" t="n">
        <x:f>IF('Course_Master'!L264="","",'Course_Master'!L264)</x:f>
        <x:v>52.4042206</x:v>
      </x:c>
      <x:c r="K264" s="34" t="n">
        <x:f>IF('Course_Master'!M264="","",'Course_Master'!M264)</x:f>
        <x:v>4.72791347</x:v>
      </x:c>
      <x:c r="L264" s="28" t="n">
        <x:f>IF('Course_Master'!S264="","",'Course_Master'!S264)</x:f>
        <x:v>9</x:v>
      </x:c>
      <x:c r="M264" s="28" t="n">
        <x:f>IF('Course_Master'!T264="","",'Course_Master'!T264)</x:f>
        <x:v>36</x:v>
      </x:c>
      <x:c r="N264" s="28" t="n">
        <x:f>IF('Course_Master'!Q264="","",'Course_Master'!Q264)</x:f>
        <x:v>3608</x:v>
      </x:c>
      <x:c r="O264" s="28" t="n">
        <x:f>IF('Course_Master'!R264="","",'Course_Master'!R264)</x:f>
        <x:v>3299</x:v>
      </x:c>
      <x:c r="P264" s="28" t="str">
        <x:f>IF('Course_Master'!U264="","",'Course_Master'!U264)</x:f>
        <x:v>Full-length course</x:v>
      </x:c>
      <x:c r="Q264" s="28" t="str">
        <x:f>IF('Course_Master'!AD264="","",'Course_Master'!AD264)</x:f>
        <x:v>Public — handicap 36 or lower</x:v>
      </x:c>
      <x:c r="R264" s="28" t="str">
        <x:f>IF('Course_Master'!AC264="","",'Course_Master'!AC264)</x:f>
        <x:v>Open</x:v>
      </x:c>
      <x:c r="S264" s="28" t="str">
        <x:f>IF('Course_Master'!Y264="","",'Course_Master'!Y264)</x:f>
        <x:v>https://houtrak.nl/</x:v>
      </x:c>
      <x:c r="T264" s="28" t="b">
        <x:f>IF('Course_Master'!Z264="","",'Course_Master'!Z264)</x:f>
        <x:v>1</x:v>
      </x:c>
      <x:c r="U264" s="28" t="b">
        <x:f>IF('Course_Master'!AA264="","",'Course_Master'!AA264)</x:f>
        <x:v>1</x:v>
      </x:c>
      <x:c r="V264" s="28" t="str">
        <x:f>IF('Course_Master'!AL264="","",'Course_Master'!AL264)</x:f>
        <x:v>Verified — national register and exact BAG address</x:v>
      </x:c>
    </x:row>
    <x:row r="265">
      <x:c r="A265" s="28" t="str">
        <x:f>IF('Course_Master'!B265="","",'Course_Master'!B265)</x:f>
        <x:v>NL-0264</x:v>
      </x:c>
      <x:c r="B265" s="28" t="str">
        <x:f>IF('Course_Master'!C265="","",'Course_Master'!C265)</x:f>
        <x:v>Golfclub Houtrak — Zuid</x:v>
      </x:c>
      <x:c r="C265" s="28" t="str">
        <x:f>IF('Course_Master'!D265="","",'Course_Master'!D265)</x:f>
        <x:v>Golfclub Houtrak</x:v>
      </x:c>
      <x:c r="D265" s="28" t="str">
        <x:f>IF('Course_Master'!E265="","",'Course_Master'!E265)</x:f>
        <x:v>Zuid</x:v>
      </x:c>
      <x:c r="E265" s="28" t="str">
        <x:f>IF('Course_Master'!F265="","",'Course_Master'!F265)</x:f>
        <x:v>Netherlands</x:v>
      </x:c>
      <x:c r="F265" s="28" t="str">
        <x:f>IF('Course_Master'!G265="","",'Course_Master'!G265)</x:f>
        <x:v>Noord-Holland</x:v>
      </x:c>
      <x:c r="G265" s="28" t="str">
        <x:f>IF('Course_Master'!H265="","",'Course_Master'!H265)</x:f>
        <x:v>Haarlemmermeer</x:v>
      </x:c>
      <x:c r="H265" s="28" t="str">
        <x:f>IF('Course_Master'!I265="","",'Course_Master'!I265)</x:f>
        <x:v>Halfweg</x:v>
      </x:c>
      <x:c r="I265" s="28" t="str">
        <x:f>IF('Course_Master'!K265="","",'Course_Master'!K265)</x:f>
        <x:v>1165 NB</x:v>
      </x:c>
      <x:c r="J265" s="34" t="n">
        <x:f>IF('Course_Master'!L265="","",'Course_Master'!L265)</x:f>
        <x:v>52.4042206</x:v>
      </x:c>
      <x:c r="K265" s="34" t="n">
        <x:f>IF('Course_Master'!M265="","",'Course_Master'!M265)</x:f>
        <x:v>4.72791347</x:v>
      </x:c>
      <x:c r="L265" s="28" t="n">
        <x:f>IF('Course_Master'!S265="","",'Course_Master'!S265)</x:f>
        <x:v>9</x:v>
      </x:c>
      <x:c r="M265" s="28" t="n">
        <x:f>IF('Course_Master'!T265="","",'Course_Master'!T265)</x:f>
        <x:v>36</x:v>
      </x:c>
      <x:c r="N265" s="28" t="n">
        <x:f>IF('Course_Master'!Q265="","",'Course_Master'!Q265)</x:f>
        <x:v>3503</x:v>
      </x:c>
      <x:c r="O265" s="28" t="n">
        <x:f>IF('Course_Master'!R265="","",'Course_Master'!R265)</x:f>
        <x:v>3203</x:v>
      </x:c>
      <x:c r="P265" s="28" t="str">
        <x:f>IF('Course_Master'!U265="","",'Course_Master'!U265)</x:f>
        <x:v>Full-length course</x:v>
      </x:c>
      <x:c r="Q265" s="28" t="str">
        <x:f>IF('Course_Master'!AD265="","",'Course_Master'!AD265)</x:f>
        <x:v>Public — handicap 36 or lower</x:v>
      </x:c>
      <x:c r="R265" s="28" t="str">
        <x:f>IF('Course_Master'!AC265="","",'Course_Master'!AC265)</x:f>
        <x:v>Open</x:v>
      </x:c>
      <x:c r="S265" s="28" t="str">
        <x:f>IF('Course_Master'!Y265="","",'Course_Master'!Y265)</x:f>
        <x:v>https://houtrak.nl/</x:v>
      </x:c>
      <x:c r="T265" s="28" t="b">
        <x:f>IF('Course_Master'!Z265="","",'Course_Master'!Z265)</x:f>
        <x:v>1</x:v>
      </x:c>
      <x:c r="U265" s="28" t="b">
        <x:f>IF('Course_Master'!AA265="","",'Course_Master'!AA265)</x:f>
        <x:v>1</x:v>
      </x:c>
      <x:c r="V265" s="28" t="str">
        <x:f>IF('Course_Master'!AL265="","",'Course_Master'!AL265)</x:f>
        <x:v>Verified — national register and exact BAG address</x:v>
      </x:c>
    </x:row>
    <x:row r="266">
      <x:c r="A266" s="28" t="str">
        <x:f>IF('Course_Master'!B266="","",'Course_Master'!B266)</x:f>
        <x:v>NL-0265</x:v>
      </x:c>
      <x:c r="B266" s="28" t="str">
        <x:f>IF('Course_Master'!C266="","",'Course_Master'!C266)</x:f>
        <x:v>Golfclub Mariënweide</x:v>
      </x:c>
      <x:c r="C266" s="28" t="str">
        <x:f>IF('Course_Master'!D266="","",'Course_Master'!D266)</x:f>
        <x:v>Golfclub Mariënweide</x:v>
      </x:c>
      <x:c r="D266" s="28" t="str">
        <x:f>IF('Course_Master'!E266="","",'Course_Master'!E266)</x:f>
        <x:v>Course</x:v>
      </x:c>
      <x:c r="E266" s="28" t="str">
        <x:f>IF('Course_Master'!F266="","",'Course_Master'!F266)</x:f>
        <x:v>Netherlands</x:v>
      </x:c>
      <x:c r="F266" s="28" t="str">
        <x:f>IF('Course_Master'!G266="","",'Course_Master'!G266)</x:f>
        <x:v>Noord-Holland</x:v>
      </x:c>
      <x:c r="G266" s="28" t="str">
        <x:f>IF('Course_Master'!H266="","",'Course_Master'!H266)</x:f>
        <x:v>Bloemendaal</x:v>
      </x:c>
      <x:c r="H266" s="28" t="str">
        <x:f>IF('Course_Master'!I266="","",'Course_Master'!I266)</x:f>
        <x:v>Aerdenhout</x:v>
      </x:c>
      <x:c r="I266" s="28" t="str">
        <x:f>IF('Course_Master'!K266="","",'Course_Master'!K266)</x:f>
        <x:v>2111 HC</x:v>
      </x:c>
      <x:c r="J266" s="34" t="n">
        <x:f>IF('Course_Master'!L266="","",'Course_Master'!L266)</x:f>
        <x:v>52.35486862</x:v>
      </x:c>
      <x:c r="K266" s="34" t="n">
        <x:f>IF('Course_Master'!M266="","",'Course_Master'!M266)</x:f>
        <x:v>4.58248383</x:v>
      </x:c>
      <x:c r="L266" s="28" t="n">
        <x:f>IF('Course_Master'!S266="","",'Course_Master'!S266)</x:f>
        <x:v>9</x:v>
      </x:c>
      <x:c r="M266" s="28" t="n">
        <x:f>IF('Course_Master'!T266="","",'Course_Master'!T266)</x:f>
        <x:v>27</x:v>
      </x:c>
      <x:c r="N266" s="28" t="n">
        <x:f>IF('Course_Master'!Q266="","",'Course_Master'!Q266)</x:f>
        <x:v>1118</x:v>
      </x:c>
      <x:c r="O266" s="28" t="n">
        <x:f>IF('Course_Master'!R266="","",'Course_Master'!R266)</x:f>
        <x:v>1022</x:v>
      </x:c>
      <x:c r="P266" s="28" t="str">
        <x:f>IF('Course_Master'!U266="","",'Course_Master'!U266)</x:f>
        <x:v>Par-3 course</x:v>
      </x:c>
      <x:c r="Q266" s="28" t="str">
        <x:f>IF('Course_Master'!AD266="","",'Course_Master'!AD266)</x:f>
        <x:v>Public — handicap 54 or lower</x:v>
      </x:c>
      <x:c r="R266" s="28" t="str">
        <x:f>IF('Course_Master'!AC266="","",'Course_Master'!AC266)</x:f>
        <x:v>Open</x:v>
      </x:c>
      <x:c r="S266" s="28" t="str">
        <x:f>IF('Course_Master'!Y266="","",'Course_Master'!Y266)</x:f>
        <x:v>https://www.marienweide.nl/</x:v>
      </x:c>
      <x:c r="T266" s="28" t="b">
        <x:f>IF('Course_Master'!Z266="","",'Course_Master'!Z266)</x:f>
        <x:v>1</x:v>
      </x:c>
      <x:c r="U266" s="28" t="b">
        <x:f>IF('Course_Master'!AA266="","",'Course_Master'!AA266)</x:f>
        <x:v>1</x:v>
      </x:c>
      <x:c r="V266" s="28" t="str">
        <x:f>IF('Course_Master'!AL266="","",'Course_Master'!AL266)</x:f>
        <x:v>Verified — national register and exact BAG address</x:v>
      </x:c>
    </x:row>
    <x:row r="267">
      <x:c r="A267" s="28" t="str">
        <x:f>IF('Course_Master'!B267="","",'Course_Master'!B267)</x:f>
        <x:v>NL-0266</x:v>
      </x:c>
      <x:c r="B267" s="28" t="str">
        <x:f>IF('Course_Master'!C267="","",'Course_Master'!C267)</x:f>
        <x:v>Golfclub Ooghduyne — Familiebaan</x:v>
      </x:c>
      <x:c r="C267" s="28" t="str">
        <x:f>IF('Course_Master'!D267="","",'Course_Master'!D267)</x:f>
        <x:v>Golfclub Ooghduyne</x:v>
      </x:c>
      <x:c r="D267" s="28" t="str">
        <x:f>IF('Course_Master'!E267="","",'Course_Master'!E267)</x:f>
        <x:v>Familiebaan</x:v>
      </x:c>
      <x:c r="E267" s="28" t="str">
        <x:f>IF('Course_Master'!F267="","",'Course_Master'!F267)</x:f>
        <x:v>Netherlands</x:v>
      </x:c>
      <x:c r="F267" s="28" t="str">
        <x:f>IF('Course_Master'!G267="","",'Course_Master'!G267)</x:f>
        <x:v>Noord-Holland</x:v>
      </x:c>
      <x:c r="G267" s="28" t="str">
        <x:f>IF('Course_Master'!H267="","",'Course_Master'!H267)</x:f>
        <x:v>Den Helder</x:v>
      </x:c>
      <x:c r="H267" s="28" t="str">
        <x:f>IF('Course_Master'!I267="","",'Course_Master'!I267)</x:f>
        <x:v>Julianadorp</x:v>
      </x:c>
      <x:c r="I267" s="28" t="str">
        <x:f>IF('Course_Master'!K267="","",'Course_Master'!K267)</x:f>
        <x:v>1787 PS</x:v>
      </x:c>
      <x:c r="J267" s="34" t="n">
        <x:f>IF('Course_Master'!L267="","",'Course_Master'!L267)</x:f>
        <x:v>52.88537521</x:v>
      </x:c>
      <x:c r="K267" s="34" t="n">
        <x:f>IF('Course_Master'!M267="","",'Course_Master'!M267)</x:f>
        <x:v>4.72699652</x:v>
      </x:c>
      <x:c r="L267" s="28" t="n">
        <x:f>IF('Course_Master'!S267="","",'Course_Master'!S267)</x:f>
        <x:v>9</x:v>
      </x:c>
      <x:c r="M267" s="28" t="n">
        <x:f>IF('Course_Master'!T267="","",'Course_Master'!T267)</x:f>
        <x:v>27</x:v>
      </x:c>
      <x:c r="N267" s="28" t="n">
        <x:f>IF('Course_Master'!Q267="","",'Course_Master'!Q267)</x:f>
        <x:v>542</x:v>
      </x:c>
      <x:c r="O267" s="28" t="n">
        <x:f>IF('Course_Master'!R267="","",'Course_Master'!R267)</x:f>
        <x:v>496</x:v>
      </x:c>
      <x:c r="P267" s="28" t="str">
        <x:f>IF('Course_Master'!U267="","",'Course_Master'!U267)</x:f>
        <x:v>Par-3 course</x:v>
      </x:c>
      <x:c r="Q267" s="28" t="str">
        <x:f>IF('Course_Master'!AD267="","",'Course_Master'!AD267)</x:f>
        <x:v>Public — no playing requirement</x:v>
      </x:c>
      <x:c r="R267" s="28" t="str">
        <x:f>IF('Course_Master'!AC267="","",'Course_Master'!AC267)</x:f>
        <x:v>Open</x:v>
      </x:c>
      <x:c r="S267" s="28" t="str">
        <x:f>IF('Course_Master'!Y267="","",'Course_Master'!Y267)</x:f>
        <x:v>https://golfbaanooghduyne.nl/</x:v>
      </x:c>
      <x:c r="T267" s="28" t="b">
        <x:f>IF('Course_Master'!Z267="","",'Course_Master'!Z267)</x:f>
        <x:v>1</x:v>
      </x:c>
      <x:c r="U267" s="28" t="b">
        <x:f>IF('Course_Master'!AA267="","",'Course_Master'!AA267)</x:f>
        <x:v>1</x:v>
      </x:c>
      <x:c r="V267" s="28" t="str">
        <x:f>IF('Course_Master'!AL267="","",'Course_Master'!AL267)</x:f>
        <x:v>Verified — national register and exact BAG address</x:v>
      </x:c>
    </x:row>
    <x:row r="268">
      <x:c r="A268" s="28" t="str">
        <x:f>IF('Course_Master'!B268="","",'Course_Master'!B268)</x:f>
        <x:v>NL-0267</x:v>
      </x:c>
      <x:c r="B268" s="28" t="str">
        <x:f>IF('Course_Master'!C268="","",'Course_Master'!C268)</x:f>
        <x:v>Golfclub Ooghduyne — Main Course</x:v>
      </x:c>
      <x:c r="C268" s="28" t="str">
        <x:f>IF('Course_Master'!D268="","",'Course_Master'!D268)</x:f>
        <x:v>Golfclub Ooghduyne</x:v>
      </x:c>
      <x:c r="D268" s="28" t="str">
        <x:f>IF('Course_Master'!E268="","",'Course_Master'!E268)</x:f>
        <x:v>Main Course</x:v>
      </x:c>
      <x:c r="E268" s="28" t="str">
        <x:f>IF('Course_Master'!F268="","",'Course_Master'!F268)</x:f>
        <x:v>Netherlands</x:v>
      </x:c>
      <x:c r="F268" s="28" t="str">
        <x:f>IF('Course_Master'!G268="","",'Course_Master'!G268)</x:f>
        <x:v>Noord-Holland</x:v>
      </x:c>
      <x:c r="G268" s="28" t="str">
        <x:f>IF('Course_Master'!H268="","",'Course_Master'!H268)</x:f>
        <x:v>Den Helder</x:v>
      </x:c>
      <x:c r="H268" s="28" t="str">
        <x:f>IF('Course_Master'!I268="","",'Course_Master'!I268)</x:f>
        <x:v>Julianadorp</x:v>
      </x:c>
      <x:c r="I268" s="28" t="str">
        <x:f>IF('Course_Master'!K268="","",'Course_Master'!K268)</x:f>
        <x:v>1787 PS</x:v>
      </x:c>
      <x:c r="J268" s="34" t="n">
        <x:f>IF('Course_Master'!L268="","",'Course_Master'!L268)</x:f>
        <x:v>52.88537521</x:v>
      </x:c>
      <x:c r="K268" s="34" t="n">
        <x:f>IF('Course_Master'!M268="","",'Course_Master'!M268)</x:f>
        <x:v>4.72699652</x:v>
      </x:c>
      <x:c r="L268" s="28" t="n">
        <x:f>IF('Course_Master'!S268="","",'Course_Master'!S268)</x:f>
        <x:v>9</x:v>
      </x:c>
      <x:c r="M268" s="28" t="n">
        <x:f>IF('Course_Master'!T268="","",'Course_Master'!T268)</x:f>
        <x:v>35</x:v>
      </x:c>
      <x:c r="N268" s="28" t="n">
        <x:f>IF('Course_Master'!Q268="","",'Course_Master'!Q268)</x:f>
        <x:v>3024</x:v>
      </x:c>
      <x:c r="O268" s="28" t="n">
        <x:f>IF('Course_Master'!R268="","",'Course_Master'!R268)</x:f>
        <x:v>2765</x:v>
      </x:c>
      <x:c r="P268" s="28" t="str">
        <x:f>IF('Course_Master'!U268="","",'Course_Master'!U268)</x:f>
        <x:v>Full-length course</x:v>
      </x:c>
      <x:c r="Q268" s="28" t="str">
        <x:f>IF('Course_Master'!AD268="","",'Course_Master'!AD268)</x:f>
        <x:v>Public — handicap 54 or lower</x:v>
      </x:c>
      <x:c r="R268" s="28" t="str">
        <x:f>IF('Course_Master'!AC268="","",'Course_Master'!AC268)</x:f>
        <x:v>Open</x:v>
      </x:c>
      <x:c r="S268" s="28" t="str">
        <x:f>IF('Course_Master'!Y268="","",'Course_Master'!Y268)</x:f>
        <x:v>https://golfbaanooghduyne.nl/</x:v>
      </x:c>
      <x:c r="T268" s="28" t="b">
        <x:f>IF('Course_Master'!Z268="","",'Course_Master'!Z268)</x:f>
        <x:v>1</x:v>
      </x:c>
      <x:c r="U268" s="28" t="b">
        <x:f>IF('Course_Master'!AA268="","",'Course_Master'!AA268)</x:f>
        <x:v>1</x:v>
      </x:c>
      <x:c r="V268" s="28" t="str">
        <x:f>IF('Course_Master'!AL268="","",'Course_Master'!AL268)</x:f>
        <x:v>Verified — national register and exact BAG address</x:v>
      </x:c>
    </x:row>
    <x:row r="269">
      <x:c r="A269" s="28" t="str">
        <x:f>IF('Course_Master'!B269="","",'Course_Master'!B269)</x:f>
        <x:v>NL-0268</x:v>
      </x:c>
      <x:c r="B269" s="28" t="str">
        <x:f>IF('Course_Master'!C269="","",'Course_Master'!C269)</x:f>
        <x:v>Golfclub Ookmeer</x:v>
      </x:c>
      <x:c r="C269" s="28" t="str">
        <x:f>IF('Course_Master'!D269="","",'Course_Master'!D269)</x:f>
        <x:v>Golfclub Ookmeer</x:v>
      </x:c>
      <x:c r="D269" s="28" t="str">
        <x:f>IF('Course_Master'!E269="","",'Course_Master'!E269)</x:f>
        <x:v>Course</x:v>
      </x:c>
      <x:c r="E269" s="28" t="str">
        <x:f>IF('Course_Master'!F269="","",'Course_Master'!F269)</x:f>
        <x:v>Netherlands</x:v>
      </x:c>
      <x:c r="F269" s="28" t="str">
        <x:f>IF('Course_Master'!G269="","",'Course_Master'!G269)</x:f>
        <x:v>Noord-Holland</x:v>
      </x:c>
      <x:c r="G269" s="28" t="str">
        <x:f>IF('Course_Master'!H269="","",'Course_Master'!H269)</x:f>
        <x:v>Amsterdam</x:v>
      </x:c>
      <x:c r="H269" s="28" t="str">
        <x:f>IF('Course_Master'!I269="","",'Course_Master'!I269)</x:f>
        <x:v>Amsterdam</x:v>
      </x:c>
      <x:c r="I269" s="28" t="str">
        <x:f>IF('Course_Master'!K269="","",'Course_Master'!K269)</x:f>
        <x:v>1067 MV</x:v>
      </x:c>
      <x:c r="J269" s="34" t="n">
        <x:f>IF('Course_Master'!L269="","",'Course_Master'!L269)</x:f>
        <x:v>52.3723841</x:v>
      </x:c>
      <x:c r="K269" s="34" t="n">
        <x:f>IF('Course_Master'!M269="","",'Course_Master'!M269)</x:f>
        <x:v>4.7972952</x:v>
      </x:c>
      <x:c r="L269" s="28" t="n">
        <x:f>IF('Course_Master'!S269="","",'Course_Master'!S269)</x:f>
        <x:v>9</x:v>
      </x:c>
      <x:c r="M269" s="28" t="n">
        <x:f>IF('Course_Master'!T269="","",'Course_Master'!T269)</x:f>
        <x:v>31</x:v>
      </x:c>
      <x:c r="N269" s="28" t="n">
        <x:f>IF('Course_Master'!Q269="","",'Course_Master'!Q269)</x:f>
        <x:v>1895</x:v>
      </x:c>
      <x:c r="O269" s="28" t="n">
        <x:f>IF('Course_Master'!R269="","",'Course_Master'!R269)</x:f>
        <x:v>1733</x:v>
      </x:c>
      <x:c r="P269" s="28" t="str">
        <x:f>IF('Course_Master'!U269="","",'Course_Master'!U269)</x:f>
        <x:v>Par-3/4 course</x:v>
      </x:c>
      <x:c r="Q269" s="28" t="str">
        <x:f>IF('Course_Master'!AD269="","",'Course_Master'!AD269)</x:f>
        <x:v>Public — handicap 54 or lower</x:v>
      </x:c>
      <x:c r="R269" s="28" t="str">
        <x:f>IF('Course_Master'!AC269="","",'Course_Master'!AC269)</x:f>
        <x:v>Open</x:v>
      </x:c>
      <x:c r="S269" s="28" t="str">
        <x:f>IF('Course_Master'!Y269="","",'Course_Master'!Y269)</x:f>
        <x:v>https://golfclubookmeer.nl/</x:v>
      </x:c>
      <x:c r="T269" s="28" t="b">
        <x:f>IF('Course_Master'!Z269="","",'Course_Master'!Z269)</x:f>
        <x:v>1</x:v>
      </x:c>
      <x:c r="U269" s="28" t="b">
        <x:f>IF('Course_Master'!AA269="","",'Course_Master'!AA269)</x:f>
        <x:v>1</x:v>
      </x:c>
      <x:c r="V269" s="28" t="str">
        <x:f>IF('Course_Master'!AL269="","",'Course_Master'!AL269)</x:f>
        <x:v>Verified — national register and exact BAG address</x:v>
      </x:c>
    </x:row>
    <x:row r="270">
      <x:c r="A270" s="28" t="str">
        <x:f>IF('Course_Master'!B270="","",'Course_Master'!B270)</x:f>
        <x:v>NL-0269</x:v>
      </x:c>
      <x:c r="B270" s="28" t="str">
        <x:f>IF('Course_Master'!C270="","",'Course_Master'!C270)</x:f>
        <x:v>Golfclub Sloten</x:v>
      </x:c>
      <x:c r="C270" s="28" t="str">
        <x:f>IF('Course_Master'!D270="","",'Course_Master'!D270)</x:f>
        <x:v>Golfclub Sloten</x:v>
      </x:c>
      <x:c r="D270" s="28" t="str">
        <x:f>IF('Course_Master'!E270="","",'Course_Master'!E270)</x:f>
        <x:v>Course</x:v>
      </x:c>
      <x:c r="E270" s="28" t="str">
        <x:f>IF('Course_Master'!F270="","",'Course_Master'!F270)</x:f>
        <x:v>Netherlands</x:v>
      </x:c>
      <x:c r="F270" s="28" t="str">
        <x:f>IF('Course_Master'!G270="","",'Course_Master'!G270)</x:f>
        <x:v>Noord-Holland</x:v>
      </x:c>
      <x:c r="G270" s="28" t="str">
        <x:f>IF('Course_Master'!H270="","",'Course_Master'!H270)</x:f>
        <x:v>Amsterdam</x:v>
      </x:c>
      <x:c r="H270" s="28" t="str">
        <x:f>IF('Course_Master'!I270="","",'Course_Master'!I270)</x:f>
        <x:v>Amsterdam</x:v>
      </x:c>
      <x:c r="I270" s="28" t="str">
        <x:f>IF('Course_Master'!K270="","",'Course_Master'!K270)</x:f>
        <x:v>1066 CD</x:v>
      </x:c>
      <x:c r="J270" s="34" t="n">
        <x:f>IF('Course_Master'!L270="","",'Course_Master'!L270)</x:f>
        <x:v>52.33961512</x:v>
      </x:c>
      <x:c r="K270" s="34" t="n">
        <x:f>IF('Course_Master'!M270="","",'Course_Master'!M270)</x:f>
        <x:v>4.80649079</x:v>
      </x:c>
      <x:c r="L270" s="28" t="n">
        <x:f>IF('Course_Master'!S270="","",'Course_Master'!S270)</x:f>
        <x:v>9</x:v>
      </x:c>
      <x:c r="M270" s="28" t="n">
        <x:f>IF('Course_Master'!T270="","",'Course_Master'!T270)</x:f>
        <x:v>29</x:v>
      </x:c>
      <x:c r="N270" s="28" t="n">
        <x:f>IF('Course_Master'!Q270="","",'Course_Master'!Q270)</x:f>
        <x:v>1499</x:v>
      </x:c>
      <x:c r="O270" s="28" t="n">
        <x:f>IF('Course_Master'!R270="","",'Course_Master'!R270)</x:f>
        <x:v>1371</x:v>
      </x:c>
      <x:c r="P270" s="28" t="str">
        <x:f>IF('Course_Master'!U270="","",'Course_Master'!U270)</x:f>
        <x:v>Par-3/4 course</x:v>
      </x:c>
      <x:c r="Q270" s="28" t="str">
        <x:f>IF('Course_Master'!AD270="","",'Course_Master'!AD270)</x:f>
        <x:v>Public — handicap 54 or lower</x:v>
      </x:c>
      <x:c r="R270" s="28" t="str">
        <x:f>IF('Course_Master'!AC270="","",'Course_Master'!AC270)</x:f>
        <x:v>Open</x:v>
      </x:c>
      <x:c r="S270" s="28" t="str">
        <x:f>IF('Course_Master'!Y270="","",'Course_Master'!Y270)</x:f>
        <x:v>https://golfbaansloten.nl/</x:v>
      </x:c>
      <x:c r="T270" s="28" t="b">
        <x:f>IF('Course_Master'!Z270="","",'Course_Master'!Z270)</x:f>
        <x:v>1</x:v>
      </x:c>
      <x:c r="U270" s="28" t="b">
        <x:f>IF('Course_Master'!AA270="","",'Course_Master'!AA270)</x:f>
        <x:v>1</x:v>
      </x:c>
      <x:c r="V270" s="28" t="str">
        <x:f>IF('Course_Master'!AL270="","",'Course_Master'!AL270)</x:f>
        <x:v>Verified — national register and exact BAG address</x:v>
      </x:c>
    </x:row>
    <x:row r="271">
      <x:c r="A271" s="28" t="str">
        <x:f>IF('Course_Master'!B271="","",'Course_Master'!B271)</x:f>
        <x:v>NL-0270</x:v>
      </x:c>
      <x:c r="B271" s="28" t="str">
        <x:f>IF('Course_Master'!C271="","",'Course_Master'!C271)</x:f>
        <x:v>Golfpark De Purmer — Geel</x:v>
      </x:c>
      <x:c r="C271" s="28" t="str">
        <x:f>IF('Course_Master'!D271="","",'Course_Master'!D271)</x:f>
        <x:v>Golfpark De Purmer</x:v>
      </x:c>
      <x:c r="D271" s="28" t="str">
        <x:f>IF('Course_Master'!E271="","",'Course_Master'!E271)</x:f>
        <x:v>Geel</x:v>
      </x:c>
      <x:c r="E271" s="28" t="str">
        <x:f>IF('Course_Master'!F271="","",'Course_Master'!F271)</x:f>
        <x:v>Netherlands</x:v>
      </x:c>
      <x:c r="F271" s="28" t="str">
        <x:f>IF('Course_Master'!G271="","",'Course_Master'!G271)</x:f>
        <x:v>Noord-Holland</x:v>
      </x:c>
      <x:c r="G271" s="28" t="str">
        <x:f>IF('Course_Master'!H271="","",'Course_Master'!H271)</x:f>
        <x:v>Purmerend</x:v>
      </x:c>
      <x:c r="H271" s="28" t="str">
        <x:f>IF('Course_Master'!I271="","",'Course_Master'!I271)</x:f>
        <x:v>Purmerend</x:v>
      </x:c>
      <x:c r="I271" s="28" t="str">
        <x:f>IF('Course_Master'!K271="","",'Course_Master'!K271)</x:f>
        <x:v>1445 AD</x:v>
      </x:c>
      <x:c r="J271" s="34" t="n">
        <x:f>IF('Course_Master'!L271="","",'Course_Master'!L271)</x:f>
        <x:v>52.50055429</x:v>
      </x:c>
      <x:c r="K271" s="34" t="n">
        <x:f>IF('Course_Master'!M271="","",'Course_Master'!M271)</x:f>
        <x:v>4.99351316</x:v>
      </x:c>
      <x:c r="L271" s="28" t="n">
        <x:f>IF('Course_Master'!S271="","",'Course_Master'!S271)</x:f>
        <x:v>9</x:v>
      </x:c>
      <x:c r="M271" s="28" t="n">
        <x:f>IF('Course_Master'!T271="","",'Course_Master'!T271)</x:f>
        <x:v>36</x:v>
      </x:c>
      <x:c r="N271" s="28" t="n">
        <x:f>IF('Course_Master'!Q271="","",'Course_Master'!Q271)</x:f>
        <x:v>3168</x:v>
      </x:c>
      <x:c r="O271" s="28" t="n">
        <x:f>IF('Course_Master'!R271="","",'Course_Master'!R271)</x:f>
        <x:v>2897</x:v>
      </x:c>
      <x:c r="P271" s="28" t="str">
        <x:f>IF('Course_Master'!U271="","",'Course_Master'!U271)</x:f>
        <x:v>Full-length course</x:v>
      </x:c>
      <x:c r="Q271" s="28" t="str">
        <x:f>IF('Course_Master'!AD271="","",'Course_Master'!AD271)</x:f>
        <x:v>Public — handicap 54 or lower</x:v>
      </x:c>
      <x:c r="R271" s="28" t="str">
        <x:f>IF('Course_Master'!AC271="","",'Course_Master'!AC271)</x:f>
        <x:v>Open</x:v>
      </x:c>
      <x:c r="S271" s="28" t="str">
        <x:f>IF('Course_Master'!Y271="","",'Course_Master'!Y271)</x:f>
        <x:v>https://www.hollandschegolfclub.nl/golfpark/de-purmer/</x:v>
      </x:c>
      <x:c r="T271" s="28" t="b">
        <x:f>IF('Course_Master'!Z271="","",'Course_Master'!Z271)</x:f>
        <x:v>1</x:v>
      </x:c>
      <x:c r="U271" s="28" t="b">
        <x:f>IF('Course_Master'!AA271="","",'Course_Master'!AA271)</x:f>
        <x:v>1</x:v>
      </x:c>
      <x:c r="V271" s="28" t="str">
        <x:f>IF('Course_Master'!AL271="","",'Course_Master'!AL271)</x:f>
        <x:v>Verified — national register and exact BAG address</x:v>
      </x:c>
    </x:row>
    <x:row r="272">
      <x:c r="A272" s="28" t="str">
        <x:f>IF('Course_Master'!B272="","",'Course_Master'!B272)</x:f>
        <x:v>NL-0271</x:v>
      </x:c>
      <x:c r="B272" s="28" t="str">
        <x:f>IF('Course_Master'!C272="","",'Course_Master'!C272)</x:f>
        <x:v>Golfpark De Purmer — Par-3 Course</x:v>
      </x:c>
      <x:c r="C272" s="28" t="str">
        <x:f>IF('Course_Master'!D272="","",'Course_Master'!D272)</x:f>
        <x:v>Golfpark De Purmer</x:v>
      </x:c>
      <x:c r="D272" s="28" t="str">
        <x:f>IF('Course_Master'!E272="","",'Course_Master'!E272)</x:f>
        <x:v>Par-3 Course</x:v>
      </x:c>
      <x:c r="E272" s="28" t="str">
        <x:f>IF('Course_Master'!F272="","",'Course_Master'!F272)</x:f>
        <x:v>Netherlands</x:v>
      </x:c>
      <x:c r="F272" s="28" t="str">
        <x:f>IF('Course_Master'!G272="","",'Course_Master'!G272)</x:f>
        <x:v>Noord-Holland</x:v>
      </x:c>
      <x:c r="G272" s="28" t="str">
        <x:f>IF('Course_Master'!H272="","",'Course_Master'!H272)</x:f>
        <x:v>Purmerend</x:v>
      </x:c>
      <x:c r="H272" s="28" t="str">
        <x:f>IF('Course_Master'!I272="","",'Course_Master'!I272)</x:f>
        <x:v>Purmerend</x:v>
      </x:c>
      <x:c r="I272" s="28" t="str">
        <x:f>IF('Course_Master'!K272="","",'Course_Master'!K272)</x:f>
        <x:v>1445 AD</x:v>
      </x:c>
      <x:c r="J272" s="34" t="n">
        <x:f>IF('Course_Master'!L272="","",'Course_Master'!L272)</x:f>
        <x:v>52.50055429</x:v>
      </x:c>
      <x:c r="K272" s="34" t="n">
        <x:f>IF('Course_Master'!M272="","",'Course_Master'!M272)</x:f>
        <x:v>4.99351316</x:v>
      </x:c>
      <x:c r="L272" s="28" t="n">
        <x:f>IF('Course_Master'!S272="","",'Course_Master'!S272)</x:f>
        <x:v>9</x:v>
      </x:c>
      <x:c r="M272" s="28" t="n">
        <x:f>IF('Course_Master'!T272="","",'Course_Master'!T272)</x:f>
        <x:v>27</x:v>
      </x:c>
      <x:c r="N272" s="28" t="n">
        <x:f>IF('Course_Master'!Q272="","",'Course_Master'!Q272)</x:f>
        <x:v>780</x:v>
      </x:c>
      <x:c r="O272" s="28" t="n">
        <x:f>IF('Course_Master'!R272="","",'Course_Master'!R272)</x:f>
        <x:v>713</x:v>
      </x:c>
      <x:c r="P272" s="28" t="str">
        <x:f>IF('Course_Master'!U272="","",'Course_Master'!U272)</x:f>
        <x:v>Par-3 course</x:v>
      </x:c>
      <x:c r="Q272" s="28" t="str">
        <x:f>IF('Course_Master'!AD272="","",'Course_Master'!AD272)</x:f>
        <x:v>Public — no playing requirement</x:v>
      </x:c>
      <x:c r="R272" s="28" t="str">
        <x:f>IF('Course_Master'!AC272="","",'Course_Master'!AC272)</x:f>
        <x:v>Open</x:v>
      </x:c>
      <x:c r="S272" s="28" t="str">
        <x:f>IF('Course_Master'!Y272="","",'Course_Master'!Y272)</x:f>
        <x:v>https://www.hollandschegolfclub.nl/golfpark/de-purmer/</x:v>
      </x:c>
      <x:c r="T272" s="28" t="b">
        <x:f>IF('Course_Master'!Z272="","",'Course_Master'!Z272)</x:f>
        <x:v>1</x:v>
      </x:c>
      <x:c r="U272" s="28" t="b">
        <x:f>IF('Course_Master'!AA272="","",'Course_Master'!AA272)</x:f>
        <x:v>1</x:v>
      </x:c>
      <x:c r="V272" s="28" t="str">
        <x:f>IF('Course_Master'!AL272="","",'Course_Master'!AL272)</x:f>
        <x:v>Verified — national register and exact BAG address</x:v>
      </x:c>
    </x:row>
    <x:row r="273">
      <x:c r="A273" s="28" t="str">
        <x:f>IF('Course_Master'!B273="","",'Course_Master'!B273)</x:f>
        <x:v>NL-0272</x:v>
      </x:c>
      <x:c r="B273" s="28" t="str">
        <x:f>IF('Course_Master'!C273="","",'Course_Master'!C273)</x:f>
        <x:v>Golfpark De Purmer — Rood</x:v>
      </x:c>
      <x:c r="C273" s="28" t="str">
        <x:f>IF('Course_Master'!D273="","",'Course_Master'!D273)</x:f>
        <x:v>Golfpark De Purmer</x:v>
      </x:c>
      <x:c r="D273" s="28" t="str">
        <x:f>IF('Course_Master'!E273="","",'Course_Master'!E273)</x:f>
        <x:v>Rood</x:v>
      </x:c>
      <x:c r="E273" s="28" t="str">
        <x:f>IF('Course_Master'!F273="","",'Course_Master'!F273)</x:f>
        <x:v>Netherlands</x:v>
      </x:c>
      <x:c r="F273" s="28" t="str">
        <x:f>IF('Course_Master'!G273="","",'Course_Master'!G273)</x:f>
        <x:v>Noord-Holland</x:v>
      </x:c>
      <x:c r="G273" s="28" t="str">
        <x:f>IF('Course_Master'!H273="","",'Course_Master'!H273)</x:f>
        <x:v>Purmerend</x:v>
      </x:c>
      <x:c r="H273" s="28" t="str">
        <x:f>IF('Course_Master'!I273="","",'Course_Master'!I273)</x:f>
        <x:v>Purmerend</x:v>
      </x:c>
      <x:c r="I273" s="28" t="str">
        <x:f>IF('Course_Master'!K273="","",'Course_Master'!K273)</x:f>
        <x:v>1445 AD</x:v>
      </x:c>
      <x:c r="J273" s="34" t="n">
        <x:f>IF('Course_Master'!L273="","",'Course_Master'!L273)</x:f>
        <x:v>52.50055429</x:v>
      </x:c>
      <x:c r="K273" s="34" t="n">
        <x:f>IF('Course_Master'!M273="","",'Course_Master'!M273)</x:f>
        <x:v>4.99351316</x:v>
      </x:c>
      <x:c r="L273" s="28" t="n">
        <x:f>IF('Course_Master'!S273="","",'Course_Master'!S273)</x:f>
        <x:v>9</x:v>
      </x:c>
      <x:c r="M273" s="28" t="n">
        <x:f>IF('Course_Master'!T273="","",'Course_Master'!T273)</x:f>
        <x:v>35</x:v>
      </x:c>
      <x:c r="N273" s="28" t="n">
        <x:f>IF('Course_Master'!Q273="","",'Course_Master'!Q273)</x:f>
        <x:v>2942</x:v>
      </x:c>
      <x:c r="O273" s="28" t="n">
        <x:f>IF('Course_Master'!R273="","",'Course_Master'!R273)</x:f>
        <x:v>2690</x:v>
      </x:c>
      <x:c r="P273" s="28" t="str">
        <x:f>IF('Course_Master'!U273="","",'Course_Master'!U273)</x:f>
        <x:v>Full-length course</x:v>
      </x:c>
      <x:c r="Q273" s="28" t="str">
        <x:f>IF('Course_Master'!AD273="","",'Course_Master'!AD273)</x:f>
        <x:v>Public — handicap 54 or lower</x:v>
      </x:c>
      <x:c r="R273" s="28" t="str">
        <x:f>IF('Course_Master'!AC273="","",'Course_Master'!AC273)</x:f>
        <x:v>Open</x:v>
      </x:c>
      <x:c r="S273" s="28" t="str">
        <x:f>IF('Course_Master'!Y273="","",'Course_Master'!Y273)</x:f>
        <x:v>https://www.hollandschegolfclub.nl/golfpark/de-purmer/</x:v>
      </x:c>
      <x:c r="T273" s="28" t="b">
        <x:f>IF('Course_Master'!Z273="","",'Course_Master'!Z273)</x:f>
        <x:v>1</x:v>
      </x:c>
      <x:c r="U273" s="28" t="b">
        <x:f>IF('Course_Master'!AA273="","",'Course_Master'!AA273)</x:f>
        <x:v>1</x:v>
      </x:c>
      <x:c r="V273" s="28" t="str">
        <x:f>IF('Course_Master'!AL273="","",'Course_Master'!AL273)</x:f>
        <x:v>Verified — national register and exact BAG address</x:v>
      </x:c>
    </x:row>
    <x:row r="274">
      <x:c r="A274" s="28" t="str">
        <x:f>IF('Course_Master'!B274="","",'Course_Master'!B274)</x:f>
        <x:v>NL-0273</x:v>
      </x:c>
      <x:c r="B274" s="28" t="str">
        <x:f>IF('Course_Master'!C274="","",'Course_Master'!C274)</x:f>
        <x:v>Golfpark De Purmer — Wit</x:v>
      </x:c>
      <x:c r="C274" s="28" t="str">
        <x:f>IF('Course_Master'!D274="","",'Course_Master'!D274)</x:f>
        <x:v>Golfpark De Purmer</x:v>
      </x:c>
      <x:c r="D274" s="28" t="str">
        <x:f>IF('Course_Master'!E274="","",'Course_Master'!E274)</x:f>
        <x:v>Wit</x:v>
      </x:c>
      <x:c r="E274" s="28" t="str">
        <x:f>IF('Course_Master'!F274="","",'Course_Master'!F274)</x:f>
        <x:v>Netherlands</x:v>
      </x:c>
      <x:c r="F274" s="28" t="str">
        <x:f>IF('Course_Master'!G274="","",'Course_Master'!G274)</x:f>
        <x:v>Noord-Holland</x:v>
      </x:c>
      <x:c r="G274" s="28" t="str">
        <x:f>IF('Course_Master'!H274="","",'Course_Master'!H274)</x:f>
        <x:v>Purmerend</x:v>
      </x:c>
      <x:c r="H274" s="28" t="str">
        <x:f>IF('Course_Master'!I274="","",'Course_Master'!I274)</x:f>
        <x:v>Purmerend</x:v>
      </x:c>
      <x:c r="I274" s="28" t="str">
        <x:f>IF('Course_Master'!K274="","",'Course_Master'!K274)</x:f>
        <x:v>1445 AD</x:v>
      </x:c>
      <x:c r="J274" s="34" t="n">
        <x:f>IF('Course_Master'!L274="","",'Course_Master'!L274)</x:f>
        <x:v>52.50055429</x:v>
      </x:c>
      <x:c r="K274" s="34" t="n">
        <x:f>IF('Course_Master'!M274="","",'Course_Master'!M274)</x:f>
        <x:v>4.99351316</x:v>
      </x:c>
      <x:c r="L274" s="28" t="n">
        <x:f>IF('Course_Master'!S274="","",'Course_Master'!S274)</x:f>
        <x:v>9</x:v>
      </x:c>
      <x:c r="M274" s="28" t="n">
        <x:f>IF('Course_Master'!T274="","",'Course_Master'!T274)</x:f>
        <x:v>36</x:v>
      </x:c>
      <x:c r="N274" s="28" t="n">
        <x:f>IF('Course_Master'!Q274="","",'Course_Master'!Q274)</x:f>
        <x:v>3489</x:v>
      </x:c>
      <x:c r="O274" s="28" t="n">
        <x:f>IF('Course_Master'!R274="","",'Course_Master'!R274)</x:f>
        <x:v>3190</x:v>
      </x:c>
      <x:c r="P274" s="28" t="str">
        <x:f>IF('Course_Master'!U274="","",'Course_Master'!U274)</x:f>
        <x:v>Full-length course</x:v>
      </x:c>
      <x:c r="Q274" s="28" t="str">
        <x:f>IF('Course_Master'!AD274="","",'Course_Master'!AD274)</x:f>
        <x:v>Public — handicap 54 or lower</x:v>
      </x:c>
      <x:c r="R274" s="28" t="str">
        <x:f>IF('Course_Master'!AC274="","",'Course_Master'!AC274)</x:f>
        <x:v>Open</x:v>
      </x:c>
      <x:c r="S274" s="28" t="str">
        <x:f>IF('Course_Master'!Y274="","",'Course_Master'!Y274)</x:f>
        <x:v>https://www.hollandschegolfclub.nl/golfpark/de-purmer/</x:v>
      </x:c>
      <x:c r="T274" s="28" t="b">
        <x:f>IF('Course_Master'!Z274="","",'Course_Master'!Z274)</x:f>
        <x:v>1</x:v>
      </x:c>
      <x:c r="U274" s="28" t="b">
        <x:f>IF('Course_Master'!AA274="","",'Course_Master'!AA274)</x:f>
        <x:v>1</x:v>
      </x:c>
      <x:c r="V274" s="28" t="str">
        <x:f>IF('Course_Master'!AL274="","",'Course_Master'!AL274)</x:f>
        <x:v>Verified — national register and exact BAG address</x:v>
      </x:c>
    </x:row>
    <x:row r="275">
      <x:c r="A275" s="28" t="str">
        <x:f>IF('Course_Master'!B275="","",'Course_Master'!B275)</x:f>
        <x:v>NL-0274</x:v>
      </x:c>
      <x:c r="B275" s="28" t="str">
        <x:f>IF('Course_Master'!C275="","",'Course_Master'!C275)</x:f>
        <x:v>Golfpark Spandersbosch — Boschbaan</x:v>
      </x:c>
      <x:c r="C275" s="28" t="str">
        <x:f>IF('Course_Master'!D275="","",'Course_Master'!D275)</x:f>
        <x:v>Golfpark Spandersbosch</x:v>
      </x:c>
      <x:c r="D275" s="28" t="str">
        <x:f>IF('Course_Master'!E275="","",'Course_Master'!E275)</x:f>
        <x:v>Boschbaan</x:v>
      </x:c>
      <x:c r="E275" s="28" t="str">
        <x:f>IF('Course_Master'!F275="","",'Course_Master'!F275)</x:f>
        <x:v>Netherlands</x:v>
      </x:c>
      <x:c r="F275" s="28" t="str">
        <x:f>IF('Course_Master'!G275="","",'Course_Master'!G275)</x:f>
        <x:v>Noord-Holland</x:v>
      </x:c>
      <x:c r="G275" s="28" t="str">
        <x:f>IF('Course_Master'!H275="","",'Course_Master'!H275)</x:f>
        <x:v>Hilversum</x:v>
      </x:c>
      <x:c r="H275" s="28" t="str">
        <x:f>IF('Course_Master'!I275="","",'Course_Master'!I275)</x:f>
        <x:v>Hilversum</x:v>
      </x:c>
      <x:c r="I275" s="28" t="str">
        <x:f>IF('Course_Master'!K275="","",'Course_Master'!K275)</x:f>
        <x:v>1222 AA</x:v>
      </x:c>
      <x:c r="J275" s="34" t="n">
        <x:f>IF('Course_Master'!L275="","",'Course_Master'!L275)</x:f>
        <x:v>52.25546657</x:v>
      </x:c>
      <x:c r="K275" s="34" t="n">
        <x:f>IF('Course_Master'!M275="","",'Course_Master'!M275)</x:f>
        <x:v>5.17100265</x:v>
      </x:c>
      <x:c r="L275" s="28" t="n">
        <x:f>IF('Course_Master'!S275="","",'Course_Master'!S275)</x:f>
        <x:v>9</x:v>
      </x:c>
      <x:c r="M275" s="28" t="n">
        <x:f>IF('Course_Master'!T275="","",'Course_Master'!T275)</x:f>
        <x:v>32</x:v>
      </x:c>
      <x:c r="N275" s="28" t="n">
        <x:f>IF('Course_Master'!Q275="","",'Course_Master'!Q275)</x:f>
        <x:v>2268</x:v>
      </x:c>
      <x:c r="O275" s="28" t="n">
        <x:f>IF('Course_Master'!R275="","",'Course_Master'!R275)</x:f>
        <x:v>2074</x:v>
      </x:c>
      <x:c r="P275" s="28" t="str">
        <x:f>IF('Course_Master'!U275="","",'Course_Master'!U275)</x:f>
        <x:v>Par-3/4 course</x:v>
      </x:c>
      <x:c r="Q275" s="28" t="str">
        <x:f>IF('Course_Master'!AD275="","",'Course_Master'!AD275)</x:f>
        <x:v>Public — handicap 54 or lower</x:v>
      </x:c>
      <x:c r="R275" s="28" t="str">
        <x:f>IF('Course_Master'!AC275="","",'Course_Master'!AC275)</x:f>
        <x:v>Open</x:v>
      </x:c>
      <x:c r="S275" s="28" t="str">
        <x:f>IF('Course_Master'!Y275="","",'Course_Master'!Y275)</x:f>
        <x:v>https://golfparkspandersbosch.nl/</x:v>
      </x:c>
      <x:c r="T275" s="28" t="b">
        <x:f>IF('Course_Master'!Z275="","",'Course_Master'!Z275)</x:f>
        <x:v>1</x:v>
      </x:c>
      <x:c r="U275" s="28" t="b">
        <x:f>IF('Course_Master'!AA275="","",'Course_Master'!AA275)</x:f>
        <x:v>1</x:v>
      </x:c>
      <x:c r="V275" s="28" t="str">
        <x:f>IF('Course_Master'!AL275="","",'Course_Master'!AL275)</x:f>
        <x:v>Verified — national register and exact BAG address</x:v>
      </x:c>
    </x:row>
    <x:row r="276">
      <x:c r="A276" s="28" t="str">
        <x:f>IF('Course_Master'!B276="","",'Course_Master'!B276)</x:f>
        <x:v>NL-0275</x:v>
      </x:c>
      <x:c r="B276" s="28" t="str">
        <x:f>IF('Course_Master'!C276="","",'Course_Master'!C276)</x:f>
        <x:v>Golfpark Spandersbosch — Crailoobaan</x:v>
      </x:c>
      <x:c r="C276" s="28" t="str">
        <x:f>IF('Course_Master'!D276="","",'Course_Master'!D276)</x:f>
        <x:v>Golfpark Spandersbosch</x:v>
      </x:c>
      <x:c r="D276" s="28" t="str">
        <x:f>IF('Course_Master'!E276="","",'Course_Master'!E276)</x:f>
        <x:v>Crailoobaan</x:v>
      </x:c>
      <x:c r="E276" s="28" t="str">
        <x:f>IF('Course_Master'!F276="","",'Course_Master'!F276)</x:f>
        <x:v>Netherlands</x:v>
      </x:c>
      <x:c r="F276" s="28" t="str">
        <x:f>IF('Course_Master'!G276="","",'Course_Master'!G276)</x:f>
        <x:v>Noord-Holland</x:v>
      </x:c>
      <x:c r="G276" s="28" t="str">
        <x:f>IF('Course_Master'!H276="","",'Course_Master'!H276)</x:f>
        <x:v>Hilversum</x:v>
      </x:c>
      <x:c r="H276" s="28" t="str">
        <x:f>IF('Course_Master'!I276="","",'Course_Master'!I276)</x:f>
        <x:v>Hilversum</x:v>
      </x:c>
      <x:c r="I276" s="28" t="str">
        <x:f>IF('Course_Master'!K276="","",'Course_Master'!K276)</x:f>
        <x:v>1222 AA</x:v>
      </x:c>
      <x:c r="J276" s="34" t="n">
        <x:f>IF('Course_Master'!L276="","",'Course_Master'!L276)</x:f>
        <x:v>52.25546657</x:v>
      </x:c>
      <x:c r="K276" s="34" t="n">
        <x:f>IF('Course_Master'!M276="","",'Course_Master'!M276)</x:f>
        <x:v>5.17100265</x:v>
      </x:c>
      <x:c r="L276" s="28" t="n">
        <x:f>IF('Course_Master'!S276="","",'Course_Master'!S276)</x:f>
        <x:v>9</x:v>
      </x:c>
      <x:c r="M276" s="28" t="n">
        <x:f>IF('Course_Master'!T276="","",'Course_Master'!T276)</x:f>
        <x:v>27</x:v>
      </x:c>
      <x:c r="N276" s="28" t="n">
        <x:f>IF('Course_Master'!Q276="","",'Course_Master'!Q276)</x:f>
        <x:v>1014</x:v>
      </x:c>
      <x:c r="O276" s="28" t="n">
        <x:f>IF('Course_Master'!R276="","",'Course_Master'!R276)</x:f>
        <x:v>927</x:v>
      </x:c>
      <x:c r="P276" s="28" t="str">
        <x:f>IF('Course_Master'!U276="","",'Course_Master'!U276)</x:f>
        <x:v>Par-3 course</x:v>
      </x:c>
      <x:c r="Q276" s="28" t="str">
        <x:f>IF('Course_Master'!AD276="","",'Course_Master'!AD276)</x:f>
        <x:v>Public — NGF course permission</x:v>
      </x:c>
      <x:c r="R276" s="28" t="str">
        <x:f>IF('Course_Master'!AC276="","",'Course_Master'!AC276)</x:f>
        <x:v>Open</x:v>
      </x:c>
      <x:c r="S276" s="28" t="str">
        <x:f>IF('Course_Master'!Y276="","",'Course_Master'!Y276)</x:f>
        <x:v>https://golfparkspandersbosch.nl/</x:v>
      </x:c>
      <x:c r="T276" s="28" t="b">
        <x:f>IF('Course_Master'!Z276="","",'Course_Master'!Z276)</x:f>
        <x:v>1</x:v>
      </x:c>
      <x:c r="U276" s="28" t="b">
        <x:f>IF('Course_Master'!AA276="","",'Course_Master'!AA276)</x:f>
        <x:v>1</x:v>
      </x:c>
      <x:c r="V276" s="28" t="str">
        <x:f>IF('Course_Master'!AL276="","",'Course_Master'!AL276)</x:f>
        <x:v>Verified — national register and exact BAG address</x:v>
      </x:c>
    </x:row>
    <x:row r="277">
      <x:c r="A277" s="28" t="str">
        <x:f>IF('Course_Master'!B277="","",'Course_Master'!B277)</x:f>
        <x:v>NL-0276</x:v>
      </x:c>
      <x:c r="B277" s="28" t="str">
        <x:f>IF('Course_Master'!C277="","",'Course_Master'!C277)</x:f>
        <x:v>Golfvereniging A.M.V.J. — Polderbaan</x:v>
      </x:c>
      <x:c r="C277" s="28" t="str">
        <x:f>IF('Course_Master'!D277="","",'Course_Master'!D277)</x:f>
        <x:v>Golfvereniging A.M.V.J.</x:v>
      </x:c>
      <x:c r="D277" s="28" t="str">
        <x:f>IF('Course_Master'!E277="","",'Course_Master'!E277)</x:f>
        <x:v>Polderbaan</x:v>
      </x:c>
      <x:c r="E277" s="28" t="str">
        <x:f>IF('Course_Master'!F277="","",'Course_Master'!F277)</x:f>
        <x:v>Netherlands</x:v>
      </x:c>
      <x:c r="F277" s="28" t="str">
        <x:f>IF('Course_Master'!G277="","",'Course_Master'!G277)</x:f>
        <x:v>Noord-Holland</x:v>
      </x:c>
      <x:c r="G277" s="28" t="str">
        <x:f>IF('Course_Master'!H277="","",'Course_Master'!H277)</x:f>
        <x:v>Amstelveen</x:v>
      </x:c>
      <x:c r="H277" s="28" t="str">
        <x:f>IF('Course_Master'!I277="","",'Course_Master'!I277)</x:f>
        <x:v>Amstelveen</x:v>
      </x:c>
      <x:c r="I277" s="28" t="str">
        <x:f>IF('Course_Master'!K277="","",'Course_Master'!K277)</x:f>
        <x:v>1183 SZ</x:v>
      </x:c>
      <x:c r="J277" s="34" t="n">
        <x:f>IF('Course_Master'!L277="","",'Course_Master'!L277)</x:f>
        <x:v>52.31905238</x:v>
      </x:c>
      <x:c r="K277" s="34" t="n">
        <x:f>IF('Course_Master'!M277="","",'Course_Master'!M277)</x:f>
        <x:v>4.88380792</x:v>
      </x:c>
      <x:c r="L277" s="28" t="n">
        <x:f>IF('Course_Master'!S277="","",'Course_Master'!S277)</x:f>
        <x:v>9</x:v>
      </x:c>
      <x:c r="M277" s="28" t="n">
        <x:f>IF('Course_Master'!T277="","",'Course_Master'!T277)</x:f>
        <x:v>28</x:v>
      </x:c>
      <x:c r="N277" s="28" t="n">
        <x:f>IF('Course_Master'!Q277="","",'Course_Master'!Q277)</x:f>
        <x:v>1312</x:v>
      </x:c>
      <x:c r="O277" s="28" t="n">
        <x:f>IF('Course_Master'!R277="","",'Course_Master'!R277)</x:f>
        <x:v>1200</x:v>
      </x:c>
      <x:c r="P277" s="28" t="str">
        <x:f>IF('Course_Master'!U277="","",'Course_Master'!U277)</x:f>
        <x:v>Par-3/4 course</x:v>
      </x:c>
      <x:c r="Q277" s="28" t="str">
        <x:f>IF('Course_Master'!AD277="","",'Course_Master'!AD277)</x:f>
        <x:v>Public — NGF course permission</x:v>
      </x:c>
      <x:c r="R277" s="28" t="str">
        <x:f>IF('Course_Master'!AC277="","",'Course_Master'!AC277)</x:f>
        <x:v>Open</x:v>
      </x:c>
      <x:c r="S277" s="28" t="str">
        <x:f>IF('Course_Master'!Y277="","",'Course_Master'!Y277)</x:f>
        <x:v>https://www.amvj-golf.nl/home/</x:v>
      </x:c>
      <x:c r="T277" s="28" t="b">
        <x:f>IF('Course_Master'!Z277="","",'Course_Master'!Z277)</x:f>
        <x:v>1</x:v>
      </x:c>
      <x:c r="U277" s="28" t="b">
        <x:f>IF('Course_Master'!AA277="","",'Course_Master'!AA277)</x:f>
        <x:v>1</x:v>
      </x:c>
      <x:c r="V277" s="28" t="str">
        <x:f>IF('Course_Master'!AL277="","",'Course_Master'!AL277)</x:f>
        <x:v>Verified — national register and exact BAG address</x:v>
      </x:c>
    </x:row>
    <x:row r="278">
      <x:c r="A278" s="28" t="str">
        <x:f>IF('Course_Master'!B278="","",'Course_Master'!B278)</x:f>
        <x:v>NL-0277</x:v>
      </x:c>
      <x:c r="B278" s="28" t="str">
        <x:f>IF('Course_Master'!C278="","",'Course_Master'!C278)</x:f>
        <x:v>Golfvereniging A.M.V.J. — Veldenbaan</x:v>
      </x:c>
      <x:c r="C278" s="28" t="str">
        <x:f>IF('Course_Master'!D278="","",'Course_Master'!D278)</x:f>
        <x:v>Golfvereniging A.M.V.J.</x:v>
      </x:c>
      <x:c r="D278" s="28" t="str">
        <x:f>IF('Course_Master'!E278="","",'Course_Master'!E278)</x:f>
        <x:v>Veldenbaan</x:v>
      </x:c>
      <x:c r="E278" s="28" t="str">
        <x:f>IF('Course_Master'!F278="","",'Course_Master'!F278)</x:f>
        <x:v>Netherlands</x:v>
      </x:c>
      <x:c r="F278" s="28" t="str">
        <x:f>IF('Course_Master'!G278="","",'Course_Master'!G278)</x:f>
        <x:v>Noord-Holland</x:v>
      </x:c>
      <x:c r="G278" s="28" t="str">
        <x:f>IF('Course_Master'!H278="","",'Course_Master'!H278)</x:f>
        <x:v>Amstelveen</x:v>
      </x:c>
      <x:c r="H278" s="28" t="str">
        <x:f>IF('Course_Master'!I278="","",'Course_Master'!I278)</x:f>
        <x:v>Amstelveen</x:v>
      </x:c>
      <x:c r="I278" s="28" t="str">
        <x:f>IF('Course_Master'!K278="","",'Course_Master'!K278)</x:f>
        <x:v>1183 SZ</x:v>
      </x:c>
      <x:c r="J278" s="34" t="n">
        <x:f>IF('Course_Master'!L278="","",'Course_Master'!L278)</x:f>
        <x:v>52.31905238</x:v>
      </x:c>
      <x:c r="K278" s="34" t="n">
        <x:f>IF('Course_Master'!M278="","",'Course_Master'!M278)</x:f>
        <x:v>4.88380792</x:v>
      </x:c>
      <x:c r="L278" s="28" t="n">
        <x:f>IF('Course_Master'!S278="","",'Course_Master'!S278)</x:f>
        <x:v>9</x:v>
      </x:c>
      <x:c r="M278" s="28" t="n">
        <x:f>IF('Course_Master'!T278="","",'Course_Master'!T278)</x:f>
        <x:v>27</x:v>
      </x:c>
      <x:c r="N278" s="28" t="n">
        <x:f>IF('Course_Master'!Q278="","",'Course_Master'!Q278)</x:f>
        <x:v>1623</x:v>
      </x:c>
      <x:c r="O278" s="28" t="n">
        <x:f>IF('Course_Master'!R278="","",'Course_Master'!R278)</x:f>
        <x:v>1484</x:v>
      </x:c>
      <x:c r="P278" s="28" t="str">
        <x:f>IF('Course_Master'!U278="","",'Course_Master'!U278)</x:f>
        <x:v>Par-3 course</x:v>
      </x:c>
      <x:c r="Q278" s="28" t="str">
        <x:f>IF('Course_Master'!AD278="","",'Course_Master'!AD278)</x:f>
        <x:v>Public — NGF course permission</x:v>
      </x:c>
      <x:c r="R278" s="28" t="str">
        <x:f>IF('Course_Master'!AC278="","",'Course_Master'!AC278)</x:f>
        <x:v>Open</x:v>
      </x:c>
      <x:c r="S278" s="28" t="str">
        <x:f>IF('Course_Master'!Y278="","",'Course_Master'!Y278)</x:f>
        <x:v>https://www.amvj-golf.nl/home/</x:v>
      </x:c>
      <x:c r="T278" s="28" t="b">
        <x:f>IF('Course_Master'!Z278="","",'Course_Master'!Z278)</x:f>
        <x:v>1</x:v>
      </x:c>
      <x:c r="U278" s="28" t="b">
        <x:f>IF('Course_Master'!AA278="","",'Course_Master'!AA278)</x:f>
        <x:v>1</x:v>
      </x:c>
      <x:c r="V278" s="28" t="str">
        <x:f>IF('Course_Master'!AL278="","",'Course_Master'!AL278)</x:f>
        <x:v>Verified — national register and exact BAG address</x:v>
      </x:c>
    </x:row>
    <x:row r="279">
      <x:c r="A279" s="28" t="str">
        <x:f>IF('Course_Master'!B279="","",'Course_Master'!B279)</x:f>
        <x:v>NL-0278</x:v>
      </x:c>
      <x:c r="B279" s="28" t="str">
        <x:f>IF('Course_Master'!C279="","",'Course_Master'!C279)</x:f>
        <x:v>Haarlemmermeersche Golfclub — Bolstra</x:v>
      </x:c>
      <x:c r="C279" s="28" t="str">
        <x:f>IF('Course_Master'!D279="","",'Course_Master'!D279)</x:f>
        <x:v>Haarlemmermeersche Golfclub</x:v>
      </x:c>
      <x:c r="D279" s="28" t="str">
        <x:f>IF('Course_Master'!E279="","",'Course_Master'!E279)</x:f>
        <x:v>Bolstra</x:v>
      </x:c>
      <x:c r="E279" s="28" t="str">
        <x:f>IF('Course_Master'!F279="","",'Course_Master'!F279)</x:f>
        <x:v>Netherlands</x:v>
      </x:c>
      <x:c r="F279" s="28" t="str">
        <x:f>IF('Course_Master'!G279="","",'Course_Master'!G279)</x:f>
        <x:v>Noord-Holland</x:v>
      </x:c>
      <x:c r="G279" s="28" t="str">
        <x:f>IF('Course_Master'!H279="","",'Course_Master'!H279)</x:f>
        <x:v>Haarlemmermeer</x:v>
      </x:c>
      <x:c r="H279" s="28" t="str">
        <x:f>IF('Course_Master'!I279="","",'Course_Master'!I279)</x:f>
        <x:v>Cruquius</x:v>
      </x:c>
      <x:c r="I279" s="28" t="str">
        <x:f>IF('Course_Master'!K279="","",'Course_Master'!K279)</x:f>
        <x:v>2142 ED</x:v>
      </x:c>
      <x:c r="J279" s="34" t="n">
        <x:f>IF('Course_Master'!L279="","",'Course_Master'!L279)</x:f>
        <x:v>52.33830617</x:v>
      </x:c>
      <x:c r="K279" s="34" t="n">
        <x:f>IF('Course_Master'!M279="","",'Course_Master'!M279)</x:f>
        <x:v>4.6575458</x:v>
      </x:c>
      <x:c r="L279" s="28" t="n">
        <x:f>IF('Course_Master'!S279="","",'Course_Master'!S279)</x:f>
        <x:v>9</x:v>
      </x:c>
      <x:c r="M279" s="28" t="n">
        <x:f>IF('Course_Master'!T279="","",'Course_Master'!T279)</x:f>
        <x:v>27</x:v>
      </x:c>
      <x:c r="N279" s="28" t="n">
        <x:f>IF('Course_Master'!Q279="","",'Course_Master'!Q279)</x:f>
        <x:v>1102</x:v>
      </x:c>
      <x:c r="O279" s="28" t="n">
        <x:f>IF('Course_Master'!R279="","",'Course_Master'!R279)</x:f>
        <x:v>1008</x:v>
      </x:c>
      <x:c r="P279" s="28" t="str">
        <x:f>IF('Course_Master'!U279="","",'Course_Master'!U279)</x:f>
        <x:v>Par-3 course</x:v>
      </x:c>
      <x:c r="Q279" s="28" t="str">
        <x:f>IF('Course_Master'!AD279="","",'Course_Master'!AD279)</x:f>
        <x:v>Public — NGF course permission</x:v>
      </x:c>
      <x:c r="R279" s="28" t="str">
        <x:f>IF('Course_Master'!AC279="","",'Course_Master'!AC279)</x:f>
        <x:v>Open</x:v>
      </x:c>
      <x:c r="S279" s="28" t="str">
        <x:f>IF('Course_Master'!Y279="","",'Course_Master'!Y279)</x:f>
        <x:v>https://www.hgcgolf.nl/</x:v>
      </x:c>
      <x:c r="T279" s="28" t="b">
        <x:f>IF('Course_Master'!Z279="","",'Course_Master'!Z279)</x:f>
        <x:v>1</x:v>
      </x:c>
      <x:c r="U279" s="28" t="b">
        <x:f>IF('Course_Master'!AA279="","",'Course_Master'!AA279)</x:f>
        <x:v>1</x:v>
      </x:c>
      <x:c r="V279" s="28" t="str">
        <x:f>IF('Course_Master'!AL279="","",'Course_Master'!AL279)</x:f>
        <x:v>Verified — national register and exact BAG address</x:v>
      </x:c>
    </x:row>
    <x:row r="280">
      <x:c r="A280" s="28" t="str">
        <x:f>IF('Course_Master'!B280="","",'Course_Master'!B280)</x:f>
        <x:v>NL-0279</x:v>
      </x:c>
      <x:c r="B280" s="28" t="str">
        <x:f>IF('Course_Master'!C280="","",'Course_Master'!C280)</x:f>
        <x:v>Haarlemmermeersche Golfclub — Cruquius</x:v>
      </x:c>
      <x:c r="C280" s="28" t="str">
        <x:f>IF('Course_Master'!D280="","",'Course_Master'!D280)</x:f>
        <x:v>Haarlemmermeersche Golfclub</x:v>
      </x:c>
      <x:c r="D280" s="28" t="str">
        <x:f>IF('Course_Master'!E280="","",'Course_Master'!E280)</x:f>
        <x:v>Cruquius</x:v>
      </x:c>
      <x:c r="E280" s="28" t="str">
        <x:f>IF('Course_Master'!F280="","",'Course_Master'!F280)</x:f>
        <x:v>Netherlands</x:v>
      </x:c>
      <x:c r="F280" s="28" t="str">
        <x:f>IF('Course_Master'!G280="","",'Course_Master'!G280)</x:f>
        <x:v>Noord-Holland</x:v>
      </x:c>
      <x:c r="G280" s="28" t="str">
        <x:f>IF('Course_Master'!H280="","",'Course_Master'!H280)</x:f>
        <x:v>Haarlemmermeer</x:v>
      </x:c>
      <x:c r="H280" s="28" t="str">
        <x:f>IF('Course_Master'!I280="","",'Course_Master'!I280)</x:f>
        <x:v>Cruquius</x:v>
      </x:c>
      <x:c r="I280" s="28" t="str">
        <x:f>IF('Course_Master'!K280="","",'Course_Master'!K280)</x:f>
        <x:v>2142 ED</x:v>
      </x:c>
      <x:c r="J280" s="34" t="n">
        <x:f>IF('Course_Master'!L280="","",'Course_Master'!L280)</x:f>
        <x:v>52.33830617</x:v>
      </x:c>
      <x:c r="K280" s="34" t="n">
        <x:f>IF('Course_Master'!M280="","",'Course_Master'!M280)</x:f>
        <x:v>4.6575458</x:v>
      </x:c>
      <x:c r="L280" s="28" t="n">
        <x:f>IF('Course_Master'!S280="","",'Course_Master'!S280)</x:f>
        <x:v>9</x:v>
      </x:c>
      <x:c r="M280" s="28" t="n">
        <x:f>IF('Course_Master'!T280="","",'Course_Master'!T280)</x:f>
        <x:v>35</x:v>
      </x:c>
      <x:c r="N280" s="28" t="n">
        <x:f>IF('Course_Master'!Q280="","",'Course_Master'!Q280)</x:f>
        <x:v>2907</x:v>
      </x:c>
      <x:c r="O280" s="28" t="n">
        <x:f>IF('Course_Master'!R280="","",'Course_Master'!R280)</x:f>
        <x:v>2658</x:v>
      </x:c>
      <x:c r="P280" s="28" t="str">
        <x:f>IF('Course_Master'!U280="","",'Course_Master'!U280)</x:f>
        <x:v>Full-length course</x:v>
      </x:c>
      <x:c r="Q280" s="28" t="str">
        <x:f>IF('Course_Master'!AD280="","",'Course_Master'!AD280)</x:f>
        <x:v>Public — handicap 54 or lower</x:v>
      </x:c>
      <x:c r="R280" s="28" t="str">
        <x:f>IF('Course_Master'!AC280="","",'Course_Master'!AC280)</x:f>
        <x:v>Open</x:v>
      </x:c>
      <x:c r="S280" s="28" t="str">
        <x:f>IF('Course_Master'!Y280="","",'Course_Master'!Y280)</x:f>
        <x:v>https://www.hgcgolf.nl/</x:v>
      </x:c>
      <x:c r="T280" s="28" t="b">
        <x:f>IF('Course_Master'!Z280="","",'Course_Master'!Z280)</x:f>
        <x:v>1</x:v>
      </x:c>
      <x:c r="U280" s="28" t="b">
        <x:f>IF('Course_Master'!AA280="","",'Course_Master'!AA280)</x:f>
        <x:v>1</x:v>
      </x:c>
      <x:c r="V280" s="28" t="str">
        <x:f>IF('Course_Master'!AL280="","",'Course_Master'!AL280)</x:f>
        <x:v>Verified — national register and exact BAG address</x:v>
      </x:c>
    </x:row>
    <x:row r="281">
      <x:c r="A281" s="28" t="str">
        <x:f>IF('Course_Master'!B281="","",'Course_Master'!B281)</x:f>
        <x:v>NL-0280</x:v>
      </x:c>
      <x:c r="B281" s="28" t="str">
        <x:f>IF('Course_Master'!C281="","",'Course_Master'!C281)</x:f>
        <x:v>Haarlemmermeersche Golfclub — Leeghwater</x:v>
      </x:c>
      <x:c r="C281" s="28" t="str">
        <x:f>IF('Course_Master'!D281="","",'Course_Master'!D281)</x:f>
        <x:v>Haarlemmermeersche Golfclub</x:v>
      </x:c>
      <x:c r="D281" s="28" t="str">
        <x:f>IF('Course_Master'!E281="","",'Course_Master'!E281)</x:f>
        <x:v>Leeghwater</x:v>
      </x:c>
      <x:c r="E281" s="28" t="str">
        <x:f>IF('Course_Master'!F281="","",'Course_Master'!F281)</x:f>
        <x:v>Netherlands</x:v>
      </x:c>
      <x:c r="F281" s="28" t="str">
        <x:f>IF('Course_Master'!G281="","",'Course_Master'!G281)</x:f>
        <x:v>Noord-Holland</x:v>
      </x:c>
      <x:c r="G281" s="28" t="str">
        <x:f>IF('Course_Master'!H281="","",'Course_Master'!H281)</x:f>
        <x:v>Haarlemmermeer</x:v>
      </x:c>
      <x:c r="H281" s="28" t="str">
        <x:f>IF('Course_Master'!I281="","",'Course_Master'!I281)</x:f>
        <x:v>Cruquius</x:v>
      </x:c>
      <x:c r="I281" s="28" t="str">
        <x:f>IF('Course_Master'!K281="","",'Course_Master'!K281)</x:f>
        <x:v>2142 ED</x:v>
      </x:c>
      <x:c r="J281" s="34" t="n">
        <x:f>IF('Course_Master'!L281="","",'Course_Master'!L281)</x:f>
        <x:v>52.33830617</x:v>
      </x:c>
      <x:c r="K281" s="34" t="n">
        <x:f>IF('Course_Master'!M281="","",'Course_Master'!M281)</x:f>
        <x:v>4.6575458</x:v>
      </x:c>
      <x:c r="L281" s="28" t="n">
        <x:f>IF('Course_Master'!S281="","",'Course_Master'!S281)</x:f>
        <x:v>9</x:v>
      </x:c>
      <x:c r="M281" s="28" t="n">
        <x:f>IF('Course_Master'!T281="","",'Course_Master'!T281)</x:f>
        <x:v>36</x:v>
      </x:c>
      <x:c r="N281" s="28" t="n">
        <x:f>IF('Course_Master'!Q281="","",'Course_Master'!Q281)</x:f>
        <x:v>3226</x:v>
      </x:c>
      <x:c r="O281" s="28" t="n">
        <x:f>IF('Course_Master'!R281="","",'Course_Master'!R281)</x:f>
        <x:v>2950</x:v>
      </x:c>
      <x:c r="P281" s="28" t="str">
        <x:f>IF('Course_Master'!U281="","",'Course_Master'!U281)</x:f>
        <x:v>Full-length course</x:v>
      </x:c>
      <x:c r="Q281" s="28" t="str">
        <x:f>IF('Course_Master'!AD281="","",'Course_Master'!AD281)</x:f>
        <x:v>Public — handicap 54 or lower</x:v>
      </x:c>
      <x:c r="R281" s="28" t="str">
        <x:f>IF('Course_Master'!AC281="","",'Course_Master'!AC281)</x:f>
        <x:v>Open</x:v>
      </x:c>
      <x:c r="S281" s="28" t="str">
        <x:f>IF('Course_Master'!Y281="","",'Course_Master'!Y281)</x:f>
        <x:v>https://www.hgcgolf.nl/</x:v>
      </x:c>
      <x:c r="T281" s="28" t="b">
        <x:f>IF('Course_Master'!Z281="","",'Course_Master'!Z281)</x:f>
        <x:v>1</x:v>
      </x:c>
      <x:c r="U281" s="28" t="b">
        <x:f>IF('Course_Master'!AA281="","",'Course_Master'!AA281)</x:f>
        <x:v>1</x:v>
      </x:c>
      <x:c r="V281" s="28" t="str">
        <x:f>IF('Course_Master'!AL281="","",'Course_Master'!AL281)</x:f>
        <x:v>Verified — national register and exact BAG address</x:v>
      </x:c>
    </x:row>
    <x:row r="282">
      <x:c r="A282" s="28" t="str">
        <x:f>IF('Course_Master'!B282="","",'Course_Master'!B282)</x:f>
        <x:v>NL-0281</x:v>
      </x:c>
      <x:c r="B282" s="28" t="str">
        <x:f>IF('Course_Master'!C282="","",'Course_Master'!C282)</x:f>
        <x:v>Haarlemmermeersche Golfclub — Lynden</x:v>
      </x:c>
      <x:c r="C282" s="28" t="str">
        <x:f>IF('Course_Master'!D282="","",'Course_Master'!D282)</x:f>
        <x:v>Haarlemmermeersche Golfclub</x:v>
      </x:c>
      <x:c r="D282" s="28" t="str">
        <x:f>IF('Course_Master'!E282="","",'Course_Master'!E282)</x:f>
        <x:v>Lynden</x:v>
      </x:c>
      <x:c r="E282" s="28" t="str">
        <x:f>IF('Course_Master'!F282="","",'Course_Master'!F282)</x:f>
        <x:v>Netherlands</x:v>
      </x:c>
      <x:c r="F282" s="28" t="str">
        <x:f>IF('Course_Master'!G282="","",'Course_Master'!G282)</x:f>
        <x:v>Noord-Holland</x:v>
      </x:c>
      <x:c r="G282" s="28" t="str">
        <x:f>IF('Course_Master'!H282="","",'Course_Master'!H282)</x:f>
        <x:v>Haarlemmermeer</x:v>
      </x:c>
      <x:c r="H282" s="28" t="str">
        <x:f>IF('Course_Master'!I282="","",'Course_Master'!I282)</x:f>
        <x:v>Cruquius</x:v>
      </x:c>
      <x:c r="I282" s="28" t="str">
        <x:f>IF('Course_Master'!K282="","",'Course_Master'!K282)</x:f>
        <x:v>2142 ED</x:v>
      </x:c>
      <x:c r="J282" s="34" t="n">
        <x:f>IF('Course_Master'!L282="","",'Course_Master'!L282)</x:f>
        <x:v>52.33830617</x:v>
      </x:c>
      <x:c r="K282" s="34" t="n">
        <x:f>IF('Course_Master'!M282="","",'Course_Master'!M282)</x:f>
        <x:v>4.6575458</x:v>
      </x:c>
      <x:c r="L282" s="28" t="n">
        <x:f>IF('Course_Master'!S282="","",'Course_Master'!S282)</x:f>
        <x:v>9</x:v>
      </x:c>
      <x:c r="M282" s="28" t="n">
        <x:f>IF('Course_Master'!T282="","",'Course_Master'!T282)</x:f>
        <x:v>37</x:v>
      </x:c>
      <x:c r="N282" s="28" t="n">
        <x:f>IF('Course_Master'!Q282="","",'Course_Master'!Q282)</x:f>
        <x:v>3255</x:v>
      </x:c>
      <x:c r="O282" s="28" t="n">
        <x:f>IF('Course_Master'!R282="","",'Course_Master'!R282)</x:f>
        <x:v>2976</x:v>
      </x:c>
      <x:c r="P282" s="28" t="str">
        <x:f>IF('Course_Master'!U282="","",'Course_Master'!U282)</x:f>
        <x:v>Full-length course</x:v>
      </x:c>
      <x:c r="Q282" s="28" t="str">
        <x:f>IF('Course_Master'!AD282="","",'Course_Master'!AD282)</x:f>
        <x:v>Public — handicap 54 or lower</x:v>
      </x:c>
      <x:c r="R282" s="28" t="str">
        <x:f>IF('Course_Master'!AC282="","",'Course_Master'!AC282)</x:f>
        <x:v>Open</x:v>
      </x:c>
      <x:c r="S282" s="28" t="str">
        <x:f>IF('Course_Master'!Y282="","",'Course_Master'!Y282)</x:f>
        <x:v>https://www.hgcgolf.nl/</x:v>
      </x:c>
      <x:c r="T282" s="28" t="b">
        <x:f>IF('Course_Master'!Z282="","",'Course_Master'!Z282)</x:f>
        <x:v>1</x:v>
      </x:c>
      <x:c r="U282" s="28" t="b">
        <x:f>IF('Course_Master'!AA282="","",'Course_Master'!AA282)</x:f>
        <x:v>1</x:v>
      </x:c>
      <x:c r="V282" s="28" t="str">
        <x:f>IF('Course_Master'!AL282="","",'Course_Master'!AL282)</x:f>
        <x:v>Verified — national register and exact BAG address</x:v>
      </x:c>
    </x:row>
    <x:row r="283">
      <x:c r="A283" s="28" t="str">
        <x:f>IF('Course_Master'!B283="","",'Course_Master'!B283)</x:f>
        <x:v>NL-0282</x:v>
      </x:c>
      <x:c r="B283" s="28" t="str">
        <x:f>IF('Course_Master'!C283="","",'Course_Master'!C283)</x:f>
        <x:v>Heemskerkse Golfclub — Main Course</x:v>
      </x:c>
      <x:c r="C283" s="28" t="str">
        <x:f>IF('Course_Master'!D283="","",'Course_Master'!D283)</x:f>
        <x:v>Heemskerkse Golfclub</x:v>
      </x:c>
      <x:c r="D283" s="28" t="str">
        <x:f>IF('Course_Master'!E283="","",'Course_Master'!E283)</x:f>
        <x:v>Main Course</x:v>
      </x:c>
      <x:c r="E283" s="28" t="str">
        <x:f>IF('Course_Master'!F283="","",'Course_Master'!F283)</x:f>
        <x:v>Netherlands</x:v>
      </x:c>
      <x:c r="F283" s="28" t="str">
        <x:f>IF('Course_Master'!G283="","",'Course_Master'!G283)</x:f>
        <x:v>Noord-Holland</x:v>
      </x:c>
      <x:c r="G283" s="28" t="str">
        <x:f>IF('Course_Master'!H283="","",'Course_Master'!H283)</x:f>
        <x:v>Heemskerk</x:v>
      </x:c>
      <x:c r="H283" s="28" t="str">
        <x:f>IF('Course_Master'!I283="","",'Course_Master'!I283)</x:f>
        <x:v>Heemskerk</x:v>
      </x:c>
      <x:c r="I283" s="28" t="str">
        <x:f>IF('Course_Master'!K283="","",'Course_Master'!K283)</x:f>
        <x:v>1967 PR</x:v>
      </x:c>
      <x:c r="J283" s="34" t="n">
        <x:f>IF('Course_Master'!L283="","",'Course_Master'!L283)</x:f>
        <x:v>52.49640814</x:v>
      </x:c>
      <x:c r="K283" s="34" t="n">
        <x:f>IF('Course_Master'!M283="","",'Course_Master'!M283)</x:f>
        <x:v>4.7102557</x:v>
      </x:c>
      <x:c r="L283" s="28" t="n">
        <x:f>IF('Course_Master'!S283="","",'Course_Master'!S283)</x:f>
        <x:v>18</x:v>
      </x:c>
      <x:c r="M283" s="28" t="n">
        <x:f>IF('Course_Master'!T283="","",'Course_Master'!T283)</x:f>
        <x:v>72</x:v>
      </x:c>
      <x:c r="N283" s="28" t="n">
        <x:f>IF('Course_Master'!Q283="","",'Course_Master'!Q283)</x:f>
        <x:v>6947</x:v>
      </x:c>
      <x:c r="O283" s="28" t="n">
        <x:f>IF('Course_Master'!R283="","",'Course_Master'!R283)</x:f>
        <x:v>6352</x:v>
      </x:c>
      <x:c r="P283" s="28" t="str">
        <x:f>IF('Course_Master'!U283="","",'Course_Master'!U283)</x:f>
        <x:v>Full-length course</x:v>
      </x:c>
      <x:c r="Q283" s="28" t="str">
        <x:f>IF('Course_Master'!AD283="","",'Course_Master'!AD283)</x:f>
        <x:v>Public — handicap 54 or lower</x:v>
      </x:c>
      <x:c r="R283" s="28" t="str">
        <x:f>IF('Course_Master'!AC283="","",'Course_Master'!AC283)</x:f>
        <x:v>Open</x:v>
      </x:c>
      <x:c r="S283" s="28" t="str">
        <x:f>IF('Course_Master'!Y283="","",'Course_Master'!Y283)</x:f>
        <x:v>https://www.heemskerksegolfclub.nl/</x:v>
      </x:c>
      <x:c r="T283" s="28" t="b">
        <x:f>IF('Course_Master'!Z283="","",'Course_Master'!Z283)</x:f>
        <x:v>1</x:v>
      </x:c>
      <x:c r="U283" s="28" t="b">
        <x:f>IF('Course_Master'!AA283="","",'Course_Master'!AA283)</x:f>
        <x:v>1</x:v>
      </x:c>
      <x:c r="V283" s="28" t="str">
        <x:f>IF('Course_Master'!AL283="","",'Course_Master'!AL283)</x:f>
        <x:v>Verified — national register and exact BAG address</x:v>
      </x:c>
    </x:row>
    <x:row r="284">
      <x:c r="A284" s="28" t="str">
        <x:f>IF('Course_Master'!B284="","",'Course_Master'!B284)</x:f>
        <x:v>NL-0283</x:v>
      </x:c>
      <x:c r="B284" s="28" t="str">
        <x:f>IF('Course_Master'!C284="","",'Course_Master'!C284)</x:f>
        <x:v>Heemskerkse Golfclub — Par-3 Course</x:v>
      </x:c>
      <x:c r="C284" s="28" t="str">
        <x:f>IF('Course_Master'!D284="","",'Course_Master'!D284)</x:f>
        <x:v>Heemskerkse Golfclub</x:v>
      </x:c>
      <x:c r="D284" s="28" t="str">
        <x:f>IF('Course_Master'!E284="","",'Course_Master'!E284)</x:f>
        <x:v>Par-3 Course</x:v>
      </x:c>
      <x:c r="E284" s="28" t="str">
        <x:f>IF('Course_Master'!F284="","",'Course_Master'!F284)</x:f>
        <x:v>Netherlands</x:v>
      </x:c>
      <x:c r="F284" s="28" t="str">
        <x:f>IF('Course_Master'!G284="","",'Course_Master'!G284)</x:f>
        <x:v>Noord-Holland</x:v>
      </x:c>
      <x:c r="G284" s="28" t="str">
        <x:f>IF('Course_Master'!H284="","",'Course_Master'!H284)</x:f>
        <x:v>Heemskerk</x:v>
      </x:c>
      <x:c r="H284" s="28" t="str">
        <x:f>IF('Course_Master'!I284="","",'Course_Master'!I284)</x:f>
        <x:v>Heemskerk</x:v>
      </x:c>
      <x:c r="I284" s="28" t="str">
        <x:f>IF('Course_Master'!K284="","",'Course_Master'!K284)</x:f>
        <x:v>1967 PR</x:v>
      </x:c>
      <x:c r="J284" s="34" t="n">
        <x:f>IF('Course_Master'!L284="","",'Course_Master'!L284)</x:f>
        <x:v>52.49640814</x:v>
      </x:c>
      <x:c r="K284" s="34" t="n">
        <x:f>IF('Course_Master'!M284="","",'Course_Master'!M284)</x:f>
        <x:v>4.7102557</x:v>
      </x:c>
      <x:c r="L284" s="28" t="n">
        <x:f>IF('Course_Master'!S284="","",'Course_Master'!S284)</x:f>
        <x:v>9</x:v>
      </x:c>
      <x:c r="M284" s="28" t="n">
        <x:f>IF('Course_Master'!T284="","",'Course_Master'!T284)</x:f>
        <x:v>27</x:v>
      </x:c>
      <x:c r="N284" s="28" t="n">
        <x:f>IF('Course_Master'!Q284="","",'Course_Master'!Q284)</x:f>
        <x:v>1182</x:v>
      </x:c>
      <x:c r="O284" s="28" t="n">
        <x:f>IF('Course_Master'!R284="","",'Course_Master'!R284)</x:f>
        <x:v>1081</x:v>
      </x:c>
      <x:c r="P284" s="28" t="str">
        <x:f>IF('Course_Master'!U284="","",'Course_Master'!U284)</x:f>
        <x:v>Par-3 course</x:v>
      </x:c>
      <x:c r="Q284" s="28" t="str">
        <x:f>IF('Course_Master'!AD284="","",'Course_Master'!AD284)</x:f>
        <x:v>Public — no playing requirement</x:v>
      </x:c>
      <x:c r="R284" s="28" t="str">
        <x:f>IF('Course_Master'!AC284="","",'Course_Master'!AC284)</x:f>
        <x:v>Open</x:v>
      </x:c>
      <x:c r="S284" s="28" t="str">
        <x:f>IF('Course_Master'!Y284="","",'Course_Master'!Y284)</x:f>
        <x:v>https://www.heemskerksegolfclub.nl/</x:v>
      </x:c>
      <x:c r="T284" s="28" t="b">
        <x:f>IF('Course_Master'!Z284="","",'Course_Master'!Z284)</x:f>
        <x:v>1</x:v>
      </x:c>
      <x:c r="U284" s="28" t="b">
        <x:f>IF('Course_Master'!AA284="","",'Course_Master'!AA284)</x:f>
        <x:v>1</x:v>
      </x:c>
      <x:c r="V284" s="28" t="str">
        <x:f>IF('Course_Master'!AL284="","",'Course_Master'!AL284)</x:f>
        <x:v>Verified — national register and exact BAG address</x:v>
      </x:c>
    </x:row>
    <x:row r="285">
      <x:c r="A285" s="28" t="str">
        <x:f>IF('Course_Master'!B285="","",'Course_Master'!B285)</x:f>
        <x:v>NL-0284</x:v>
      </x:c>
      <x:c r="B285" s="28" t="str">
        <x:f>IF('Course_Master'!C285="","",'Course_Master'!C285)</x:f>
        <x:v>Hilversumsche Golf Club — Main Course</x:v>
      </x:c>
      <x:c r="C285" s="28" t="str">
        <x:f>IF('Course_Master'!D285="","",'Course_Master'!D285)</x:f>
        <x:v>Hilversumsche Golf Club</x:v>
      </x:c>
      <x:c r="D285" s="28" t="str">
        <x:f>IF('Course_Master'!E285="","",'Course_Master'!E285)</x:f>
        <x:v>Main Course</x:v>
      </x:c>
      <x:c r="E285" s="28" t="str">
        <x:f>IF('Course_Master'!F285="","",'Course_Master'!F285)</x:f>
        <x:v>Netherlands</x:v>
      </x:c>
      <x:c r="F285" s="28" t="str">
        <x:f>IF('Course_Master'!G285="","",'Course_Master'!G285)</x:f>
        <x:v>Noord-Holland</x:v>
      </x:c>
      <x:c r="G285" s="28" t="str">
        <x:f>IF('Course_Master'!H285="","",'Course_Master'!H285)</x:f>
        <x:v>Hilversum</x:v>
      </x:c>
      <x:c r="H285" s="28" t="str">
        <x:f>IF('Course_Master'!I285="","",'Course_Master'!I285)</x:f>
        <x:v>Hilversum</x:v>
      </x:c>
      <x:c r="I285" s="28" t="str">
        <x:f>IF('Course_Master'!K285="","",'Course_Master'!K285)</x:f>
        <x:v>1213 XJ</x:v>
      </x:c>
      <x:c r="J285" s="34" t="n">
        <x:f>IF('Course_Master'!L285="","",'Course_Master'!L285)</x:f>
        <x:v>52.20611302</x:v>
      </x:c>
      <x:c r="K285" s="34" t="n">
        <x:f>IF('Course_Master'!M285="","",'Course_Master'!M285)</x:f>
        <x:v>5.20920557</x:v>
      </x:c>
      <x:c r="L285" s="28" t="n">
        <x:f>IF('Course_Master'!S285="","",'Course_Master'!S285)</x:f>
        <x:v>18</x:v>
      </x:c>
      <x:c r="M285" s="28" t="n">
        <x:f>IF('Course_Master'!T285="","",'Course_Master'!T285)</x:f>
        <x:v>72</x:v>
      </x:c>
      <x:c r="N285" s="28" t="n">
        <x:f>IF('Course_Master'!Q285="","",'Course_Master'!Q285)</x:f>
        <x:v>6893</x:v>
      </x:c>
      <x:c r="O285" s="28" t="n">
        <x:f>IF('Course_Master'!R285="","",'Course_Master'!R285)</x:f>
        <x:v>6303</x:v>
      </x:c>
      <x:c r="P285" s="28" t="str">
        <x:f>IF('Course_Master'!U285="","",'Course_Master'!U285)</x:f>
        <x:v>Full-length course</x:v>
      </x:c>
      <x:c r="Q285" s="28" t="str">
        <x:f>IF('Course_Master'!AD285="","",'Course_Master'!AD285)</x:f>
        <x:v>Public — handicap 24 or lower</x:v>
      </x:c>
      <x:c r="R285" s="28" t="str">
        <x:f>IF('Course_Master'!AC285="","",'Course_Master'!AC285)</x:f>
        <x:v>Open</x:v>
      </x:c>
      <x:c r="S285" s="28" t="str">
        <x:f>IF('Course_Master'!Y285="","",'Course_Master'!Y285)</x:f>
        <x:v>https://www.hilversumschegolfclub.nl/</x:v>
      </x:c>
      <x:c r="T285" s="28" t="b">
        <x:f>IF('Course_Master'!Z285="","",'Course_Master'!Z285)</x:f>
        <x:v>1</x:v>
      </x:c>
      <x:c r="U285" s="28" t="b">
        <x:f>IF('Course_Master'!AA285="","",'Course_Master'!AA285)</x:f>
        <x:v>1</x:v>
      </x:c>
      <x:c r="V285" s="28" t="str">
        <x:f>IF('Course_Master'!AL285="","",'Course_Master'!AL285)</x:f>
        <x:v>Verified — national register and exact BAG address</x:v>
      </x:c>
    </x:row>
    <x:row r="286">
      <x:c r="A286" s="28" t="str">
        <x:f>IF('Course_Master'!B286="","",'Course_Master'!B286)</x:f>
        <x:v>NL-0285</x:v>
      </x:c>
      <x:c r="B286" s="28" t="str">
        <x:f>IF('Course_Master'!C286="","",'Course_Master'!C286)</x:f>
        <x:v>Kennemer Golf &amp; Country Club — A-course</x:v>
      </x:c>
      <x:c r="C286" s="28" t="str">
        <x:f>IF('Course_Master'!D286="","",'Course_Master'!D286)</x:f>
        <x:v>Kennemer Golf &amp; Country Club</x:v>
      </x:c>
      <x:c r="D286" s="28" t="str">
        <x:f>IF('Course_Master'!E286="","",'Course_Master'!E286)</x:f>
        <x:v>A-course</x:v>
      </x:c>
      <x:c r="E286" s="28" t="str">
        <x:f>IF('Course_Master'!F286="","",'Course_Master'!F286)</x:f>
        <x:v>Netherlands</x:v>
      </x:c>
      <x:c r="F286" s="28" t="str">
        <x:f>IF('Course_Master'!G286="","",'Course_Master'!G286)</x:f>
        <x:v>Noord-Holland</x:v>
      </x:c>
      <x:c r="G286" s="28" t="str">
        <x:f>IF('Course_Master'!H286="","",'Course_Master'!H286)</x:f>
        <x:v>Zandvoort</x:v>
      </x:c>
      <x:c r="H286" s="28" t="str">
        <x:f>IF('Course_Master'!I286="","",'Course_Master'!I286)</x:f>
        <x:v>Zandvoort</x:v>
      </x:c>
      <x:c r="I286" s="28" t="str">
        <x:f>IF('Course_Master'!K286="","",'Course_Master'!K286)</x:f>
        <x:v>2042 XT</x:v>
      </x:c>
      <x:c r="J286" s="34" t="n">
        <x:f>IF('Course_Master'!L286="","",'Course_Master'!L286)</x:f>
        <x:v>52.3696995</x:v>
      </x:c>
      <x:c r="K286" s="34" t="n">
        <x:f>IF('Course_Master'!M286="","",'Course_Master'!M286)</x:f>
        <x:v>4.55272954</x:v>
      </x:c>
      <x:c r="L286" s="28" t="n">
        <x:f>IF('Course_Master'!S286="","",'Course_Master'!S286)</x:f>
        <x:v>9</x:v>
      </x:c>
      <x:c r="M286" s="28" t="n">
        <x:f>IF('Course_Master'!T286="","",'Course_Master'!T286)</x:f>
        <x:v>36</x:v>
      </x:c>
      <x:c r="N286" s="28" t="n">
        <x:f>IF('Course_Master'!Q286="","",'Course_Master'!Q286)</x:f>
        <x:v>3536</x:v>
      </x:c>
      <x:c r="O286" s="28" t="n">
        <x:f>IF('Course_Master'!R286="","",'Course_Master'!R286)</x:f>
        <x:v>3233</x:v>
      </x:c>
      <x:c r="P286" s="28" t="str">
        <x:f>IF('Course_Master'!U286="","",'Course_Master'!U286)</x:f>
        <x:v>Full-length course</x:v>
      </x:c>
      <x:c r="Q286" s="28" t="str">
        <x:f>IF('Course_Master'!AD286="","",'Course_Master'!AD286)</x:f>
        <x:v>Public — handicap 24 or lower</x:v>
      </x:c>
      <x:c r="R286" s="28" t="str">
        <x:f>IF('Course_Master'!AC286="","",'Course_Master'!AC286)</x:f>
        <x:v>Open</x:v>
      </x:c>
      <x:c r="S286" s="28" t="str">
        <x:f>IF('Course_Master'!Y286="","",'Course_Master'!Y286)</x:f>
        <x:v>https://kennemergolf.nl/</x:v>
      </x:c>
      <x:c r="T286" s="28" t="b">
        <x:f>IF('Course_Master'!Z286="","",'Course_Master'!Z286)</x:f>
        <x:v>1</x:v>
      </x:c>
      <x:c r="U286" s="28" t="b">
        <x:f>IF('Course_Master'!AA286="","",'Course_Master'!AA286)</x:f>
        <x:v>1</x:v>
      </x:c>
      <x:c r="V286" s="28" t="str">
        <x:f>IF('Course_Master'!AL286="","",'Course_Master'!AL286)</x:f>
        <x:v>Verified — national register and exact BAG address</x:v>
      </x:c>
    </x:row>
    <x:row r="287">
      <x:c r="A287" s="28" t="str">
        <x:f>IF('Course_Master'!B287="","",'Course_Master'!B287)</x:f>
        <x:v>NL-0286</x:v>
      </x:c>
      <x:c r="B287" s="28" t="str">
        <x:f>IF('Course_Master'!C287="","",'Course_Master'!C287)</x:f>
        <x:v>Kennemer Golf &amp; Country Club — B-course</x:v>
      </x:c>
      <x:c r="C287" s="28" t="str">
        <x:f>IF('Course_Master'!D287="","",'Course_Master'!D287)</x:f>
        <x:v>Kennemer Golf &amp; Country Club</x:v>
      </x:c>
      <x:c r="D287" s="28" t="str">
        <x:f>IF('Course_Master'!E287="","",'Course_Master'!E287)</x:f>
        <x:v>B-course</x:v>
      </x:c>
      <x:c r="E287" s="28" t="str">
        <x:f>IF('Course_Master'!F287="","",'Course_Master'!F287)</x:f>
        <x:v>Netherlands</x:v>
      </x:c>
      <x:c r="F287" s="28" t="str">
        <x:f>IF('Course_Master'!G287="","",'Course_Master'!G287)</x:f>
        <x:v>Noord-Holland</x:v>
      </x:c>
      <x:c r="G287" s="28" t="str">
        <x:f>IF('Course_Master'!H287="","",'Course_Master'!H287)</x:f>
        <x:v>Zandvoort</x:v>
      </x:c>
      <x:c r="H287" s="28" t="str">
        <x:f>IF('Course_Master'!I287="","",'Course_Master'!I287)</x:f>
        <x:v>Zandvoort</x:v>
      </x:c>
      <x:c r="I287" s="28" t="str">
        <x:f>IF('Course_Master'!K287="","",'Course_Master'!K287)</x:f>
        <x:v>2042 XT</x:v>
      </x:c>
      <x:c r="J287" s="34" t="n">
        <x:f>IF('Course_Master'!L287="","",'Course_Master'!L287)</x:f>
        <x:v>52.3696995</x:v>
      </x:c>
      <x:c r="K287" s="34" t="n">
        <x:f>IF('Course_Master'!M287="","",'Course_Master'!M287)</x:f>
        <x:v>4.55272954</x:v>
      </x:c>
      <x:c r="L287" s="28" t="n">
        <x:f>IF('Course_Master'!S287="","",'Course_Master'!S287)</x:f>
        <x:v>9</x:v>
      </x:c>
      <x:c r="M287" s="28" t="n">
        <x:f>IF('Course_Master'!T287="","",'Course_Master'!T287)</x:f>
        <x:v>36</x:v>
      </x:c>
      <x:c r="N287" s="28" t="n">
        <x:f>IF('Course_Master'!Q287="","",'Course_Master'!Q287)</x:f>
        <x:v>3287</x:v>
      </x:c>
      <x:c r="O287" s="28" t="n">
        <x:f>IF('Course_Master'!R287="","",'Course_Master'!R287)</x:f>
        <x:v>3006</x:v>
      </x:c>
      <x:c r="P287" s="28" t="str">
        <x:f>IF('Course_Master'!U287="","",'Course_Master'!U287)</x:f>
        <x:v>Full-length course</x:v>
      </x:c>
      <x:c r="Q287" s="28" t="str">
        <x:f>IF('Course_Master'!AD287="","",'Course_Master'!AD287)</x:f>
        <x:v>Public — handicap 24 or lower</x:v>
      </x:c>
      <x:c r="R287" s="28" t="str">
        <x:f>IF('Course_Master'!AC287="","",'Course_Master'!AC287)</x:f>
        <x:v>Open</x:v>
      </x:c>
      <x:c r="S287" s="28" t="str">
        <x:f>IF('Course_Master'!Y287="","",'Course_Master'!Y287)</x:f>
        <x:v>https://kennemergolf.nl/</x:v>
      </x:c>
      <x:c r="T287" s="28" t="b">
        <x:f>IF('Course_Master'!Z287="","",'Course_Master'!Z287)</x:f>
        <x:v>1</x:v>
      </x:c>
      <x:c r="U287" s="28" t="b">
        <x:f>IF('Course_Master'!AA287="","",'Course_Master'!AA287)</x:f>
        <x:v>1</x:v>
      </x:c>
      <x:c r="V287" s="28" t="str">
        <x:f>IF('Course_Master'!AL287="","",'Course_Master'!AL287)</x:f>
        <x:v>Verified — national register and exact BAG address</x:v>
      </x:c>
    </x:row>
    <x:row r="288">
      <x:c r="A288" s="28" t="str">
        <x:f>IF('Course_Master'!B288="","",'Course_Master'!B288)</x:f>
        <x:v>NL-0287</x:v>
      </x:c>
      <x:c r="B288" s="28" t="str">
        <x:f>IF('Course_Master'!C288="","",'Course_Master'!C288)</x:f>
        <x:v>Kennemer Golf &amp; Country Club — C-course</x:v>
      </x:c>
      <x:c r="C288" s="28" t="str">
        <x:f>IF('Course_Master'!D288="","",'Course_Master'!D288)</x:f>
        <x:v>Kennemer Golf &amp; Country Club</x:v>
      </x:c>
      <x:c r="D288" s="28" t="str">
        <x:f>IF('Course_Master'!E288="","",'Course_Master'!E288)</x:f>
        <x:v>C-course</x:v>
      </x:c>
      <x:c r="E288" s="28" t="str">
        <x:f>IF('Course_Master'!F288="","",'Course_Master'!F288)</x:f>
        <x:v>Netherlands</x:v>
      </x:c>
      <x:c r="F288" s="28" t="str">
        <x:f>IF('Course_Master'!G288="","",'Course_Master'!G288)</x:f>
        <x:v>Noord-Holland</x:v>
      </x:c>
      <x:c r="G288" s="28" t="str">
        <x:f>IF('Course_Master'!H288="","",'Course_Master'!H288)</x:f>
        <x:v>Zandvoort</x:v>
      </x:c>
      <x:c r="H288" s="28" t="str">
        <x:f>IF('Course_Master'!I288="","",'Course_Master'!I288)</x:f>
        <x:v>Zandvoort</x:v>
      </x:c>
      <x:c r="I288" s="28" t="str">
        <x:f>IF('Course_Master'!K288="","",'Course_Master'!K288)</x:f>
        <x:v>2042 XT</x:v>
      </x:c>
      <x:c r="J288" s="34" t="n">
        <x:f>IF('Course_Master'!L288="","",'Course_Master'!L288)</x:f>
        <x:v>52.3696995</x:v>
      </x:c>
      <x:c r="K288" s="34" t="n">
        <x:f>IF('Course_Master'!M288="","",'Course_Master'!M288)</x:f>
        <x:v>4.55272954</x:v>
      </x:c>
      <x:c r="L288" s="28" t="n">
        <x:f>IF('Course_Master'!S288="","",'Course_Master'!S288)</x:f>
        <x:v>9</x:v>
      </x:c>
      <x:c r="M288" s="28" t="n">
        <x:f>IF('Course_Master'!T288="","",'Course_Master'!T288)</x:f>
        <x:v>36</x:v>
      </x:c>
      <x:c r="N288" s="28" t="n">
        <x:f>IF('Course_Master'!Q288="","",'Course_Master'!Q288)</x:f>
        <x:v>3338</x:v>
      </x:c>
      <x:c r="O288" s="28" t="n">
        <x:f>IF('Course_Master'!R288="","",'Course_Master'!R288)</x:f>
        <x:v>3052</x:v>
      </x:c>
      <x:c r="P288" s="28" t="str">
        <x:f>IF('Course_Master'!U288="","",'Course_Master'!U288)</x:f>
        <x:v>Full-length course</x:v>
      </x:c>
      <x:c r="Q288" s="28" t="str">
        <x:f>IF('Course_Master'!AD288="","",'Course_Master'!AD288)</x:f>
        <x:v>Public — handicap 24 or lower</x:v>
      </x:c>
      <x:c r="R288" s="28" t="str">
        <x:f>IF('Course_Master'!AC288="","",'Course_Master'!AC288)</x:f>
        <x:v>Open</x:v>
      </x:c>
      <x:c r="S288" s="28" t="str">
        <x:f>IF('Course_Master'!Y288="","",'Course_Master'!Y288)</x:f>
        <x:v>https://kennemergolf.nl/</x:v>
      </x:c>
      <x:c r="T288" s="28" t="b">
        <x:f>IF('Course_Master'!Z288="","",'Course_Master'!Z288)</x:f>
        <x:v>1</x:v>
      </x:c>
      <x:c r="U288" s="28" t="b">
        <x:f>IF('Course_Master'!AA288="","",'Course_Master'!AA288)</x:f>
        <x:v>1</x:v>
      </x:c>
      <x:c r="V288" s="28" t="str">
        <x:f>IF('Course_Master'!AL288="","",'Course_Master'!AL288)</x:f>
        <x:v>Verified — national register and exact BAG address</x:v>
      </x:c>
    </x:row>
    <x:row r="289">
      <x:c r="A289" s="28" t="str">
        <x:f>IF('Course_Master'!B289="","",'Course_Master'!B289)</x:f>
        <x:v>NL-0288</x:v>
      </x:c>
      <x:c r="B289" s="28" t="str">
        <x:f>IF('Course_Master'!C289="","",'Course_Master'!C289)</x:f>
        <x:v>Marine Golf Club Nieuwediep</x:v>
      </x:c>
      <x:c r="C289" s="28" t="str">
        <x:f>IF('Course_Master'!D289="","",'Course_Master'!D289)</x:f>
        <x:v>Marine Golf Club Nieuwediep</x:v>
      </x:c>
      <x:c r="D289" s="28" t="str">
        <x:f>IF('Course_Master'!E289="","",'Course_Master'!E289)</x:f>
        <x:v>Course</x:v>
      </x:c>
      <x:c r="E289" s="28" t="str">
        <x:f>IF('Course_Master'!F289="","",'Course_Master'!F289)</x:f>
        <x:v>Netherlands</x:v>
      </x:c>
      <x:c r="F289" s="28" t="str">
        <x:f>IF('Course_Master'!G289="","",'Course_Master'!G289)</x:f>
        <x:v>Noord-Holland</x:v>
      </x:c>
      <x:c r="G289" s="28" t="str">
        <x:f>IF('Course_Master'!H289="","",'Course_Master'!H289)</x:f>
        <x:v>Den Helder</x:v>
      </x:c>
      <x:c r="H289" s="28" t="str">
        <x:f>IF('Course_Master'!I289="","",'Course_Master'!I289)</x:f>
        <x:v>Den Helder</x:v>
      </x:c>
      <x:c r="I289" s="28" t="str">
        <x:f>IF('Course_Master'!K289="","",'Course_Master'!K289)</x:f>
        <x:v>1786 PK</x:v>
      </x:c>
      <x:c r="J289" s="34" t="n">
        <x:f>IF('Course_Master'!L289="","",'Course_Master'!L289)</x:f>
        <x:v>52.92460605</x:v>
      </x:c>
      <x:c r="K289" s="34" t="n">
        <x:f>IF('Course_Master'!M289="","",'Course_Master'!M289)</x:f>
        <x:v>4.77639055</x:v>
      </x:c>
      <x:c r="L289" s="28" t="n">
        <x:f>IF('Course_Master'!S289="","",'Course_Master'!S289)</x:f>
        <x:v>9</x:v>
      </x:c>
      <x:c r="M289" s="28" t="n">
        <x:f>IF('Course_Master'!T289="","",'Course_Master'!T289)</x:f>
        <x:v>35</x:v>
      </x:c>
      <x:c r="N289" s="28" t="n">
        <x:f>IF('Course_Master'!Q289="","",'Course_Master'!Q289)</x:f>
        <x:v>2986</x:v>
      </x:c>
      <x:c r="O289" s="28" t="n">
        <x:f>IF('Course_Master'!R289="","",'Course_Master'!R289)</x:f>
        <x:v>2730</x:v>
      </x:c>
      <x:c r="P289" s="28" t="str">
        <x:f>IF('Course_Master'!U289="","",'Course_Master'!U289)</x:f>
        <x:v>Full-length course</x:v>
      </x:c>
      <x:c r="Q289" s="28" t="str">
        <x:f>IF('Course_Master'!AD289="","",'Course_Master'!AD289)</x:f>
        <x:v>Public — handicap 54 or lower</x:v>
      </x:c>
      <x:c r="R289" s="28" t="str">
        <x:f>IF('Course_Master'!AC289="","",'Course_Master'!AC289)</x:f>
        <x:v>Open</x:v>
      </x:c>
      <x:c r="S289" s="28" t="str">
        <x:f>IF('Course_Master'!Y289="","",'Course_Master'!Y289)</x:f>
        <x:v>https://www.marinegolfclub.nl/</x:v>
      </x:c>
      <x:c r="T289" s="28" t="b">
        <x:f>IF('Course_Master'!Z289="","",'Course_Master'!Z289)</x:f>
        <x:v>1</x:v>
      </x:c>
      <x:c r="U289" s="28" t="b">
        <x:f>IF('Course_Master'!AA289="","",'Course_Master'!AA289)</x:f>
        <x:v>1</x:v>
      </x:c>
      <x:c r="V289" s="28" t="str">
        <x:f>IF('Course_Master'!AL289="","",'Course_Master'!AL289)</x:f>
        <x:v>Verified — national register and exact BAG address</x:v>
      </x:c>
    </x:row>
    <x:row r="290">
      <x:c r="A290" s="28" t="str">
        <x:f>IF('Course_Master'!B290="","",'Course_Master'!B290)</x:f>
        <x:v>NL-0289</x:v>
      </x:c>
      <x:c r="B290" s="28" t="str">
        <x:f>IF('Course_Master'!C290="","",'Course_Master'!C290)</x:f>
        <x:v>Schaerweijde Golf</x:v>
      </x:c>
      <x:c r="C290" s="28" t="str">
        <x:f>IF('Course_Master'!D290="","",'Course_Master'!D290)</x:f>
        <x:v>Schaerweijde Golf</x:v>
      </x:c>
      <x:c r="D290" s="28" t="str">
        <x:f>IF('Course_Master'!E290="","",'Course_Master'!E290)</x:f>
        <x:v>Course</x:v>
      </x:c>
      <x:c r="E290" s="28" t="str">
        <x:f>IF('Course_Master'!F290="","",'Course_Master'!F290)</x:f>
        <x:v>Netherlands</x:v>
      </x:c>
      <x:c r="F290" s="28" t="str">
        <x:f>IF('Course_Master'!G290="","",'Course_Master'!G290)</x:f>
        <x:v>Noord-Holland</x:v>
      </x:c>
      <x:c r="G290" s="28" t="str">
        <x:f>IF('Course_Master'!H290="","",'Course_Master'!H290)</x:f>
        <x:v>Zeist</x:v>
      </x:c>
      <x:c r="H290" s="28" t="str">
        <x:f>IF('Course_Master'!I290="","",'Course_Master'!I290)</x:f>
        <x:v>Zeist</x:v>
      </x:c>
      <x:c r="I290" s="28" t="str">
        <x:f>IF('Course_Master'!K290="","",'Course_Master'!K290)</x:f>
        <x:v>3707 NX</x:v>
      </x:c>
      <x:c r="J290" s="34" t="n">
        <x:f>IF('Course_Master'!L290="","",'Course_Master'!L290)</x:f>
        <x:v>52.10378967</x:v>
      </x:c>
      <x:c r="K290" s="34" t="n">
        <x:f>IF('Course_Master'!M290="","",'Course_Master'!M290)</x:f>
        <x:v>5.26678811</x:v>
      </x:c>
      <x:c r="L290" s="28" t="n">
        <x:f>IF('Course_Master'!S290="","",'Course_Master'!S290)</x:f>
        <x:v>9</x:v>
      </x:c>
      <x:c r="M290" s="28" t="n">
        <x:f>IF('Course_Master'!T290="","",'Course_Master'!T290)</x:f>
        <x:v>28</x:v>
      </x:c>
      <x:c r="N290" s="28" t="n">
        <x:f>IF('Course_Master'!Q290="","",'Course_Master'!Q290)</x:f>
        <x:v>1526</x:v>
      </x:c>
      <x:c r="O290" s="28" t="n">
        <x:f>IF('Course_Master'!R290="","",'Course_Master'!R290)</x:f>
        <x:v>1395</x:v>
      </x:c>
      <x:c r="P290" s="28" t="str">
        <x:f>IF('Course_Master'!U290="","",'Course_Master'!U290)</x:f>
        <x:v>Par-3/4 course</x:v>
      </x:c>
      <x:c r="Q290" s="28" t="str">
        <x:f>IF('Course_Master'!AD290="","",'Course_Master'!AD290)</x:f>
        <x:v>Public — handicap 54 or lower</x:v>
      </x:c>
      <x:c r="R290" s="28" t="str">
        <x:f>IF('Course_Master'!AC290="","",'Course_Master'!AC290)</x:f>
        <x:v>Open</x:v>
      </x:c>
      <x:c r="S290" s="28" t="str">
        <x:f>IF('Course_Master'!Y290="","",'Course_Master'!Y290)</x:f>
        <x:v>https://schaerweijde-golf.nl/</x:v>
      </x:c>
      <x:c r="T290" s="28" t="b">
        <x:f>IF('Course_Master'!Z290="","",'Course_Master'!Z290)</x:f>
        <x:v>1</x:v>
      </x:c>
      <x:c r="U290" s="28" t="b">
        <x:f>IF('Course_Master'!AA290="","",'Course_Master'!AA290)</x:f>
        <x:v>1</x:v>
      </x:c>
      <x:c r="V290" s="28" t="str">
        <x:f>IF('Course_Master'!AL290="","",'Course_Master'!AL290)</x:f>
        <x:v>Verified — national register and exact BAG address</x:v>
      </x:c>
    </x:row>
    <x:row r="291">
      <x:c r="A291" s="28" t="str">
        <x:f>IF('Course_Master'!B291="","",'Course_Master'!B291)</x:f>
        <x:v>NL-0290</x:v>
      </x:c>
      <x:c r="B291" s="28" t="str">
        <x:f>IF('Course_Master'!C291="","",'Course_Master'!C291)</x:f>
        <x:v>The Dunes</x:v>
      </x:c>
      <x:c r="C291" s="28" t="str">
        <x:f>IF('Course_Master'!D291="","",'Course_Master'!D291)</x:f>
        <x:v>The Dunes</x:v>
      </x:c>
      <x:c r="D291" s="28" t="str">
        <x:f>IF('Course_Master'!E291="","",'Course_Master'!E291)</x:f>
        <x:v>Course</x:v>
      </x:c>
      <x:c r="E291" s="28" t="str">
        <x:f>IF('Course_Master'!F291="","",'Course_Master'!F291)</x:f>
        <x:v>Netherlands</x:v>
      </x:c>
      <x:c r="F291" s="28" t="str">
        <x:f>IF('Course_Master'!G291="","",'Course_Master'!G291)</x:f>
        <x:v>Noord-Holland</x:v>
      </x:c>
      <x:c r="G291" s="28" t="str">
        <x:f>IF('Course_Master'!H291="","",'Course_Master'!H291)</x:f>
        <x:v>Zandvoort</x:v>
      </x:c>
      <x:c r="H291" s="28" t="str">
        <x:f>IF('Course_Master'!I291="","",'Course_Master'!I291)</x:f>
        <x:v>Zandvoort</x:v>
      </x:c>
      <x:c r="I291" s="28" t="str">
        <x:f>IF('Course_Master'!K291="","",'Course_Master'!K291)</x:f>
        <x:v>2041 TZ</x:v>
      </x:c>
      <x:c r="J291" s="34" t="n">
        <x:f>IF('Course_Master'!L291="","",'Course_Master'!L291)</x:f>
        <x:v>52.38330285</x:v>
      </x:c>
      <x:c r="K291" s="34" t="n">
        <x:f>IF('Course_Master'!M291="","",'Course_Master'!M291)</x:f>
        <x:v>4.5485775</x:v>
      </x:c>
      <x:c r="L291" s="28" t="n">
        <x:f>IF('Course_Master'!S291="","",'Course_Master'!S291)</x:f>
        <x:v>9</x:v>
      </x:c>
      <x:c r="M291" s="28" t="n">
        <x:f>IF('Course_Master'!T291="","",'Course_Master'!T291)</x:f>
        <x:v>29</x:v>
      </x:c>
      <x:c r="N291" s="28" t="n">
        <x:f>IF('Course_Master'!Q291="","",'Course_Master'!Q291)</x:f>
        <x:v>1544</x:v>
      </x:c>
      <x:c r="O291" s="28" t="n">
        <x:f>IF('Course_Master'!R291="","",'Course_Master'!R291)</x:f>
        <x:v>1412</x:v>
      </x:c>
      <x:c r="P291" s="28" t="str">
        <x:f>IF('Course_Master'!U291="","",'Course_Master'!U291)</x:f>
        <x:v>Par-3/4 course</x:v>
      </x:c>
      <x:c r="Q291" s="28" t="str">
        <x:f>IF('Course_Master'!AD291="","",'Course_Master'!AD291)</x:f>
        <x:v>Public — NGF course permission</x:v>
      </x:c>
      <x:c r="R291" s="28" t="str">
        <x:f>IF('Course_Master'!AC291="","",'Course_Master'!AC291)</x:f>
        <x:v>Open</x:v>
      </x:c>
      <x:c r="S291" s="28" t="str">
        <x:f>IF('Course_Master'!Y291="","",'Course_Master'!Y291)</x:f>
        <x:v>https://thedunes.nl/</x:v>
      </x:c>
      <x:c r="T291" s="28" t="b">
        <x:f>IF('Course_Master'!Z291="","",'Course_Master'!Z291)</x:f>
        <x:v>1</x:v>
      </x:c>
      <x:c r="U291" s="28" t="b">
        <x:f>IF('Course_Master'!AA291="","",'Course_Master'!AA291)</x:f>
        <x:v>1</x:v>
      </x:c>
      <x:c r="V291" s="28" t="str">
        <x:f>IF('Course_Master'!AL291="","",'Course_Master'!AL291)</x:f>
        <x:v>Verified — national register and exact BAG address</x:v>
      </x:c>
    </x:row>
    <x:row r="292">
      <x:c r="A292" s="28" t="str">
        <x:f>IF('Course_Master'!B292="","",'Course_Master'!B292)</x:f>
        <x:v>NL-0291</x:v>
      </x:c>
      <x:c r="B292" s="28" t="str">
        <x:f>IF('Course_Master'!C292="","",'Course_Master'!C292)</x:f>
        <x:v>The International Golf Club — Main Course</x:v>
      </x:c>
      <x:c r="C292" s="28" t="str">
        <x:f>IF('Course_Master'!D292="","",'Course_Master'!D292)</x:f>
        <x:v>The International Golf Club</x:v>
      </x:c>
      <x:c r="D292" s="28" t="str">
        <x:f>IF('Course_Master'!E292="","",'Course_Master'!E292)</x:f>
        <x:v>Main Course</x:v>
      </x:c>
      <x:c r="E292" s="28" t="str">
        <x:f>IF('Course_Master'!F292="","",'Course_Master'!F292)</x:f>
        <x:v>Netherlands</x:v>
      </x:c>
      <x:c r="F292" s="28" t="str">
        <x:f>IF('Course_Master'!G292="","",'Course_Master'!G292)</x:f>
        <x:v>Noord-Holland</x:v>
      </x:c>
      <x:c r="G292" s="28" t="str">
        <x:f>IF('Course_Master'!H292="","",'Course_Master'!H292)</x:f>
        <x:v>Haarlemmermeer</x:v>
      </x:c>
      <x:c r="H292" s="28" t="str">
        <x:f>IF('Course_Master'!I292="","",'Course_Master'!I292)</x:f>
        <x:v>Badhoevedorp</x:v>
      </x:c>
      <x:c r="I292" s="28" t="str">
        <x:f>IF('Course_Master'!K292="","",'Course_Master'!K292)</x:f>
        <x:v>1171 PE</x:v>
      </x:c>
      <x:c r="J292" s="34" t="n">
        <x:f>IF('Course_Master'!L292="","",'Course_Master'!L292)</x:f>
        <x:v>52.32823917</x:v>
      </x:c>
      <x:c r="K292" s="34" t="n">
        <x:f>IF('Course_Master'!M292="","",'Course_Master'!M292)</x:f>
        <x:v>4.80343419</x:v>
      </x:c>
      <x:c r="L292" s="28" t="n">
        <x:f>IF('Course_Master'!S292="","",'Course_Master'!S292)</x:f>
        <x:v>18</x:v>
      </x:c>
      <x:c r="M292" s="28" t="n">
        <x:f>IF('Course_Master'!T292="","",'Course_Master'!T292)</x:f>
        <x:v>73</x:v>
      </x:c>
      <x:c r="N292" s="28" t="n">
        <x:f>IF('Course_Master'!Q292="","",'Course_Master'!Q292)</x:f>
        <x:v>7234</x:v>
      </x:c>
      <x:c r="O292" s="28" t="n">
        <x:f>IF('Course_Master'!R292="","",'Course_Master'!R292)</x:f>
        <x:v>6615</x:v>
      </x:c>
      <x:c r="P292" s="28" t="str">
        <x:f>IF('Course_Master'!U292="","",'Course_Master'!U292)</x:f>
        <x:v>Full-length course</x:v>
      </x:c>
      <x:c r="Q292" s="28" t="str">
        <x:f>IF('Course_Master'!AD292="","",'Course_Master'!AD292)</x:f>
        <x:v>Public — handicap 54 or lower</x:v>
      </x:c>
      <x:c r="R292" s="28" t="str">
        <x:f>IF('Course_Master'!AC292="","",'Course_Master'!AC292)</x:f>
        <x:v>Open</x:v>
      </x:c>
      <x:c r="S292" s="28" t="str">
        <x:f>IF('Course_Master'!Y292="","",'Course_Master'!Y292)</x:f>
        <x:v>https://www.theinternational.nl/</x:v>
      </x:c>
      <x:c r="T292" s="28" t="b">
        <x:f>IF('Course_Master'!Z292="","",'Course_Master'!Z292)</x:f>
        <x:v>1</x:v>
      </x:c>
      <x:c r="U292" s="28" t="b">
        <x:f>IF('Course_Master'!AA292="","",'Course_Master'!AA292)</x:f>
        <x:v>1</x:v>
      </x:c>
      <x:c r="V292" s="28" t="str">
        <x:f>IF('Course_Master'!AL292="","",'Course_Master'!AL292)</x:f>
        <x:v>Verified — national register and exact BAG address</x:v>
      </x:c>
    </x:row>
    <x:row r="293">
      <x:c r="A293" s="28" t="str">
        <x:f>IF('Course_Master'!B293="","",'Course_Master'!B293)</x:f>
        <x:v>NL-0292</x:v>
      </x:c>
      <x:c r="B293" s="28" t="str">
        <x:f>IF('Course_Master'!C293="","",'Course_Master'!C293)</x:f>
        <x:v>Zaanse Golfclub — Main Course</x:v>
      </x:c>
      <x:c r="C293" s="28" t="str">
        <x:f>IF('Course_Master'!D293="","",'Course_Master'!D293)</x:f>
        <x:v>Zaanse Golfclub</x:v>
      </x:c>
      <x:c r="D293" s="28" t="str">
        <x:f>IF('Course_Master'!E293="","",'Course_Master'!E293)</x:f>
        <x:v>Main Course</x:v>
      </x:c>
      <x:c r="E293" s="28" t="str">
        <x:f>IF('Course_Master'!F293="","",'Course_Master'!F293)</x:f>
        <x:v>Netherlands</x:v>
      </x:c>
      <x:c r="F293" s="28" t="str">
        <x:f>IF('Course_Master'!G293="","",'Course_Master'!G293)</x:f>
        <x:v>Noord-Holland</x:v>
      </x:c>
      <x:c r="G293" s="28" t="str">
        <x:f>IF('Course_Master'!H293="","",'Course_Master'!H293)</x:f>
        <x:v>Wormerland</x:v>
      </x:c>
      <x:c r="H293" s="28" t="str">
        <x:f>IF('Course_Master'!I293="","",'Course_Master'!I293)</x:f>
        <x:v>Wijdewormer</x:v>
      </x:c>
      <x:c r="I293" s="28" t="str">
        <x:f>IF('Course_Master'!K293="","",'Course_Master'!K293)</x:f>
        <x:v>1456 NH</x:v>
      </x:c>
      <x:c r="J293" s="34" t="n">
        <x:f>IF('Course_Master'!L293="","",'Course_Master'!L293)</x:f>
        <x:v>52.47057873</x:v>
      </x:c>
      <x:c r="K293" s="34" t="n">
        <x:f>IF('Course_Master'!M293="","",'Course_Master'!M293)</x:f>
        <x:v>4.86579679</x:v>
      </x:c>
      <x:c r="L293" s="28" t="n">
        <x:f>IF('Course_Master'!S293="","",'Course_Master'!S293)</x:f>
        <x:v>18</x:v>
      </x:c>
      <x:c r="M293" s="28" t="n">
        <x:f>IF('Course_Master'!T293="","",'Course_Master'!T293)</x:f>
        <x:v>71</x:v>
      </x:c>
      <x:c r="N293" s="28" t="n">
        <x:f>IF('Course_Master'!Q293="","",'Course_Master'!Q293)</x:f>
        <x:v>6290</x:v>
      </x:c>
      <x:c r="O293" s="28" t="n">
        <x:f>IF('Course_Master'!R293="","",'Course_Master'!R293)</x:f>
        <x:v>5752</x:v>
      </x:c>
      <x:c r="P293" s="28" t="str">
        <x:f>IF('Course_Master'!U293="","",'Course_Master'!U293)</x:f>
        <x:v>Full-length course</x:v>
      </x:c>
      <x:c r="Q293" s="28" t="str">
        <x:f>IF('Course_Master'!AD293="","",'Course_Master'!AD293)</x:f>
        <x:v>Public — NGF course permission</x:v>
      </x:c>
      <x:c r="R293" s="28" t="str">
        <x:f>IF('Course_Master'!AC293="","",'Course_Master'!AC293)</x:f>
        <x:v>Open</x:v>
      </x:c>
      <x:c r="S293" s="28" t="str">
        <x:f>IF('Course_Master'!Y293="","",'Course_Master'!Y293)</x:f>
        <x:v>https://dezaanse.nl/</x:v>
      </x:c>
      <x:c r="T293" s="28" t="b">
        <x:f>IF('Course_Master'!Z293="","",'Course_Master'!Z293)</x:f>
        <x:v>1</x:v>
      </x:c>
      <x:c r="U293" s="28" t="b">
        <x:f>IF('Course_Master'!AA293="","",'Course_Master'!AA293)</x:f>
        <x:v>1</x:v>
      </x:c>
      <x:c r="V293" s="28" t="str">
        <x:f>IF('Course_Master'!AL293="","",'Course_Master'!AL293)</x:f>
        <x:v>Verified — national register and exact BAG address</x:v>
      </x:c>
    </x:row>
    <x:row r="294">
      <x:c r="A294" s="28" t="str">
        <x:f>IF('Course_Master'!B294="","",'Course_Master'!B294)</x:f>
        <x:v>NL-0293</x:v>
      </x:c>
      <x:c r="B294" s="28" t="str">
        <x:f>IF('Course_Master'!C294="","",'Course_Master'!C294)</x:f>
        <x:v>Dutch Golf Hattem</x:v>
      </x:c>
      <x:c r="C294" s="28" t="str">
        <x:f>IF('Course_Master'!D294="","",'Course_Master'!D294)</x:f>
        <x:v>Dutch Golf Hattem</x:v>
      </x:c>
      <x:c r="D294" s="28" t="str">
        <x:f>IF('Course_Master'!E294="","",'Course_Master'!E294)</x:f>
        <x:v>Course</x:v>
      </x:c>
      <x:c r="E294" s="28" t="str">
        <x:f>IF('Course_Master'!F294="","",'Course_Master'!F294)</x:f>
        <x:v>Netherlands</x:v>
      </x:c>
      <x:c r="F294" s="28" t="str">
        <x:f>IF('Course_Master'!G294="","",'Course_Master'!G294)</x:f>
        <x:v>Overijssel</x:v>
      </x:c>
      <x:c r="G294" s="28" t="str">
        <x:f>IF('Course_Master'!H294="","",'Course_Master'!H294)</x:f>
        <x:v>Hattem</x:v>
      </x:c>
      <x:c r="H294" s="28" t="str">
        <x:f>IF('Course_Master'!I294="","",'Course_Master'!I294)</x:f>
        <x:v>Hattem</x:v>
      </x:c>
      <x:c r="I294" s="28" t="str">
        <x:f>IF('Course_Master'!K294="","",'Course_Master'!K294)</x:f>
        <x:v>8051 CC</x:v>
      </x:c>
      <x:c r="J294" s="34" t="n">
        <x:f>IF('Course_Master'!L294="","",'Course_Master'!L294)</x:f>
        <x:v>52.45867368</x:v>
      </x:c>
      <x:c r="K294" s="34" t="n">
        <x:f>IF('Course_Master'!M294="","",'Course_Master'!M294)</x:f>
        <x:v>6.07199403</x:v>
      </x:c>
      <x:c r="L294" s="28" t="n">
        <x:f>IF('Course_Master'!S294="","",'Course_Master'!S294)</x:f>
        <x:v>9</x:v>
      </x:c>
      <x:c r="M294" s="28" t="n">
        <x:f>IF('Course_Master'!T294="","",'Course_Master'!T294)</x:f>
        <x:v>30</x:v>
      </x:c>
      <x:c r="N294" s="28" t="n">
        <x:f>IF('Course_Master'!Q294="","",'Course_Master'!Q294)</x:f>
        <x:v>1461</x:v>
      </x:c>
      <x:c r="O294" s="28" t="n">
        <x:f>IF('Course_Master'!R294="","",'Course_Master'!R294)</x:f>
        <x:v>1336</x:v>
      </x:c>
      <x:c r="P294" s="28" t="str">
        <x:f>IF('Course_Master'!U294="","",'Course_Master'!U294)</x:f>
        <x:v>Par-3/4 course</x:v>
      </x:c>
      <x:c r="Q294" s="28" t="str">
        <x:f>IF('Course_Master'!AD294="","",'Course_Master'!AD294)</x:f>
        <x:v>Public — NGF course permission</x:v>
      </x:c>
      <x:c r="R294" s="28" t="str">
        <x:f>IF('Course_Master'!AC294="","",'Course_Master'!AC294)</x:f>
        <x:v>Open</x:v>
      </x:c>
      <x:c r="S294" s="28" t="str">
        <x:f>IF('Course_Master'!Y294="","",'Course_Master'!Y294)</x:f>
        <x:v>https://www.dutchgolf.nl/</x:v>
      </x:c>
      <x:c r="T294" s="28" t="b">
        <x:f>IF('Course_Master'!Z294="","",'Course_Master'!Z294)</x:f>
        <x:v>1</x:v>
      </x:c>
      <x:c r="U294" s="28" t="b">
        <x:f>IF('Course_Master'!AA294="","",'Course_Master'!AA294)</x:f>
        <x:v>1</x:v>
      </x:c>
      <x:c r="V294" s="28" t="str">
        <x:f>IF('Course_Master'!AL294="","",'Course_Master'!AL294)</x:f>
        <x:v>Verified — national register and exact BAG address</x:v>
      </x:c>
    </x:row>
    <x:row r="295">
      <x:c r="A295" s="28" t="str">
        <x:f>IF('Course_Master'!B295="","",'Course_Master'!B295)</x:f>
        <x:v>NL-0294</x:v>
      </x:c>
      <x:c r="B295" s="28" t="str">
        <x:f>IF('Course_Master'!C295="","",'Course_Master'!C295)</x:f>
        <x:v>Golf &amp; Country Club 't Kruisselt</x:v>
      </x:c>
      <x:c r="C295" s="28" t="str">
        <x:f>IF('Course_Master'!D295="","",'Course_Master'!D295)</x:f>
        <x:v>Golf &amp; Country Club 't Kruisselt</x:v>
      </x:c>
      <x:c r="D295" s="28" t="str">
        <x:f>IF('Course_Master'!E295="","",'Course_Master'!E295)</x:f>
        <x:v>Course</x:v>
      </x:c>
      <x:c r="E295" s="28" t="str">
        <x:f>IF('Course_Master'!F295="","",'Course_Master'!F295)</x:f>
        <x:v>Netherlands</x:v>
      </x:c>
      <x:c r="F295" s="28" t="str">
        <x:f>IF('Course_Master'!G295="","",'Course_Master'!G295)</x:f>
        <x:v>Overijssel</x:v>
      </x:c>
      <x:c r="G295" s="28" t="str">
        <x:f>IF('Course_Master'!H295="","",'Course_Master'!H295)</x:f>
        <x:v>Losser</x:v>
      </x:c>
      <x:c r="H295" s="28" t="str">
        <x:f>IF('Course_Master'!I295="","",'Course_Master'!I295)</x:f>
        <x:v>de Lutte</x:v>
      </x:c>
      <x:c r="I295" s="28" t="str">
        <x:f>IF('Course_Master'!K295="","",'Course_Master'!K295)</x:f>
        <x:v>7587 NM</x:v>
      </x:c>
      <x:c r="J295" s="34" t="n">
        <x:f>IF('Course_Master'!L295="","",'Course_Master'!L295)</x:f>
        <x:v>52.31908992</x:v>
      </x:c>
      <x:c r="K295" s="34" t="n">
        <x:f>IF('Course_Master'!M295="","",'Course_Master'!M295)</x:f>
        <x:v>6.96704045</x:v>
      </x:c>
      <x:c r="L295" s="28" t="n">
        <x:f>IF('Course_Master'!S295="","",'Course_Master'!S295)</x:f>
        <x:v>9</x:v>
      </x:c>
      <x:c r="M295" s="28" t="n">
        <x:f>IF('Course_Master'!T295="","",'Course_Master'!T295)</x:f>
        <x:v>27</x:v>
      </x:c>
      <x:c r="N295" s="28" t="n">
        <x:f>IF('Course_Master'!Q295="","",'Course_Master'!Q295)</x:f>
        <x:v>756</x:v>
      </x:c>
      <x:c r="O295" s="28" t="n">
        <x:f>IF('Course_Master'!R295="","",'Course_Master'!R295)</x:f>
        <x:v>691</x:v>
      </x:c>
      <x:c r="P295" s="28" t="str">
        <x:f>IF('Course_Master'!U295="","",'Course_Master'!U295)</x:f>
        <x:v>Par-3 course</x:v>
      </x:c>
      <x:c r="Q295" s="28" t="str">
        <x:f>IF('Course_Master'!AD295="","",'Course_Master'!AD295)</x:f>
        <x:v>Public — NGF course permission</x:v>
      </x:c>
      <x:c r="R295" s="28" t="str">
        <x:f>IF('Course_Master'!AC295="","",'Course_Master'!AC295)</x:f>
        <x:v>Open</x:v>
      </x:c>
      <x:c r="S295" s="28" t="str">
        <x:f>IF('Course_Master'!Y295="","",'Course_Master'!Y295)</x:f>
        <x:v>https://www.kruisselt.nl/golf/</x:v>
      </x:c>
      <x:c r="T295" s="28" t="b">
        <x:f>IF('Course_Master'!Z295="","",'Course_Master'!Z295)</x:f>
        <x:v>1</x:v>
      </x:c>
      <x:c r="U295" s="28" t="b">
        <x:f>IF('Course_Master'!AA295="","",'Course_Master'!AA295)</x:f>
        <x:v>1</x:v>
      </x:c>
      <x:c r="V295" s="28" t="str">
        <x:f>IF('Course_Master'!AL295="","",'Course_Master'!AL295)</x:f>
        <x:v>Verified — national register and exact BAG address</x:v>
      </x:c>
    </x:row>
    <x:row r="296">
      <x:c r="A296" s="28" t="str">
        <x:f>IF('Course_Master'!B296="","",'Course_Master'!B296)</x:f>
        <x:v>NL-0295</x:v>
      </x:c>
      <x:c r="B296" s="28" t="str">
        <x:f>IF('Course_Master'!C296="","",'Course_Master'!C296)</x:f>
        <x:v>Golfbaan De Lage Mors</x:v>
      </x:c>
      <x:c r="C296" s="28" t="str">
        <x:f>IF('Course_Master'!D296="","",'Course_Master'!D296)</x:f>
        <x:v>Golfbaan De Lage Mors</x:v>
      </x:c>
      <x:c r="D296" s="28" t="str">
        <x:f>IF('Course_Master'!E296="","",'Course_Master'!E296)</x:f>
        <x:v>Course</x:v>
      </x:c>
      <x:c r="E296" s="28" t="str">
        <x:f>IF('Course_Master'!F296="","",'Course_Master'!F296)</x:f>
        <x:v>Netherlands</x:v>
      </x:c>
      <x:c r="F296" s="28" t="str">
        <x:f>IF('Course_Master'!G296="","",'Course_Master'!G296)</x:f>
        <x:v>Overijssel</x:v>
      </x:c>
      <x:c r="G296" s="28" t="str">
        <x:f>IF('Course_Master'!H296="","",'Course_Master'!H296)</x:f>
        <x:v>Hof van Twente</x:v>
      </x:c>
      <x:c r="H296" s="28" t="str">
        <x:f>IF('Course_Master'!I296="","",'Course_Master'!I296)</x:f>
        <x:v>Delden</x:v>
      </x:c>
      <x:c r="I296" s="28" t="str">
        <x:f>IF('Course_Master'!K296="","",'Course_Master'!K296)</x:f>
        <x:v>7491 DG</x:v>
      </x:c>
      <x:c r="J296" s="34" t="n">
        <x:f>IF('Course_Master'!L296="","",'Course_Master'!L296)</x:f>
        <x:v>52.25644954</x:v>
      </x:c>
      <x:c r="K296" s="34" t="n">
        <x:f>IF('Course_Master'!M296="","",'Course_Master'!M296)</x:f>
        <x:v>6.73012703</x:v>
      </x:c>
      <x:c r="L296" s="28" t="n">
        <x:f>IF('Course_Master'!S296="","",'Course_Master'!S296)</x:f>
        <x:v>9</x:v>
      </x:c>
      <x:c r="M296" s="28" t="n">
        <x:f>IF('Course_Master'!T296="","",'Course_Master'!T296)</x:f>
        <x:v>35</x:v>
      </x:c>
      <x:c r="N296" s="28" t="n">
        <x:f>IF('Course_Master'!Q296="","",'Course_Master'!Q296)</x:f>
        <x:v>2607</x:v>
      </x:c>
      <x:c r="O296" s="28" t="n">
        <x:f>IF('Course_Master'!R296="","",'Course_Master'!R296)</x:f>
        <x:v>2384</x:v>
      </x:c>
      <x:c r="P296" s="28" t="str">
        <x:f>IF('Course_Master'!U296="","",'Course_Master'!U296)</x:f>
        <x:v>Full-length course</x:v>
      </x:c>
      <x:c r="Q296" s="28" t="str">
        <x:f>IF('Course_Master'!AD296="","",'Course_Master'!AD296)</x:f>
        <x:v>Public — handicap 54 or lower</x:v>
      </x:c>
      <x:c r="R296" s="28" t="str">
        <x:f>IF('Course_Master'!AC296="","",'Course_Master'!AC296)</x:f>
        <x:v>Open</x:v>
      </x:c>
      <x:c r="S296" s="28" t="str">
        <x:f>IF('Course_Master'!Y296="","",'Course_Master'!Y296)</x:f>
        <x:v>https://www.golfbaandelagemors.nl/</x:v>
      </x:c>
      <x:c r="T296" s="28" t="b">
        <x:f>IF('Course_Master'!Z296="","",'Course_Master'!Z296)</x:f>
        <x:v>1</x:v>
      </x:c>
      <x:c r="U296" s="28" t="b">
        <x:f>IF('Course_Master'!AA296="","",'Course_Master'!AA296)</x:f>
        <x:v>1</x:v>
      </x:c>
      <x:c r="V296" s="28" t="str">
        <x:f>IF('Course_Master'!AL296="","",'Course_Master'!AL296)</x:f>
        <x:v>Verified — national register and exact BAG address</x:v>
      </x:c>
    </x:row>
    <x:row r="297">
      <x:c r="A297" s="28" t="str">
        <x:f>IF('Course_Master'!B297="","",'Course_Master'!B297)</x:f>
        <x:v>NL-0296</x:v>
      </x:c>
      <x:c r="B297" s="28" t="str">
        <x:f>IF('Course_Master'!C297="","",'Course_Master'!C297)</x:f>
        <x:v>Golfbaan Het Rijk van Sybrook — Noord</x:v>
      </x:c>
      <x:c r="C297" s="28" t="str">
        <x:f>IF('Course_Master'!D297="","",'Course_Master'!D297)</x:f>
        <x:v>Golfbaan Het Rijk van Sybrook</x:v>
      </x:c>
      <x:c r="D297" s="28" t="str">
        <x:f>IF('Course_Master'!E297="","",'Course_Master'!E297)</x:f>
        <x:v>Noord</x:v>
      </x:c>
      <x:c r="E297" s="28" t="str">
        <x:f>IF('Course_Master'!F297="","",'Course_Master'!F297)</x:f>
        <x:v>Netherlands</x:v>
      </x:c>
      <x:c r="F297" s="28" t="str">
        <x:f>IF('Course_Master'!G297="","",'Course_Master'!G297)</x:f>
        <x:v>Overijssel</x:v>
      </x:c>
      <x:c r="G297" s="28" t="str">
        <x:f>IF('Course_Master'!H297="","",'Course_Master'!H297)</x:f>
        <x:v>Enschede</x:v>
      </x:c>
      <x:c r="H297" s="28" t="str">
        <x:f>IF('Course_Master'!I297="","",'Course_Master'!I297)</x:f>
        <x:v>Enschede</x:v>
      </x:c>
      <x:c r="I297" s="28" t="str">
        <x:f>IF('Course_Master'!K297="","",'Course_Master'!K297)</x:f>
        <x:v>7525 PZ</x:v>
      </x:c>
      <x:c r="J297" s="34" t="n">
        <x:f>IF('Course_Master'!L297="","",'Course_Master'!L297)</x:f>
        <x:v>52.27396238</x:v>
      </x:c>
      <x:c r="K297" s="34" t="n">
        <x:f>IF('Course_Master'!M297="","",'Course_Master'!M297)</x:f>
        <x:v>6.93394937</x:v>
      </x:c>
      <x:c r="L297" s="28" t="n">
        <x:f>IF('Course_Master'!S297="","",'Course_Master'!S297)</x:f>
        <x:v>9</x:v>
      </x:c>
      <x:c r="M297" s="28" t="n">
        <x:f>IF('Course_Master'!T297="","",'Course_Master'!T297)</x:f>
        <x:v>36</x:v>
      </x:c>
      <x:c r="N297" s="28" t="n">
        <x:f>IF('Course_Master'!Q297="","",'Course_Master'!Q297)</x:f>
        <x:v>3330</x:v>
      </x:c>
      <x:c r="O297" s="28" t="n">
        <x:f>IF('Course_Master'!R297="","",'Course_Master'!R297)</x:f>
        <x:v>3045</x:v>
      </x:c>
      <x:c r="P297" s="28" t="str">
        <x:f>IF('Course_Master'!U297="","",'Course_Master'!U297)</x:f>
        <x:v>Full-length course</x:v>
      </x:c>
      <x:c r="Q297" s="28" t="str">
        <x:f>IF('Course_Master'!AD297="","",'Course_Master'!AD297)</x:f>
        <x:v>Public — handicap 54 or lower</x:v>
      </x:c>
      <x:c r="R297" s="28" t="str">
        <x:f>IF('Course_Master'!AC297="","",'Course_Master'!AC297)</x:f>
        <x:v>Open</x:v>
      </x:c>
      <x:c r="S297" s="28" t="str">
        <x:f>IF('Course_Master'!Y297="","",'Course_Master'!Y297)</x:f>
        <x:v>https://www.golfenophetrijk.nl/sybrook.html</x:v>
      </x:c>
      <x:c r="T297" s="28" t="b">
        <x:f>IF('Course_Master'!Z297="","",'Course_Master'!Z297)</x:f>
        <x:v>1</x:v>
      </x:c>
      <x:c r="U297" s="28" t="b">
        <x:f>IF('Course_Master'!AA297="","",'Course_Master'!AA297)</x:f>
        <x:v>1</x:v>
      </x:c>
      <x:c r="V297" s="28" t="str">
        <x:f>IF('Course_Master'!AL297="","",'Course_Master'!AL297)</x:f>
        <x:v>Verified — national register and exact BAG address</x:v>
      </x:c>
    </x:row>
    <x:row r="298">
      <x:c r="A298" s="28" t="str">
        <x:f>IF('Course_Master'!B298="","",'Course_Master'!B298)</x:f>
        <x:v>NL-0297</x:v>
      </x:c>
      <x:c r="B298" s="28" t="str">
        <x:f>IF('Course_Master'!C298="","",'Course_Master'!C298)</x:f>
        <x:v>Golfbaan Het Rijk van Sybrook — Oost</x:v>
      </x:c>
      <x:c r="C298" s="28" t="str">
        <x:f>IF('Course_Master'!D298="","",'Course_Master'!D298)</x:f>
        <x:v>Golfbaan Het Rijk van Sybrook</x:v>
      </x:c>
      <x:c r="D298" s="28" t="str">
        <x:f>IF('Course_Master'!E298="","",'Course_Master'!E298)</x:f>
        <x:v>Oost</x:v>
      </x:c>
      <x:c r="E298" s="28" t="str">
        <x:f>IF('Course_Master'!F298="","",'Course_Master'!F298)</x:f>
        <x:v>Netherlands</x:v>
      </x:c>
      <x:c r="F298" s="28" t="str">
        <x:f>IF('Course_Master'!G298="","",'Course_Master'!G298)</x:f>
        <x:v>Overijssel</x:v>
      </x:c>
      <x:c r="G298" s="28" t="str">
        <x:f>IF('Course_Master'!H298="","",'Course_Master'!H298)</x:f>
        <x:v>Enschede</x:v>
      </x:c>
      <x:c r="H298" s="28" t="str">
        <x:f>IF('Course_Master'!I298="","",'Course_Master'!I298)</x:f>
        <x:v>Enschede</x:v>
      </x:c>
      <x:c r="I298" s="28" t="str">
        <x:f>IF('Course_Master'!K298="","",'Course_Master'!K298)</x:f>
        <x:v>7525 PZ</x:v>
      </x:c>
      <x:c r="J298" s="34" t="n">
        <x:f>IF('Course_Master'!L298="","",'Course_Master'!L298)</x:f>
        <x:v>52.27396238</x:v>
      </x:c>
      <x:c r="K298" s="34" t="n">
        <x:f>IF('Course_Master'!M298="","",'Course_Master'!M298)</x:f>
        <x:v>6.93394937</x:v>
      </x:c>
      <x:c r="L298" s="28" t="n">
        <x:f>IF('Course_Master'!S298="","",'Course_Master'!S298)</x:f>
        <x:v>9</x:v>
      </x:c>
      <x:c r="M298" s="28" t="n">
        <x:f>IF('Course_Master'!T298="","",'Course_Master'!T298)</x:f>
        <x:v>36</x:v>
      </x:c>
      <x:c r="N298" s="28" t="n">
        <x:f>IF('Course_Master'!Q298="","",'Course_Master'!Q298)</x:f>
        <x:v>3323</x:v>
      </x:c>
      <x:c r="O298" s="28" t="n">
        <x:f>IF('Course_Master'!R298="","",'Course_Master'!R298)</x:f>
        <x:v>3039</x:v>
      </x:c>
      <x:c r="P298" s="28" t="str">
        <x:f>IF('Course_Master'!U298="","",'Course_Master'!U298)</x:f>
        <x:v>Full-length course</x:v>
      </x:c>
      <x:c r="Q298" s="28" t="str">
        <x:f>IF('Course_Master'!AD298="","",'Course_Master'!AD298)</x:f>
        <x:v>Public — handicap 54 or lower</x:v>
      </x:c>
      <x:c r="R298" s="28" t="str">
        <x:f>IF('Course_Master'!AC298="","",'Course_Master'!AC298)</x:f>
        <x:v>Open</x:v>
      </x:c>
      <x:c r="S298" s="28" t="str">
        <x:f>IF('Course_Master'!Y298="","",'Course_Master'!Y298)</x:f>
        <x:v>https://www.golfenophetrijk.nl/sybrook.html</x:v>
      </x:c>
      <x:c r="T298" s="28" t="b">
        <x:f>IF('Course_Master'!Z298="","",'Course_Master'!Z298)</x:f>
        <x:v>1</x:v>
      </x:c>
      <x:c r="U298" s="28" t="b">
        <x:f>IF('Course_Master'!AA298="","",'Course_Master'!AA298)</x:f>
        <x:v>1</x:v>
      </x:c>
      <x:c r="V298" s="28" t="str">
        <x:f>IF('Course_Master'!AL298="","",'Course_Master'!AL298)</x:f>
        <x:v>Verified — national register and exact BAG address</x:v>
      </x:c>
    </x:row>
    <x:row r="299">
      <x:c r="A299" s="28" t="str">
        <x:f>IF('Course_Master'!B299="","",'Course_Master'!B299)</x:f>
        <x:v>NL-0298</x:v>
      </x:c>
      <x:c r="B299" s="28" t="str">
        <x:f>IF('Course_Master'!C299="","",'Course_Master'!C299)</x:f>
        <x:v>Golfbaan Het Rijk van Sybrook — Zuid</x:v>
      </x:c>
      <x:c r="C299" s="28" t="str">
        <x:f>IF('Course_Master'!D299="","",'Course_Master'!D299)</x:f>
        <x:v>Golfbaan Het Rijk van Sybrook</x:v>
      </x:c>
      <x:c r="D299" s="28" t="str">
        <x:f>IF('Course_Master'!E299="","",'Course_Master'!E299)</x:f>
        <x:v>Zuid</x:v>
      </x:c>
      <x:c r="E299" s="28" t="str">
        <x:f>IF('Course_Master'!F299="","",'Course_Master'!F299)</x:f>
        <x:v>Netherlands</x:v>
      </x:c>
      <x:c r="F299" s="28" t="str">
        <x:f>IF('Course_Master'!G299="","",'Course_Master'!G299)</x:f>
        <x:v>Overijssel</x:v>
      </x:c>
      <x:c r="G299" s="28" t="str">
        <x:f>IF('Course_Master'!H299="","",'Course_Master'!H299)</x:f>
        <x:v>Enschede</x:v>
      </x:c>
      <x:c r="H299" s="28" t="str">
        <x:f>IF('Course_Master'!I299="","",'Course_Master'!I299)</x:f>
        <x:v>Enschede</x:v>
      </x:c>
      <x:c r="I299" s="28" t="str">
        <x:f>IF('Course_Master'!K299="","",'Course_Master'!K299)</x:f>
        <x:v>7525 PZ</x:v>
      </x:c>
      <x:c r="J299" s="34" t="n">
        <x:f>IF('Course_Master'!L299="","",'Course_Master'!L299)</x:f>
        <x:v>52.27396238</x:v>
      </x:c>
      <x:c r="K299" s="34" t="n">
        <x:f>IF('Course_Master'!M299="","",'Course_Master'!M299)</x:f>
        <x:v>6.93394937</x:v>
      </x:c>
      <x:c r="L299" s="28" t="n">
        <x:f>IF('Course_Master'!S299="","",'Course_Master'!S299)</x:f>
        <x:v>9</x:v>
      </x:c>
      <x:c r="M299" s="28" t="n">
        <x:f>IF('Course_Master'!T299="","",'Course_Master'!T299)</x:f>
        <x:v>36</x:v>
      </x:c>
      <x:c r="N299" s="28" t="n">
        <x:f>IF('Course_Master'!Q299="","",'Course_Master'!Q299)</x:f>
        <x:v>3397</x:v>
      </x:c>
      <x:c r="O299" s="28" t="n">
        <x:f>IF('Course_Master'!R299="","",'Course_Master'!R299)</x:f>
        <x:v>3106</x:v>
      </x:c>
      <x:c r="P299" s="28" t="str">
        <x:f>IF('Course_Master'!U299="","",'Course_Master'!U299)</x:f>
        <x:v>Full-length course</x:v>
      </x:c>
      <x:c r="Q299" s="28" t="str">
        <x:f>IF('Course_Master'!AD299="","",'Course_Master'!AD299)</x:f>
        <x:v>Public — handicap 54 or lower</x:v>
      </x:c>
      <x:c r="R299" s="28" t="str">
        <x:f>IF('Course_Master'!AC299="","",'Course_Master'!AC299)</x:f>
        <x:v>Open</x:v>
      </x:c>
      <x:c r="S299" s="28" t="str">
        <x:f>IF('Course_Master'!Y299="","",'Course_Master'!Y299)</x:f>
        <x:v>https://www.golfenophetrijk.nl/sybrook.html</x:v>
      </x:c>
      <x:c r="T299" s="28" t="b">
        <x:f>IF('Course_Master'!Z299="","",'Course_Master'!Z299)</x:f>
        <x:v>1</x:v>
      </x:c>
      <x:c r="U299" s="28" t="b">
        <x:f>IF('Course_Master'!AA299="","",'Course_Master'!AA299)</x:f>
        <x:v>1</x:v>
      </x:c>
      <x:c r="V299" s="28" t="str">
        <x:f>IF('Course_Master'!AL299="","",'Course_Master'!AL299)</x:f>
        <x:v>Verified — national register and exact BAG address</x:v>
      </x:c>
    </x:row>
    <x:row r="300">
      <x:c r="A300" s="28" t="str">
        <x:f>IF('Course_Master'!B300="","",'Course_Master'!B300)</x:f>
        <x:v>NL-0299</x:v>
      </x:c>
      <x:c r="B300" s="28" t="str">
        <x:f>IF('Course_Master'!C300="","",'Course_Master'!C300)</x:f>
        <x:v>Golfclub Almelo</x:v>
      </x:c>
      <x:c r="C300" s="28" t="str">
        <x:f>IF('Course_Master'!D300="","",'Course_Master'!D300)</x:f>
        <x:v>Golfclub Almelo</x:v>
      </x:c>
      <x:c r="D300" s="28" t="str">
        <x:f>IF('Course_Master'!E300="","",'Course_Master'!E300)</x:f>
        <x:v>Course</x:v>
      </x:c>
      <x:c r="E300" s="28" t="str">
        <x:f>IF('Course_Master'!F300="","",'Course_Master'!F300)</x:f>
        <x:v>Netherlands</x:v>
      </x:c>
      <x:c r="F300" s="28" t="str">
        <x:f>IF('Course_Master'!G300="","",'Course_Master'!G300)</x:f>
        <x:v>Overijssel</x:v>
      </x:c>
      <x:c r="G300" s="28" t="str">
        <x:f>IF('Course_Master'!H300="","",'Course_Master'!H300)</x:f>
        <x:v>Almelo</x:v>
      </x:c>
      <x:c r="H300" s="28" t="str">
        <x:f>IF('Course_Master'!I300="","",'Course_Master'!I300)</x:f>
        <x:v>Almelo</x:v>
      </x:c>
      <x:c r="I300" s="28" t="str">
        <x:f>IF('Course_Master'!K300="","",'Course_Master'!K300)</x:f>
        <x:v>7608 HB</x:v>
      </x:c>
      <x:c r="J300" s="34" t="n">
        <x:f>IF('Course_Master'!L300="","",'Course_Master'!L300)</x:f>
        <x:v>52.38339215</x:v>
      </x:c>
      <x:c r="K300" s="34" t="n">
        <x:f>IF('Course_Master'!M300="","",'Course_Master'!M300)</x:f>
        <x:v>6.67097559</x:v>
      </x:c>
      <x:c r="L300" s="28" t="n">
        <x:f>IF('Course_Master'!S300="","",'Course_Master'!S300)</x:f>
        <x:v>9</x:v>
      </x:c>
      <x:c r="M300" s="28" t="n">
        <x:f>IF('Course_Master'!T300="","",'Course_Master'!T300)</x:f>
        <x:v>30</x:v>
      </x:c>
      <x:c r="N300" s="28" t="n">
        <x:f>IF('Course_Master'!Q300="","",'Course_Master'!Q300)</x:f>
        <x:v>1506</x:v>
      </x:c>
      <x:c r="O300" s="28" t="n">
        <x:f>IF('Course_Master'!R300="","",'Course_Master'!R300)</x:f>
        <x:v>1377</x:v>
      </x:c>
      <x:c r="P300" s="28" t="str">
        <x:f>IF('Course_Master'!U300="","",'Course_Master'!U300)</x:f>
        <x:v>Par-3/4 course</x:v>
      </x:c>
      <x:c r="Q300" s="28" t="str">
        <x:f>IF('Course_Master'!AD300="","",'Course_Master'!AD300)</x:f>
        <x:v>Public — NGF course permission</x:v>
      </x:c>
      <x:c r="R300" s="28" t="str">
        <x:f>IF('Course_Master'!AC300="","",'Course_Master'!AC300)</x:f>
        <x:v>Open</x:v>
      </x:c>
      <x:c r="S300" s="28" t="str">
        <x:f>IF('Course_Master'!Y300="","",'Course_Master'!Y300)</x:f>
        <x:v>https://www.golfinalmelo.nl/</x:v>
      </x:c>
      <x:c r="T300" s="28" t="b">
        <x:f>IF('Course_Master'!Z300="","",'Course_Master'!Z300)</x:f>
        <x:v>1</x:v>
      </x:c>
      <x:c r="U300" s="28" t="b">
        <x:f>IF('Course_Master'!AA300="","",'Course_Master'!AA300)</x:f>
        <x:v>1</x:v>
      </x:c>
      <x:c r="V300" s="28" t="str">
        <x:f>IF('Course_Master'!AL300="","",'Course_Master'!AL300)</x:f>
        <x:v>Verified — national register and exact BAG address</x:v>
      </x:c>
    </x:row>
    <x:row r="301">
      <x:c r="A301" s="28" t="str">
        <x:f>IF('Course_Master'!B301="","",'Course_Master'!B301)</x:f>
        <x:v>NL-0300</x:v>
      </x:c>
      <x:c r="B301" s="28" t="str">
        <x:f>IF('Course_Master'!C301="","",'Course_Master'!C301)</x:f>
        <x:v>Golfclub De Koepel — Main Course</x:v>
      </x:c>
      <x:c r="C301" s="28" t="str">
        <x:f>IF('Course_Master'!D301="","",'Course_Master'!D301)</x:f>
        <x:v>Golfclub De Koepel</x:v>
      </x:c>
      <x:c r="D301" s="28" t="str">
        <x:f>IF('Course_Master'!E301="","",'Course_Master'!E301)</x:f>
        <x:v>Main Course</x:v>
      </x:c>
      <x:c r="E301" s="28" t="str">
        <x:f>IF('Course_Master'!F301="","",'Course_Master'!F301)</x:f>
        <x:v>Netherlands</x:v>
      </x:c>
      <x:c r="F301" s="28" t="str">
        <x:f>IF('Course_Master'!G301="","",'Course_Master'!G301)</x:f>
        <x:v>Overijssel</x:v>
      </x:c>
      <x:c r="G301" s="28" t="str">
        <x:f>IF('Course_Master'!H301="","",'Course_Master'!H301)</x:f>
        <x:v>Wierden</x:v>
      </x:c>
      <x:c r="H301" s="28" t="str">
        <x:f>IF('Course_Master'!I301="","",'Course_Master'!I301)</x:f>
        <x:v>Wierden</x:v>
      </x:c>
      <x:c r="I301" s="28" t="str">
        <x:f>IF('Course_Master'!K301="","",'Course_Master'!K301)</x:f>
        <x:v>7642 NN</x:v>
      </x:c>
      <x:c r="J301" s="34" t="n">
        <x:f>IF('Course_Master'!L301="","",'Course_Master'!L301)</x:f>
        <x:v>52.34225975</x:v>
      </x:c>
      <x:c r="K301" s="34" t="n">
        <x:f>IF('Course_Master'!M301="","",'Course_Master'!M301)</x:f>
        <x:v>6.56405482</x:v>
      </x:c>
      <x:c r="L301" s="28" t="n">
        <x:f>IF('Course_Master'!S301="","",'Course_Master'!S301)</x:f>
        <x:v>18</x:v>
      </x:c>
      <x:c r="M301" s="28" t="n">
        <x:f>IF('Course_Master'!T301="","",'Course_Master'!T301)</x:f>
        <x:v>70</x:v>
      </x:c>
      <x:c r="N301" s="28" t="n">
        <x:f>IF('Course_Master'!Q301="","",'Course_Master'!Q301)</x:f>
        <x:v>6098</x:v>
      </x:c>
      <x:c r="O301" s="28" t="n">
        <x:f>IF('Course_Master'!R301="","",'Course_Master'!R301)</x:f>
        <x:v>5576</x:v>
      </x:c>
      <x:c r="P301" s="28" t="str">
        <x:f>IF('Course_Master'!U301="","",'Course_Master'!U301)</x:f>
        <x:v>Full-length course</x:v>
      </x:c>
      <x:c r="Q301" s="28" t="str">
        <x:f>IF('Course_Master'!AD301="","",'Course_Master'!AD301)</x:f>
        <x:v>Public — handicap 54 or lower</x:v>
      </x:c>
      <x:c r="R301" s="28" t="str">
        <x:f>IF('Course_Master'!AC301="","",'Course_Master'!AC301)</x:f>
        <x:v>Open</x:v>
      </x:c>
      <x:c r="S301" s="28" t="str">
        <x:f>IF('Course_Master'!Y301="","",'Course_Master'!Y301)</x:f>
        <x:v>https://www.golfclubdekoepel.nl/</x:v>
      </x:c>
      <x:c r="T301" s="28" t="b">
        <x:f>IF('Course_Master'!Z301="","",'Course_Master'!Z301)</x:f>
        <x:v>1</x:v>
      </x:c>
      <x:c r="U301" s="28" t="b">
        <x:f>IF('Course_Master'!AA301="","",'Course_Master'!AA301)</x:f>
        <x:v>1</x:v>
      </x:c>
      <x:c r="V301" s="28" t="str">
        <x:f>IF('Course_Master'!AL301="","",'Course_Master'!AL301)</x:f>
        <x:v>Verified — national register and exact BAG address</x:v>
      </x:c>
    </x:row>
    <x:row r="302">
      <x:c r="A302" s="28" t="str">
        <x:f>IF('Course_Master'!B302="","",'Course_Master'!B302)</x:f>
        <x:v>NL-0301</x:v>
      </x:c>
      <x:c r="B302" s="28" t="str">
        <x:f>IF('Course_Master'!C302="","",'Course_Master'!C302)</x:f>
        <x:v>Golfclub Driene</x:v>
      </x:c>
      <x:c r="C302" s="28" t="str">
        <x:f>IF('Course_Master'!D302="","",'Course_Master'!D302)</x:f>
        <x:v>Golfclub Driene</x:v>
      </x:c>
      <x:c r="D302" s="28" t="str">
        <x:f>IF('Course_Master'!E302="","",'Course_Master'!E302)</x:f>
        <x:v>Course</x:v>
      </x:c>
      <x:c r="E302" s="28" t="str">
        <x:f>IF('Course_Master'!F302="","",'Course_Master'!F302)</x:f>
        <x:v>Netherlands</x:v>
      </x:c>
      <x:c r="F302" s="28" t="str">
        <x:f>IF('Course_Master'!G302="","",'Course_Master'!G302)</x:f>
        <x:v>Overijssel</x:v>
      </x:c>
      <x:c r="G302" s="28" t="str">
        <x:f>IF('Course_Master'!H302="","",'Course_Master'!H302)</x:f>
        <x:v>Hengelo (O)</x:v>
      </x:c>
      <x:c r="H302" s="28" t="str">
        <x:f>IF('Course_Master'!I302="","",'Course_Master'!I302)</x:f>
        <x:v>Hengelo</x:v>
      </x:c>
      <x:c r="I302" s="28" t="str">
        <x:f>IF('Course_Master'!K302="","",'Course_Master'!K302)</x:f>
        <x:v>7552 PE</x:v>
      </x:c>
      <x:c r="J302" s="34" t="n">
        <x:f>IF('Course_Master'!L302="","",'Course_Master'!L302)</x:f>
        <x:v>52.252078</x:v>
      </x:c>
      <x:c r="K302" s="34" t="n">
        <x:f>IF('Course_Master'!M302="","",'Course_Master'!M302)</x:f>
        <x:v>6.82586739</x:v>
      </x:c>
      <x:c r="L302" s="28" t="n">
        <x:f>IF('Course_Master'!S302="","",'Course_Master'!S302)</x:f>
        <x:v>9</x:v>
      </x:c>
      <x:c r="M302" s="28" t="n">
        <x:f>IF('Course_Master'!T302="","",'Course_Master'!T302)</x:f>
        <x:v>36</x:v>
      </x:c>
      <x:c r="N302" s="28" t="n">
        <x:f>IF('Course_Master'!Q302="","",'Course_Master'!Q302)</x:f>
        <x:v>2991</x:v>
      </x:c>
      <x:c r="O302" s="28" t="n">
        <x:f>IF('Course_Master'!R302="","",'Course_Master'!R302)</x:f>
        <x:v>2735</x:v>
      </x:c>
      <x:c r="P302" s="28" t="str">
        <x:f>IF('Course_Master'!U302="","",'Course_Master'!U302)</x:f>
        <x:v>Full-length course</x:v>
      </x:c>
      <x:c r="Q302" s="28" t="str">
        <x:f>IF('Course_Master'!AD302="","",'Course_Master'!AD302)</x:f>
        <x:v>Public — handicap 36 or lower</x:v>
      </x:c>
      <x:c r="R302" s="28" t="str">
        <x:f>IF('Course_Master'!AC302="","",'Course_Master'!AC302)</x:f>
        <x:v>Open</x:v>
      </x:c>
      <x:c r="S302" s="28" t="str">
        <x:f>IF('Course_Master'!Y302="","",'Course_Master'!Y302)</x:f>
        <x:v>https://www.golfclubdriene.nl/</x:v>
      </x:c>
      <x:c r="T302" s="28" t="b">
        <x:f>IF('Course_Master'!Z302="","",'Course_Master'!Z302)</x:f>
        <x:v>1</x:v>
      </x:c>
      <x:c r="U302" s="28" t="b">
        <x:f>IF('Course_Master'!AA302="","",'Course_Master'!AA302)</x:f>
        <x:v>1</x:v>
      </x:c>
      <x:c r="V302" s="28" t="str">
        <x:f>IF('Course_Master'!AL302="","",'Course_Master'!AL302)</x:f>
        <x:v>Verified — national register and exact BAG address</x:v>
      </x:c>
    </x:row>
    <x:row r="303">
      <x:c r="A303" s="28" t="str">
        <x:f>IF('Course_Master'!B303="","",'Course_Master'!B303)</x:f>
        <x:v>NL-0302</x:v>
      </x:c>
      <x:c r="B303" s="28" t="str">
        <x:f>IF('Course_Master'!C303="","",'Course_Master'!C303)</x:f>
        <x:v>Golfclub Prinses Wilhelmina</x:v>
      </x:c>
      <x:c r="C303" s="28" t="str">
        <x:f>IF('Course_Master'!D303="","",'Course_Master'!D303)</x:f>
        <x:v>Golfclub Prinses Wilhelmina</x:v>
      </x:c>
      <x:c r="D303" s="28" t="str">
        <x:f>IF('Course_Master'!E303="","",'Course_Master'!E303)</x:f>
        <x:v>Course</x:v>
      </x:c>
      <x:c r="E303" s="28" t="str">
        <x:f>IF('Course_Master'!F303="","",'Course_Master'!F303)</x:f>
        <x:v>Netherlands</x:v>
      </x:c>
      <x:c r="F303" s="28" t="str">
        <x:f>IF('Course_Master'!G303="","",'Course_Master'!G303)</x:f>
        <x:v>Overijssel</x:v>
      </x:c>
      <x:c r="G303" s="28" t="str">
        <x:f>IF('Course_Master'!H303="","",'Course_Master'!H303)</x:f>
        <x:v>Enschede</x:v>
      </x:c>
      <x:c r="H303" s="28" t="str">
        <x:f>IF('Course_Master'!I303="","",'Course_Master'!I303)</x:f>
        <x:v>Enschede</x:v>
      </x:c>
      <x:c r="I303" s="28" t="str">
        <x:f>IF('Course_Master'!K303="","",'Course_Master'!K303)</x:f>
        <x:v>7522 AN</x:v>
      </x:c>
      <x:c r="J303" s="34" t="n">
        <x:f>IF('Course_Master'!L303="","",'Course_Master'!L303)</x:f>
        <x:v>52.23261113</x:v>
      </x:c>
      <x:c r="K303" s="34" t="n">
        <x:f>IF('Course_Master'!M303="","",'Course_Master'!M303)</x:f>
        <x:v>6.87656573</x:v>
      </x:c>
      <x:c r="L303" s="28" t="n">
        <x:f>IF('Course_Master'!S303="","",'Course_Master'!S303)</x:f>
        <x:v>9</x:v>
      </x:c>
      <x:c r="M303" s="28" t="n">
        <x:f>IF('Course_Master'!T303="","",'Course_Master'!T303)</x:f>
        <x:v>28</x:v>
      </x:c>
      <x:c r="N303" s="28" t="n">
        <x:f>IF('Course_Master'!Q303="","",'Course_Master'!Q303)</x:f>
        <x:v>1543</x:v>
      </x:c>
      <x:c r="O303" s="28" t="n">
        <x:f>IF('Course_Master'!R303="","",'Course_Master'!R303)</x:f>
        <x:v>1411</x:v>
      </x:c>
      <x:c r="P303" s="28" t="str">
        <x:f>IF('Course_Master'!U303="","",'Course_Master'!U303)</x:f>
        <x:v>Par-3/4 course</x:v>
      </x:c>
      <x:c r="Q303" s="28" t="str">
        <x:f>IF('Course_Master'!AD303="","",'Course_Master'!AD303)</x:f>
        <x:v>Public — handicap 54 or lower</x:v>
      </x:c>
      <x:c r="R303" s="28" t="str">
        <x:f>IF('Course_Master'!AC303="","",'Course_Master'!AC303)</x:f>
        <x:v>Open</x:v>
      </x:c>
      <x:c r="S303" s="28" t="str">
        <x:f>IF('Course_Master'!Y303="","",'Course_Master'!Y303)</x:f>
        <x:v>https://www.pwgolf.nl/</x:v>
      </x:c>
      <x:c r="T303" s="28" t="b">
        <x:f>IF('Course_Master'!Z303="","",'Course_Master'!Z303)</x:f>
        <x:v>1</x:v>
      </x:c>
      <x:c r="U303" s="28" t="b">
        <x:f>IF('Course_Master'!AA303="","",'Course_Master'!AA303)</x:f>
        <x:v>1</x:v>
      </x:c>
      <x:c r="V303" s="28" t="str">
        <x:f>IF('Course_Master'!AL303="","",'Course_Master'!AL303)</x:f>
        <x:v>Verified — national register and exact BAG address</x:v>
      </x:c>
    </x:row>
    <x:row r="304">
      <x:c r="A304" s="28" t="str">
        <x:f>IF('Course_Master'!B304="","",'Course_Master'!B304)</x:f>
        <x:v>NL-0303</x:v>
      </x:c>
      <x:c r="B304" s="28" t="str">
        <x:f>IF('Course_Master'!C304="","",'Course_Master'!C304)</x:f>
        <x:v>Golfclub Zwolle — Boschwijk</x:v>
      </x:c>
      <x:c r="C304" s="28" t="str">
        <x:f>IF('Course_Master'!D304="","",'Course_Master'!D304)</x:f>
        <x:v>Golfclub Zwolle</x:v>
      </x:c>
      <x:c r="D304" s="28" t="str">
        <x:f>IF('Course_Master'!E304="","",'Course_Master'!E304)</x:f>
        <x:v>Boschwijk</x:v>
      </x:c>
      <x:c r="E304" s="28" t="str">
        <x:f>IF('Course_Master'!F304="","",'Course_Master'!F304)</x:f>
        <x:v>Netherlands</x:v>
      </x:c>
      <x:c r="F304" s="28" t="str">
        <x:f>IF('Course_Master'!G304="","",'Course_Master'!G304)</x:f>
        <x:v>Overijssel</x:v>
      </x:c>
      <x:c r="G304" s="28" t="str">
        <x:f>IF('Course_Master'!H304="","",'Course_Master'!H304)</x:f>
        <x:v>Zwolle</x:v>
      </x:c>
      <x:c r="H304" s="28" t="str">
        <x:f>IF('Course_Master'!I304="","",'Course_Master'!I304)</x:f>
        <x:v>Zwolle</x:v>
      </x:c>
      <x:c r="I304" s="28" t="str">
        <x:f>IF('Course_Master'!K304="","",'Course_Master'!K304)</x:f>
        <x:v>8026 PZ</x:v>
      </x:c>
      <x:c r="J304" s="34" t="n">
        <x:f>IF('Course_Master'!L304="","",'Course_Master'!L304)</x:f>
        <x:v>52.49785629</x:v>
      </x:c>
      <x:c r="K304" s="34" t="n">
        <x:f>IF('Course_Master'!M304="","",'Course_Master'!M304)</x:f>
        <x:v>6.14362186</x:v>
      </x:c>
      <x:c r="L304" s="28" t="n">
        <x:f>IF('Course_Master'!S304="","",'Course_Master'!S304)</x:f>
        <x:v>9</x:v>
      </x:c>
      <x:c r="M304" s="28" t="n">
        <x:f>IF('Course_Master'!T304="","",'Course_Master'!T304)</x:f>
        <x:v>35</x:v>
      </x:c>
      <x:c r="N304" s="28" t="n">
        <x:f>IF('Course_Master'!Q304="","",'Course_Master'!Q304)</x:f>
        <x:v>3149</x:v>
      </x:c>
      <x:c r="O304" s="28" t="n">
        <x:f>IF('Course_Master'!R304="","",'Course_Master'!R304)</x:f>
        <x:v>2879</x:v>
      </x:c>
      <x:c r="P304" s="28" t="str">
        <x:f>IF('Course_Master'!U304="","",'Course_Master'!U304)</x:f>
        <x:v>Full-length course</x:v>
      </x:c>
      <x:c r="Q304" s="28" t="str">
        <x:f>IF('Course_Master'!AD304="","",'Course_Master'!AD304)</x:f>
        <x:v>Public — handicap 54 or lower</x:v>
      </x:c>
      <x:c r="R304" s="28" t="str">
        <x:f>IF('Course_Master'!AC304="","",'Course_Master'!AC304)</x:f>
        <x:v>Open</x:v>
      </x:c>
      <x:c r="S304" s="28" t="str">
        <x:f>IF('Course_Master'!Y304="","",'Course_Master'!Y304)</x:f>
        <x:v>https://www.golfclubzwolle.nl/</x:v>
      </x:c>
      <x:c r="T304" s="28" t="b">
        <x:f>IF('Course_Master'!Z304="","",'Course_Master'!Z304)</x:f>
        <x:v>1</x:v>
      </x:c>
      <x:c r="U304" s="28" t="b">
        <x:f>IF('Course_Master'!AA304="","",'Course_Master'!AA304)</x:f>
        <x:v>1</x:v>
      </x:c>
      <x:c r="V304" s="28" t="str">
        <x:f>IF('Course_Master'!AL304="","",'Course_Master'!AL304)</x:f>
        <x:v>Verified — national register and exact BAG address</x:v>
      </x:c>
    </x:row>
    <x:row r="305">
      <x:c r="A305" s="28" t="str">
        <x:f>IF('Course_Master'!B305="","",'Course_Master'!B305)</x:f>
        <x:v>NL-0304</x:v>
      </x:c>
      <x:c r="B305" s="28" t="str">
        <x:f>IF('Course_Master'!C305="","",'Course_Master'!C305)</x:f>
        <x:v>Golfclub Zwolle — Veldwijk</x:v>
      </x:c>
      <x:c r="C305" s="28" t="str">
        <x:f>IF('Course_Master'!D305="","",'Course_Master'!D305)</x:f>
        <x:v>Golfclub Zwolle</x:v>
      </x:c>
      <x:c r="D305" s="28" t="str">
        <x:f>IF('Course_Master'!E305="","",'Course_Master'!E305)</x:f>
        <x:v>Veldwijk</x:v>
      </x:c>
      <x:c r="E305" s="28" t="str">
        <x:f>IF('Course_Master'!F305="","",'Course_Master'!F305)</x:f>
        <x:v>Netherlands</x:v>
      </x:c>
      <x:c r="F305" s="28" t="str">
        <x:f>IF('Course_Master'!G305="","",'Course_Master'!G305)</x:f>
        <x:v>Overijssel</x:v>
      </x:c>
      <x:c r="G305" s="28" t="str">
        <x:f>IF('Course_Master'!H305="","",'Course_Master'!H305)</x:f>
        <x:v>Zwolle</x:v>
      </x:c>
      <x:c r="H305" s="28" t="str">
        <x:f>IF('Course_Master'!I305="","",'Course_Master'!I305)</x:f>
        <x:v>Zwolle</x:v>
      </x:c>
      <x:c r="I305" s="28" t="str">
        <x:f>IF('Course_Master'!K305="","",'Course_Master'!K305)</x:f>
        <x:v>8026 PZ</x:v>
      </x:c>
      <x:c r="J305" s="34" t="n">
        <x:f>IF('Course_Master'!L305="","",'Course_Master'!L305)</x:f>
        <x:v>52.49785629</x:v>
      </x:c>
      <x:c r="K305" s="34" t="n">
        <x:f>IF('Course_Master'!M305="","",'Course_Master'!M305)</x:f>
        <x:v>6.14362186</x:v>
      </x:c>
      <x:c r="L305" s="28" t="n">
        <x:f>IF('Course_Master'!S305="","",'Course_Master'!S305)</x:f>
        <x:v>9</x:v>
      </x:c>
      <x:c r="M305" s="28" t="n">
        <x:f>IF('Course_Master'!T305="","",'Course_Master'!T305)</x:f>
        <x:v>37</x:v>
      </x:c>
      <x:c r="N305" s="28" t="n">
        <x:f>IF('Course_Master'!Q305="","",'Course_Master'!Q305)</x:f>
        <x:v>3529</x:v>
      </x:c>
      <x:c r="O305" s="28" t="n">
        <x:f>IF('Course_Master'!R305="","",'Course_Master'!R305)</x:f>
        <x:v>3227</x:v>
      </x:c>
      <x:c r="P305" s="28" t="str">
        <x:f>IF('Course_Master'!U305="","",'Course_Master'!U305)</x:f>
        <x:v>Full-length course</x:v>
      </x:c>
      <x:c r="Q305" s="28" t="str">
        <x:f>IF('Course_Master'!AD305="","",'Course_Master'!AD305)</x:f>
        <x:v>Public — handicap 54 or lower</x:v>
      </x:c>
      <x:c r="R305" s="28" t="str">
        <x:f>IF('Course_Master'!AC305="","",'Course_Master'!AC305)</x:f>
        <x:v>Open</x:v>
      </x:c>
      <x:c r="S305" s="28" t="str">
        <x:f>IF('Course_Master'!Y305="","",'Course_Master'!Y305)</x:f>
        <x:v>https://www.golfclubzwolle.nl/</x:v>
      </x:c>
      <x:c r="T305" s="28" t="b">
        <x:f>IF('Course_Master'!Z305="","",'Course_Master'!Z305)</x:f>
        <x:v>1</x:v>
      </x:c>
      <x:c r="U305" s="28" t="b">
        <x:f>IF('Course_Master'!AA305="","",'Course_Master'!AA305)</x:f>
        <x:v>1</x:v>
      </x:c>
      <x:c r="V305" s="28" t="str">
        <x:f>IF('Course_Master'!AL305="","",'Course_Master'!AL305)</x:f>
        <x:v>Verified — national register and exact BAG address</x:v>
      </x:c>
    </x:row>
    <x:row r="306">
      <x:c r="A306" s="28" t="str">
        <x:f>IF('Course_Master'!B306="","",'Course_Master'!B306)</x:f>
        <x:v>NL-0305</x:v>
      </x:c>
      <x:c r="B306" s="28" t="str">
        <x:f>IF('Course_Master'!C306="","",'Course_Master'!C306)</x:f>
        <x:v>Golfplezier Twente</x:v>
      </x:c>
      <x:c r="C306" s="28" t="str">
        <x:f>IF('Course_Master'!D306="","",'Course_Master'!D306)</x:f>
        <x:v>Golfplezier Twente</x:v>
      </x:c>
      <x:c r="D306" s="28" t="str">
        <x:f>IF('Course_Master'!E306="","",'Course_Master'!E306)</x:f>
        <x:v>Course</x:v>
      </x:c>
      <x:c r="E306" s="28" t="str">
        <x:f>IF('Course_Master'!F306="","",'Course_Master'!F306)</x:f>
        <x:v>Netherlands</x:v>
      </x:c>
      <x:c r="F306" s="28" t="str">
        <x:f>IF('Course_Master'!G306="","",'Course_Master'!G306)</x:f>
        <x:v>Overijssel</x:v>
      </x:c>
      <x:c r="G306" s="28" t="str">
        <x:f>IF('Course_Master'!H306="","",'Course_Master'!H306)</x:f>
        <x:v>Wierden</x:v>
      </x:c>
      <x:c r="H306" s="28" t="str">
        <x:f>IF('Course_Master'!I306="","",'Course_Master'!I306)</x:f>
        <x:v>Hoge Hexel</x:v>
      </x:c>
      <x:c r="I306" s="28" t="str">
        <x:f>IF('Course_Master'!K306="","",'Course_Master'!K306)</x:f>
        <x:v>7645 AJ</x:v>
      </x:c>
      <x:c r="J306" s="34" t="n">
        <x:f>IF('Course_Master'!L306="","",'Course_Master'!L306)</x:f>
        <x:v>52.40656305</x:v>
      </x:c>
      <x:c r="K306" s="34" t="n">
        <x:f>IF('Course_Master'!M306="","",'Course_Master'!M306)</x:f>
        <x:v>6.56888108</x:v>
      </x:c>
      <x:c r="L306" s="28" t="n">
        <x:f>IF('Course_Master'!S306="","",'Course_Master'!S306)</x:f>
        <x:v>9</x:v>
      </x:c>
      <x:c r="M306" s="28" t="n">
        <x:f>IF('Course_Master'!T306="","",'Course_Master'!T306)</x:f>
        <x:v>27</x:v>
      </x:c>
      <x:c r="N306" s="28" t="n">
        <x:f>IF('Course_Master'!Q306="","",'Course_Master'!Q306)</x:f>
        <x:v>895</x:v>
      </x:c>
      <x:c r="O306" s="28" t="n">
        <x:f>IF('Course_Master'!R306="","",'Course_Master'!R306)</x:f>
        <x:v>818</x:v>
      </x:c>
      <x:c r="P306" s="28" t="str">
        <x:f>IF('Course_Master'!U306="","",'Course_Master'!U306)</x:f>
        <x:v>Par-3 course</x:v>
      </x:c>
      <x:c r="Q306" s="28" t="str">
        <x:f>IF('Course_Master'!AD306="","",'Course_Master'!AD306)</x:f>
        <x:v>Public — no playing requirement</x:v>
      </x:c>
      <x:c r="R306" s="28" t="str">
        <x:f>IF('Course_Master'!AC306="","",'Course_Master'!AC306)</x:f>
        <x:v>Open</x:v>
      </x:c>
      <x:c r="S306" s="28" t="str">
        <x:f>IF('Course_Master'!Y306="","",'Course_Master'!Y306)</x:f>
        <x:v>https://golfpleziertwente.nl/</x:v>
      </x:c>
      <x:c r="T306" s="28" t="b">
        <x:f>IF('Course_Master'!Z306="","",'Course_Master'!Z306)</x:f>
        <x:v>1</x:v>
      </x:c>
      <x:c r="U306" s="28" t="b">
        <x:f>IF('Course_Master'!AA306="","",'Course_Master'!AA306)</x:f>
        <x:v>1</x:v>
      </x:c>
      <x:c r="V306" s="28" t="str">
        <x:f>IF('Course_Master'!AL306="","",'Course_Master'!AL306)</x:f>
        <x:v>Verified — national register and exact BAG address</x:v>
      </x:c>
    </x:row>
    <x:row r="307">
      <x:c r="A307" s="28" t="str">
        <x:f>IF('Course_Master'!B307="","",'Course_Master'!B307)</x:f>
        <x:v>NL-0306</x:v>
      </x:c>
      <x:c r="B307" s="28" t="str">
        <x:f>IF('Course_Master'!C307="","",'Course_Master'!C307)</x:f>
        <x:v>Golftuin Zwolle</x:v>
      </x:c>
      <x:c r="C307" s="28" t="str">
        <x:f>IF('Course_Master'!D307="","",'Course_Master'!D307)</x:f>
        <x:v>Golftuin Zwolle</x:v>
      </x:c>
      <x:c r="D307" s="28" t="str">
        <x:f>IF('Course_Master'!E307="","",'Course_Master'!E307)</x:f>
        <x:v>Course</x:v>
      </x:c>
      <x:c r="E307" s="28" t="str">
        <x:f>IF('Course_Master'!F307="","",'Course_Master'!F307)</x:f>
        <x:v>Netherlands</x:v>
      </x:c>
      <x:c r="F307" s="28" t="str">
        <x:f>IF('Course_Master'!G307="","",'Course_Master'!G307)</x:f>
        <x:v>Overijssel</x:v>
      </x:c>
      <x:c r="G307" s="28" t="str">
        <x:f>IF('Course_Master'!H307="","",'Course_Master'!H307)</x:f>
        <x:v>Zwolle</x:v>
      </x:c>
      <x:c r="H307" s="28" t="str">
        <x:f>IF('Course_Master'!I307="","",'Course_Master'!I307)</x:f>
        <x:v>Zwolle</x:v>
      </x:c>
      <x:c r="I307" s="28" t="str">
        <x:f>IF('Course_Master'!K307="","",'Course_Master'!K307)</x:f>
        <x:v>8015 RH</x:v>
      </x:c>
      <x:c r="J307" s="34" t="n">
        <x:f>IF('Course_Master'!L307="","",'Course_Master'!L307)</x:f>
        <x:v>52.46551467</x:v>
      </x:c>
      <x:c r="K307" s="34" t="n">
        <x:f>IF('Course_Master'!M307="","",'Course_Master'!M307)</x:f>
        <x:v>6.12651238</x:v>
      </x:c>
      <x:c r="L307" s="28" t="n">
        <x:f>IF('Course_Master'!S307="","",'Course_Master'!S307)</x:f>
        <x:v>9</x:v>
      </x:c>
      <x:c r="M307" s="28" t="n">
        <x:f>IF('Course_Master'!T307="","",'Course_Master'!T307)</x:f>
        <x:v>27</x:v>
      </x:c>
      <x:c r="N307" s="28" t="n">
        <x:f>IF('Course_Master'!Q307="","",'Course_Master'!Q307)</x:f>
        <x:v>937</x:v>
      </x:c>
      <x:c r="O307" s="28" t="n">
        <x:f>IF('Course_Master'!R307="","",'Course_Master'!R307)</x:f>
        <x:v>857</x:v>
      </x:c>
      <x:c r="P307" s="28" t="str">
        <x:f>IF('Course_Master'!U307="","",'Course_Master'!U307)</x:f>
        <x:v>Par-3 course</x:v>
      </x:c>
      <x:c r="Q307" s="28" t="str">
        <x:f>IF('Course_Master'!AD307="","",'Course_Master'!AD307)</x:f>
        <x:v>Geen eis (alleen introducees)</x:v>
      </x:c>
      <x:c r="R307" s="28" t="str">
        <x:f>IF('Course_Master'!AC307="","",'Course_Master'!AC307)</x:f>
        <x:v>Open</x:v>
      </x:c>
      <x:c r="S307" s="28" t="str">
        <x:f>IF('Course_Master'!Y307="","",'Course_Master'!Y307)</x:f>
        <x:v>https://www.golftuinzwolle.nl/</x:v>
      </x:c>
      <x:c r="T307" s="28" t="b">
        <x:f>IF('Course_Master'!Z307="","",'Course_Master'!Z307)</x:f>
        <x:v>1</x:v>
      </x:c>
      <x:c r="U307" s="28" t="b">
        <x:f>IF('Course_Master'!AA307="","",'Course_Master'!AA307)</x:f>
        <x:v>1</x:v>
      </x:c>
      <x:c r="V307" s="28" t="str">
        <x:f>IF('Course_Master'!AL307="","",'Course_Master'!AL307)</x:f>
        <x:v>Verified — national register and exact BAG address</x:v>
      </x:c>
    </x:row>
    <x:row r="308">
      <x:c r="A308" s="28" t="str">
        <x:f>IF('Course_Master'!B308="","",'Course_Master'!B308)</x:f>
        <x:v>NL-0307</x:v>
      </x:c>
      <x:c r="B308" s="28" t="str">
        <x:f>IF('Course_Master'!C308="","",'Course_Master'!C308)</x:f>
        <x:v>Hattemse Golf &amp; Country Club</x:v>
      </x:c>
      <x:c r="C308" s="28" t="str">
        <x:f>IF('Course_Master'!D308="","",'Course_Master'!D308)</x:f>
        <x:v>Hattemse Golf &amp; Country Club</x:v>
      </x:c>
      <x:c r="D308" s="28" t="str">
        <x:f>IF('Course_Master'!E308="","",'Course_Master'!E308)</x:f>
        <x:v>Course</x:v>
      </x:c>
      <x:c r="E308" s="28" t="str">
        <x:f>IF('Course_Master'!F308="","",'Course_Master'!F308)</x:f>
        <x:v>Netherlands</x:v>
      </x:c>
      <x:c r="F308" s="28" t="str">
        <x:f>IF('Course_Master'!G308="","",'Course_Master'!G308)</x:f>
        <x:v>Overijssel</x:v>
      </x:c>
      <x:c r="G308" s="28" t="str">
        <x:f>IF('Course_Master'!H308="","",'Course_Master'!H308)</x:f>
        <x:v>Hattem</x:v>
      </x:c>
      <x:c r="H308" s="28" t="str">
        <x:f>IF('Course_Master'!I308="","",'Course_Master'!I308)</x:f>
        <x:v>Hattem</x:v>
      </x:c>
      <x:c r="I308" s="28" t="str">
        <x:f>IF('Course_Master'!K308="","",'Course_Master'!K308)</x:f>
        <x:v>8051 AS</x:v>
      </x:c>
      <x:c r="J308" s="34" t="n">
        <x:f>IF('Course_Master'!L308="","",'Course_Master'!L308)</x:f>
        <x:v>52.45432199</x:v>
      </x:c>
      <x:c r="K308" s="34" t="n">
        <x:f>IF('Course_Master'!M308="","",'Course_Master'!M308)</x:f>
        <x:v>6.07154923</x:v>
      </x:c>
      <x:c r="L308" s="28" t="n">
        <x:f>IF('Course_Master'!S308="","",'Course_Master'!S308)</x:f>
        <x:v>9</x:v>
      </x:c>
      <x:c r="M308" s="28" t="n">
        <x:f>IF('Course_Master'!T308="","",'Course_Master'!T308)</x:f>
        <x:v>34</x:v>
      </x:c>
      <x:c r="N308" s="28" t="n">
        <x:f>IF('Course_Master'!Q308="","",'Course_Master'!Q308)</x:f>
        <x:v>2881</x:v>
      </x:c>
      <x:c r="O308" s="28" t="n">
        <x:f>IF('Course_Master'!R308="","",'Course_Master'!R308)</x:f>
        <x:v>2634</x:v>
      </x:c>
      <x:c r="P308" s="28" t="str">
        <x:f>IF('Course_Master'!U308="","",'Course_Master'!U308)</x:f>
        <x:v>Full-length course</x:v>
      </x:c>
      <x:c r="Q308" s="28" t="str">
        <x:f>IF('Course_Master'!AD308="","",'Course_Master'!AD308)</x:f>
        <x:v>Public — handicap 36 or lower</x:v>
      </x:c>
      <x:c r="R308" s="28" t="str">
        <x:f>IF('Course_Master'!AC308="","",'Course_Master'!AC308)</x:f>
        <x:v>Open</x:v>
      </x:c>
      <x:c r="S308" s="28" t="str">
        <x:f>IF('Course_Master'!Y308="","",'Course_Master'!Y308)</x:f>
        <x:v>https://www.golfclubhavelte.nl/</x:v>
      </x:c>
      <x:c r="T308" s="28" t="b">
        <x:f>IF('Course_Master'!Z308="","",'Course_Master'!Z308)</x:f>
        <x:v>1</x:v>
      </x:c>
      <x:c r="U308" s="28" t="b">
        <x:f>IF('Course_Master'!AA308="","",'Course_Master'!AA308)</x:f>
        <x:v>1</x:v>
      </x:c>
      <x:c r="V308" s="28" t="str">
        <x:f>IF('Course_Master'!AL308="","",'Course_Master'!AL308)</x:f>
        <x:v>Verified — national register and exact BAG address</x:v>
      </x:c>
    </x:row>
    <x:row r="309">
      <x:c r="A309" s="28" t="str">
        <x:f>IF('Course_Master'!B309="","",'Course_Master'!B309)</x:f>
        <x:v>NL-0308</x:v>
      </x:c>
      <x:c r="B309" s="28" t="str">
        <x:f>IF('Course_Master'!C309="","",'Course_Master'!C309)</x:f>
        <x:v>Hooge Graven Golfclub Ommen — Main Course</x:v>
      </x:c>
      <x:c r="C309" s="28" t="str">
        <x:f>IF('Course_Master'!D309="","",'Course_Master'!D309)</x:f>
        <x:v>Hooge Graven Golfclub Ommen</x:v>
      </x:c>
      <x:c r="D309" s="28" t="str">
        <x:f>IF('Course_Master'!E309="","",'Course_Master'!E309)</x:f>
        <x:v>Main Course</x:v>
      </x:c>
      <x:c r="E309" s="28" t="str">
        <x:f>IF('Course_Master'!F309="","",'Course_Master'!F309)</x:f>
        <x:v>Netherlands</x:v>
      </x:c>
      <x:c r="F309" s="28" t="str">
        <x:f>IF('Course_Master'!G309="","",'Course_Master'!G309)</x:f>
        <x:v>Overijssel</x:v>
      </x:c>
      <x:c r="G309" s="28" t="str">
        <x:f>IF('Course_Master'!H309="","",'Course_Master'!H309)</x:f>
        <x:v>Ommen</x:v>
      </x:c>
      <x:c r="H309" s="28" t="str">
        <x:f>IF('Course_Master'!I309="","",'Course_Master'!I309)</x:f>
        <x:v>Arriën</x:v>
      </x:c>
      <x:c r="I309" s="28" t="str">
        <x:f>IF('Course_Master'!K309="","",'Course_Master'!K309)</x:f>
        <x:v>7735 KP</x:v>
      </x:c>
      <x:c r="J309" s="34" t="n">
        <x:f>IF('Course_Master'!L309="","",'Course_Master'!L309)</x:f>
        <x:v>52.54234235</x:v>
      </x:c>
      <x:c r="K309" s="34" t="n">
        <x:f>IF('Course_Master'!M309="","",'Course_Master'!M309)</x:f>
        <x:v>6.44711283</x:v>
      </x:c>
      <x:c r="L309" s="28" t="n">
        <x:f>IF('Course_Master'!S309="","",'Course_Master'!S309)</x:f>
        <x:v>18</x:v>
      </x:c>
      <x:c r="M309" s="28" t="n">
        <x:f>IF('Course_Master'!T309="","",'Course_Master'!T309)</x:f>
        <x:v>72</x:v>
      </x:c>
      <x:c r="N309" s="28" t="n">
        <x:f>IF('Course_Master'!Q309="","",'Course_Master'!Q309)</x:f>
        <x:v>6774</x:v>
      </x:c>
      <x:c r="O309" s="28" t="n">
        <x:f>IF('Course_Master'!R309="","",'Course_Master'!R309)</x:f>
        <x:v>6194</x:v>
      </x:c>
      <x:c r="P309" s="28" t="str">
        <x:f>IF('Course_Master'!U309="","",'Course_Master'!U309)</x:f>
        <x:v>Full-length course</x:v>
      </x:c>
      <x:c r="Q309" s="28" t="str">
        <x:f>IF('Course_Master'!AD309="","",'Course_Master'!AD309)</x:f>
        <x:v>Public — handicap 54 or lower</x:v>
      </x:c>
      <x:c r="R309" s="28" t="str">
        <x:f>IF('Course_Master'!AC309="","",'Course_Master'!AC309)</x:f>
        <x:v>Open</x:v>
      </x:c>
      <x:c r="S309" s="28" t="str">
        <x:f>IF('Course_Master'!Y309="","",'Course_Master'!Y309)</x:f>
        <x:v>https://hoogegraven.nl/</x:v>
      </x:c>
      <x:c r="T309" s="28" t="b">
        <x:f>IF('Course_Master'!Z309="","",'Course_Master'!Z309)</x:f>
        <x:v>1</x:v>
      </x:c>
      <x:c r="U309" s="28" t="b">
        <x:f>IF('Course_Master'!AA309="","",'Course_Master'!AA309)</x:f>
        <x:v>1</x:v>
      </x:c>
      <x:c r="V309" s="28" t="str">
        <x:f>IF('Course_Master'!AL309="","",'Course_Master'!AL309)</x:f>
        <x:v>Verified — national register and exact BAG address</x:v>
      </x:c>
    </x:row>
    <x:row r="310">
      <x:c r="A310" s="28" t="str">
        <x:f>IF('Course_Master'!B310="","",'Course_Master'!B310)</x:f>
        <x:v>NL-0309</x:v>
      </x:c>
      <x:c r="B310" s="28" t="str">
        <x:f>IF('Course_Master'!C310="","",'Course_Master'!C310)</x:f>
        <x:v>Hooge Graven Golfclub Ommen — Par-3 Course</x:v>
      </x:c>
      <x:c r="C310" s="28" t="str">
        <x:f>IF('Course_Master'!D310="","",'Course_Master'!D310)</x:f>
        <x:v>Hooge Graven Golfclub Ommen</x:v>
      </x:c>
      <x:c r="D310" s="28" t="str">
        <x:f>IF('Course_Master'!E310="","",'Course_Master'!E310)</x:f>
        <x:v>Par-3 Course</x:v>
      </x:c>
      <x:c r="E310" s="28" t="str">
        <x:f>IF('Course_Master'!F310="","",'Course_Master'!F310)</x:f>
        <x:v>Netherlands</x:v>
      </x:c>
      <x:c r="F310" s="28" t="str">
        <x:f>IF('Course_Master'!G310="","",'Course_Master'!G310)</x:f>
        <x:v>Overijssel</x:v>
      </x:c>
      <x:c r="G310" s="28" t="str">
        <x:f>IF('Course_Master'!H310="","",'Course_Master'!H310)</x:f>
        <x:v>Ommen</x:v>
      </x:c>
      <x:c r="H310" s="28" t="str">
        <x:f>IF('Course_Master'!I310="","",'Course_Master'!I310)</x:f>
        <x:v>Arriën</x:v>
      </x:c>
      <x:c r="I310" s="28" t="str">
        <x:f>IF('Course_Master'!K310="","",'Course_Master'!K310)</x:f>
        <x:v>7735 KP</x:v>
      </x:c>
      <x:c r="J310" s="34" t="n">
        <x:f>IF('Course_Master'!L310="","",'Course_Master'!L310)</x:f>
        <x:v>52.54234235</x:v>
      </x:c>
      <x:c r="K310" s="34" t="n">
        <x:f>IF('Course_Master'!M310="","",'Course_Master'!M310)</x:f>
        <x:v>6.44711283</x:v>
      </x:c>
      <x:c r="L310" s="28" t="n">
        <x:f>IF('Course_Master'!S310="","",'Course_Master'!S310)</x:f>
        <x:v>9</x:v>
      </x:c>
      <x:c r="M310" s="28" t="n">
        <x:f>IF('Course_Master'!T310="","",'Course_Master'!T310)</x:f>
        <x:v>27</x:v>
      </x:c>
      <x:c r="N310" s="28" t="n">
        <x:f>IF('Course_Master'!Q310="","",'Course_Master'!Q310)</x:f>
        <x:v>924</x:v>
      </x:c>
      <x:c r="O310" s="28" t="n">
        <x:f>IF('Course_Master'!R310="","",'Course_Master'!R310)</x:f>
        <x:v>845</x:v>
      </x:c>
      <x:c r="P310" s="28" t="str">
        <x:f>IF('Course_Master'!U310="","",'Course_Master'!U310)</x:f>
        <x:v>Par-3 course</x:v>
      </x:c>
      <x:c r="Q310" s="28" t="str">
        <x:f>IF('Course_Master'!AD310="","",'Course_Master'!AD310)</x:f>
        <x:v>Public — NGF course permission</x:v>
      </x:c>
      <x:c r="R310" s="28" t="str">
        <x:f>IF('Course_Master'!AC310="","",'Course_Master'!AC310)</x:f>
        <x:v>Open</x:v>
      </x:c>
      <x:c r="S310" s="28" t="str">
        <x:f>IF('Course_Master'!Y310="","",'Course_Master'!Y310)</x:f>
        <x:v>https://hoogegraven.nl/</x:v>
      </x:c>
      <x:c r="T310" s="28" t="b">
        <x:f>IF('Course_Master'!Z310="","",'Course_Master'!Z310)</x:f>
        <x:v>1</x:v>
      </x:c>
      <x:c r="U310" s="28" t="b">
        <x:f>IF('Course_Master'!AA310="","",'Course_Master'!AA310)</x:f>
        <x:v>1</x:v>
      </x:c>
      <x:c r="V310" s="28" t="str">
        <x:f>IF('Course_Master'!AL310="","",'Course_Master'!AL310)</x:f>
        <x:v>Verified — national register and exact BAG address</x:v>
      </x:c>
    </x:row>
    <x:row r="311">
      <x:c r="A311" s="28" t="str">
        <x:f>IF('Course_Master'!B311="","",'Course_Master'!B311)</x:f>
        <x:v>NL-0310</x:v>
      </x:c>
      <x:c r="B311" s="28" t="str">
        <x:f>IF('Course_Master'!C311="","",'Course_Master'!C311)</x:f>
        <x:v>Pitch &amp; putt Lemele</x:v>
      </x:c>
      <x:c r="C311" s="28" t="str">
        <x:f>IF('Course_Master'!D311="","",'Course_Master'!D311)</x:f>
        <x:v>Pitch &amp; putt Lemele</x:v>
      </x:c>
      <x:c r="D311" s="28" t="str">
        <x:f>IF('Course_Master'!E311="","",'Course_Master'!E311)</x:f>
        <x:v>Course</x:v>
      </x:c>
      <x:c r="E311" s="28" t="str">
        <x:f>IF('Course_Master'!F311="","",'Course_Master'!F311)</x:f>
        <x:v>Netherlands</x:v>
      </x:c>
      <x:c r="F311" s="28" t="str">
        <x:f>IF('Course_Master'!G311="","",'Course_Master'!G311)</x:f>
        <x:v>Overijssel</x:v>
      </x:c>
      <x:c r="G311" s="28" t="str">
        <x:f>IF('Course_Master'!H311="","",'Course_Master'!H311)</x:f>
        <x:v>Ommen</x:v>
      </x:c>
      <x:c r="H311" s="28" t="str">
        <x:f>IF('Course_Master'!I311="","",'Course_Master'!I311)</x:f>
        <x:v>Lemele</x:v>
      </x:c>
      <x:c r="I311" s="28" t="str">
        <x:f>IF('Course_Master'!K311="","",'Course_Master'!K311)</x:f>
        <x:v>8148 RA</x:v>
      </x:c>
      <x:c r="J311" s="34" t="n">
        <x:f>IF('Course_Master'!L311="","",'Course_Master'!L311)</x:f>
        <x:v>52.45356353</x:v>
      </x:c>
      <x:c r="K311" s="34" t="n">
        <x:f>IF('Course_Master'!M311="","",'Course_Master'!M311)</x:f>
        <x:v>6.41079034</x:v>
      </x:c>
      <x:c r="L311" s="28" t="n">
        <x:f>IF('Course_Master'!S311="","",'Course_Master'!S311)</x:f>
        <x:v>9</x:v>
      </x:c>
      <x:c r="M311" s="28" t="n">
        <x:f>IF('Course_Master'!T311="","",'Course_Master'!T311)</x:f>
        <x:v>27</x:v>
      </x:c>
      <x:c r="N311" s="28" t="n">
        <x:f>IF('Course_Master'!Q311="","",'Course_Master'!Q311)</x:f>
        <x:v>492</x:v>
      </x:c>
      <x:c r="O311" s="28" t="n">
        <x:f>IF('Course_Master'!R311="","",'Course_Master'!R311)</x:f>
        <x:v>450</x:v>
      </x:c>
      <x:c r="P311" s="28" t="str">
        <x:f>IF('Course_Master'!U311="","",'Course_Master'!U311)</x:f>
        <x:v>Shortgolf / Pitch &amp; Putt</x:v>
      </x:c>
      <x:c r="Q311" s="28" t="str">
        <x:f>IF('Course_Master'!AD311="","",'Course_Master'!AD311)</x:f>
        <x:v>Public — no playing requirement</x:v>
      </x:c>
      <x:c r="R311" s="28" t="str">
        <x:f>IF('Course_Master'!AC311="","",'Course_Master'!AC311)</x:f>
        <x:v>Open</x:v>
      </x:c>
      <x:c r="S311" s="28" t="str">
        <x:f>IF('Course_Master'!Y311="","",'Course_Master'!Y311)</x:f>
        <x:v>https://www.facebook.com/pitchenputtlemele</x:v>
      </x:c>
      <x:c r="T311" s="28" t="b">
        <x:f>IF('Course_Master'!Z311="","",'Course_Master'!Z311)</x:f>
        <x:v>1</x:v>
      </x:c>
      <x:c r="U311" s="28" t="b">
        <x:f>IF('Course_Master'!AA311="","",'Course_Master'!AA311)</x:f>
        <x:v>1</x:v>
      </x:c>
      <x:c r="V311" s="28" t="str">
        <x:f>IF('Course_Master'!AL311="","",'Course_Master'!AL311)</x:f>
        <x:v>Verified — national register and exact BAG address</x:v>
      </x:c>
    </x:row>
    <x:row r="312">
      <x:c r="A312" s="28" t="str">
        <x:f>IF('Course_Master'!B312="","",'Course_Master'!B312)</x:f>
        <x:v>NL-0311</x:v>
      </x:c>
      <x:c r="B312" s="28" t="str">
        <x:f>IF('Course_Master'!C312="","",'Course_Master'!C312)</x:f>
        <x:v>Pitch &amp; Putt Twente — Shortgolf / Pitch &amp; Putt Course</x:v>
      </x:c>
      <x:c r="C312" s="28" t="str">
        <x:f>IF('Course_Master'!D312="","",'Course_Master'!D312)</x:f>
        <x:v>Pitch &amp; Putt Twente</x:v>
      </x:c>
      <x:c r="D312" s="28" t="str">
        <x:f>IF('Course_Master'!E312="","",'Course_Master'!E312)</x:f>
        <x:v>Shortgolf / Pitch &amp; Putt Course</x:v>
      </x:c>
      <x:c r="E312" s="28" t="str">
        <x:f>IF('Course_Master'!F312="","",'Course_Master'!F312)</x:f>
        <x:v>Netherlands</x:v>
      </x:c>
      <x:c r="F312" s="28" t="str">
        <x:f>IF('Course_Master'!G312="","",'Course_Master'!G312)</x:f>
        <x:v>Overijssel</x:v>
      </x:c>
      <x:c r="G312" s="28" t="str">
        <x:f>IF('Course_Master'!H312="","",'Course_Master'!H312)</x:f>
        <x:v>Hof van Twente</x:v>
      </x:c>
      <x:c r="H312" s="28" t="str">
        <x:f>IF('Course_Master'!I312="","",'Course_Master'!I312)</x:f>
        <x:v>Diepenheim</x:v>
      </x:c>
      <x:c r="I312" s="28" t="str">
        <x:f>IF('Course_Master'!K312="","",'Course_Master'!K312)</x:f>
        <x:v>7478 PE</x:v>
      </x:c>
      <x:c r="J312" s="34" t="n">
        <x:f>IF('Course_Master'!L312="","",'Course_Master'!L312)</x:f>
        <x:v>52.19776367</x:v>
      </x:c>
      <x:c r="K312" s="34" t="n">
        <x:f>IF('Course_Master'!M312="","",'Course_Master'!M312)</x:f>
        <x:v>6.59026026</x:v>
      </x:c>
      <x:c r="L312" s="28" t="n">
        <x:f>IF('Course_Master'!S312="","",'Course_Master'!S312)</x:f>
        <x:v>18</x:v>
      </x:c>
      <x:c r="M312" s="28" t="n">
        <x:f>IF('Course_Master'!T312="","",'Course_Master'!T312)</x:f>
        <x:v>54</x:v>
      </x:c>
      <x:c r="N312" s="28" t="n">
        <x:f>IF('Course_Master'!Q312="","",'Course_Master'!Q312)</x:f>
        <x:v>1006</x:v>
      </x:c>
      <x:c r="O312" s="28" t="n">
        <x:f>IF('Course_Master'!R312="","",'Course_Master'!R312)</x:f>
        <x:v>920</x:v>
      </x:c>
      <x:c r="P312" s="28" t="str">
        <x:f>IF('Course_Master'!U312="","",'Course_Master'!U312)</x:f>
        <x:v>Shortgolf / Pitch &amp; Putt</x:v>
      </x:c>
      <x:c r="Q312" s="28" t="str">
        <x:f>IF('Course_Master'!AD312="","",'Course_Master'!AD312)</x:f>
        <x:v>Public — no playing requirement</x:v>
      </x:c>
      <x:c r="R312" s="28" t="str">
        <x:f>IF('Course_Master'!AC312="","",'Course_Master'!AC312)</x:f>
        <x:v>Open</x:v>
      </x:c>
      <x:c r="S312" s="28" t="str">
        <x:f>IF('Course_Master'!Y312="","",'Course_Master'!Y312)</x:f>
        <x:v>https://pitch-putt-twente.nl/</x:v>
      </x:c>
      <x:c r="T312" s="28" t="b">
        <x:f>IF('Course_Master'!Z312="","",'Course_Master'!Z312)</x:f>
        <x:v>1</x:v>
      </x:c>
      <x:c r="U312" s="28" t="b">
        <x:f>IF('Course_Master'!AA312="","",'Course_Master'!AA312)</x:f>
        <x:v>1</x:v>
      </x:c>
      <x:c r="V312" s="28" t="str">
        <x:f>IF('Course_Master'!AL312="","",'Course_Master'!AL312)</x:f>
        <x:v>Verified — national register and exact BAG address</x:v>
      </x:c>
    </x:row>
    <x:row r="313">
      <x:c r="A313" s="28" t="str">
        <x:f>IF('Course_Master'!B313="","",'Course_Master'!B313)</x:f>
        <x:v>NL-0312</x:v>
      </x:c>
      <x:c r="B313" s="28" t="str">
        <x:f>IF('Course_Master'!C313="","",'Course_Master'!C313)</x:f>
        <x:v>Sallandsche Golfclub De Hoek — Main Course</x:v>
      </x:c>
      <x:c r="C313" s="28" t="str">
        <x:f>IF('Course_Master'!D313="","",'Course_Master'!D313)</x:f>
        <x:v>Sallandsche Golfclub De Hoek</x:v>
      </x:c>
      <x:c r="D313" s="28" t="str">
        <x:f>IF('Course_Master'!E313="","",'Course_Master'!E313)</x:f>
        <x:v>Main Course</x:v>
      </x:c>
      <x:c r="E313" s="28" t="str">
        <x:f>IF('Course_Master'!F313="","",'Course_Master'!F313)</x:f>
        <x:v>Netherlands</x:v>
      </x:c>
      <x:c r="F313" s="28" t="str">
        <x:f>IF('Course_Master'!G313="","",'Course_Master'!G313)</x:f>
        <x:v>Overijssel</x:v>
      </x:c>
      <x:c r="G313" s="28" t="str">
        <x:f>IF('Course_Master'!H313="","",'Course_Master'!H313)</x:f>
        <x:v>Deventer</x:v>
      </x:c>
      <x:c r="H313" s="28" t="str">
        <x:f>IF('Course_Master'!I313="","",'Course_Master'!I313)</x:f>
        <x:v>Diepenveen</x:v>
      </x:c>
      <x:c r="I313" s="28" t="str">
        <x:f>IF('Course_Master'!K313="","",'Course_Master'!K313)</x:f>
        <x:v>7431 PR</x:v>
      </x:c>
      <x:c r="J313" s="34" t="n">
        <x:f>IF('Course_Master'!L313="","",'Course_Master'!L313)</x:f>
        <x:v>52.29651037</x:v>
      </x:c>
      <x:c r="K313" s="34" t="n">
        <x:f>IF('Course_Master'!M313="","",'Course_Master'!M313)</x:f>
        <x:v>6.16320478</x:v>
      </x:c>
      <x:c r="L313" s="28" t="n">
        <x:f>IF('Course_Master'!S313="","",'Course_Master'!S313)</x:f>
        <x:v>18</x:v>
      </x:c>
      <x:c r="M313" s="28" t="n">
        <x:f>IF('Course_Master'!T313="","",'Course_Master'!T313)</x:f>
        <x:v>72</x:v>
      </x:c>
      <x:c r="N313" s="28" t="n">
        <x:f>IF('Course_Master'!Q313="","",'Course_Master'!Q313)</x:f>
        <x:v>6622</x:v>
      </x:c>
      <x:c r="O313" s="28" t="n">
        <x:f>IF('Course_Master'!R313="","",'Course_Master'!R313)</x:f>
        <x:v>6055</x:v>
      </x:c>
      <x:c r="P313" s="28" t="str">
        <x:f>IF('Course_Master'!U313="","",'Course_Master'!U313)</x:f>
        <x:v>Full-length course</x:v>
      </x:c>
      <x:c r="Q313" s="28" t="str">
        <x:f>IF('Course_Master'!AD313="","",'Course_Master'!AD313)</x:f>
        <x:v>Public — handicap 36 or lower</x:v>
      </x:c>
      <x:c r="R313" s="28" t="str">
        <x:f>IF('Course_Master'!AC313="","",'Course_Master'!AC313)</x:f>
        <x:v>Open</x:v>
      </x:c>
      <x:c r="S313" s="28" t="str">
        <x:f>IF('Course_Master'!Y313="","",'Course_Master'!Y313)</x:f>
        <x:v>https://sallandsche.nl/</x:v>
      </x:c>
      <x:c r="T313" s="28" t="b">
        <x:f>IF('Course_Master'!Z313="","",'Course_Master'!Z313)</x:f>
        <x:v>1</x:v>
      </x:c>
      <x:c r="U313" s="28" t="b">
        <x:f>IF('Course_Master'!AA313="","",'Course_Master'!AA313)</x:f>
        <x:v>1</x:v>
      </x:c>
      <x:c r="V313" s="28" t="str">
        <x:f>IF('Course_Master'!AL313="","",'Course_Master'!AL313)</x:f>
        <x:v>Verified — national register and exact BAG address</x:v>
      </x:c>
    </x:row>
    <x:row r="314">
      <x:c r="A314" s="28" t="str">
        <x:f>IF('Course_Master'!B314="","",'Course_Master'!B314)</x:f>
        <x:v>NL-0313</x:v>
      </x:c>
      <x:c r="B314" s="28" t="str">
        <x:f>IF('Course_Master'!C314="","",'Course_Master'!C314)</x:f>
        <x:v>Short Golf Hof van Twente</x:v>
      </x:c>
      <x:c r="C314" s="28" t="str">
        <x:f>IF('Course_Master'!D314="","",'Course_Master'!D314)</x:f>
        <x:v>Short Golf Hof van Twente</x:v>
      </x:c>
      <x:c r="D314" s="28" t="str">
        <x:f>IF('Course_Master'!E314="","",'Course_Master'!E314)</x:f>
        <x:v>Course</x:v>
      </x:c>
      <x:c r="E314" s="28" t="str">
        <x:f>IF('Course_Master'!F314="","",'Course_Master'!F314)</x:f>
        <x:v>Netherlands</x:v>
      </x:c>
      <x:c r="F314" s="28" t="str">
        <x:f>IF('Course_Master'!G314="","",'Course_Master'!G314)</x:f>
        <x:v>Overijssel</x:v>
      </x:c>
      <x:c r="G314" s="28" t="str">
        <x:f>IF('Course_Master'!H314="","",'Course_Master'!H314)</x:f>
        <x:v>Hof van Twente</x:v>
      </x:c>
      <x:c r="H314" s="28" t="str">
        <x:f>IF('Course_Master'!I314="","",'Course_Master'!I314)</x:f>
        <x:v>Bentelo</x:v>
      </x:c>
      <x:c r="I314" s="28" t="str">
        <x:f>IF('Course_Master'!K314="","",'Course_Master'!K314)</x:f>
        <x:v>7497 MX</x:v>
      </x:c>
      <x:c r="J314" s="34" t="n">
        <x:f>IF('Course_Master'!L314="","",'Course_Master'!L314)</x:f>
        <x:v>52.24038466</x:v>
      </x:c>
      <x:c r="K314" s="34" t="n">
        <x:f>IF('Course_Master'!M314="","",'Course_Master'!M314)</x:f>
        <x:v>6.69455137</x:v>
      </x:c>
      <x:c r="L314" s="28" t="n">
        <x:f>IF('Course_Master'!S314="","",'Course_Master'!S314)</x:f>
        <x:v>9</x:v>
      </x:c>
      <x:c r="M314" s="28" t="n">
        <x:f>IF('Course_Master'!T314="","",'Course_Master'!T314)</x:f>
        <x:v>27</x:v>
      </x:c>
      <x:c r="N314" s="28" t="n">
        <x:f>IF('Course_Master'!Q314="","",'Course_Master'!Q314)</x:f>
        <x:v>694</x:v>
      </x:c>
      <x:c r="O314" s="28" t="n">
        <x:f>IF('Course_Master'!R314="","",'Course_Master'!R314)</x:f>
        <x:v>635</x:v>
      </x:c>
      <x:c r="P314" s="28" t="str">
        <x:f>IF('Course_Master'!U314="","",'Course_Master'!U314)</x:f>
        <x:v>Par-3 course</x:v>
      </x:c>
      <x:c r="Q314" s="28" t="str">
        <x:f>IF('Course_Master'!AD314="","",'Course_Master'!AD314)</x:f>
        <x:v>Public — no playing requirement</x:v>
      </x:c>
      <x:c r="R314" s="28" t="str">
        <x:f>IF('Course_Master'!AC314="","",'Course_Master'!AC314)</x:f>
        <x:v>Open</x:v>
      </x:c>
      <x:c r="S314" s="28" t="str">
        <x:f>IF('Course_Master'!Y314="","",'Course_Master'!Y314)</x:f>
        <x:v>https://shortgolfhofvantwente.nl/</x:v>
      </x:c>
      <x:c r="T314" s="28" t="b">
        <x:f>IF('Course_Master'!Z314="","",'Course_Master'!Z314)</x:f>
        <x:v>1</x:v>
      </x:c>
      <x:c r="U314" s="28" t="b">
        <x:f>IF('Course_Master'!AA314="","",'Course_Master'!AA314)</x:f>
        <x:v>1</x:v>
      </x:c>
      <x:c r="V314" s="28" t="str">
        <x:f>IF('Course_Master'!AL314="","",'Course_Master'!AL314)</x:f>
        <x:v>Verified — national register and exact BAG address</x:v>
      </x:c>
    </x:row>
    <x:row r="315">
      <x:c r="A315" s="28" t="str">
        <x:f>IF('Course_Master'!B315="","",'Course_Master'!B315)</x:f>
        <x:v>NL-0314</x:v>
      </x:c>
      <x:c r="B315" s="28" t="str">
        <x:f>IF('Course_Master'!C315="","",'Course_Master'!C315)</x:f>
        <x:v>Shortgolf Twente — Par-3 Course</x:v>
      </x:c>
      <x:c r="C315" s="28" t="str">
        <x:f>IF('Course_Master'!D315="","",'Course_Master'!D315)</x:f>
        <x:v>Shortgolf Twente</x:v>
      </x:c>
      <x:c r="D315" s="28" t="str">
        <x:f>IF('Course_Master'!E315="","",'Course_Master'!E315)</x:f>
        <x:v>Par-3 Course</x:v>
      </x:c>
      <x:c r="E315" s="28" t="str">
        <x:f>IF('Course_Master'!F315="","",'Course_Master'!F315)</x:f>
        <x:v>Netherlands</x:v>
      </x:c>
      <x:c r="F315" s="28" t="str">
        <x:f>IF('Course_Master'!G315="","",'Course_Master'!G315)</x:f>
        <x:v>Overijssel</x:v>
      </x:c>
      <x:c r="G315" s="28" t="str">
        <x:f>IF('Course_Master'!H315="","",'Course_Master'!H315)</x:f>
        <x:v>Tubbergen</x:v>
      </x:c>
      <x:c r="H315" s="28" t="str">
        <x:f>IF('Course_Master'!I315="","",'Course_Master'!I315)</x:f>
        <x:v>Tubbergen</x:v>
      </x:c>
      <x:c r="I315" s="28" t="str">
        <x:f>IF('Course_Master'!K315="","",'Course_Master'!K315)</x:f>
        <x:v>7651 KP</x:v>
      </x:c>
      <x:c r="J315" s="34" t="n">
        <x:f>IF('Course_Master'!L315="","",'Course_Master'!L315)</x:f>
        <x:v>52.40996073</x:v>
      </x:c>
      <x:c r="K315" s="34" t="n">
        <x:f>IF('Course_Master'!M315="","",'Course_Master'!M315)</x:f>
        <x:v>6.8060919</x:v>
      </x:c>
      <x:c r="L315" s="28" t="n">
        <x:f>IF('Course_Master'!S315="","",'Course_Master'!S315)</x:f>
        <x:v>9</x:v>
      </x:c>
      <x:c r="M315" s="28" t="n">
        <x:f>IF('Course_Master'!T315="","",'Course_Master'!T315)</x:f>
        <x:v>27</x:v>
      </x:c>
      <x:c r="N315" s="28" t="n">
        <x:f>IF('Course_Master'!Q315="","",'Course_Master'!Q315)</x:f>
        <x:v>694</x:v>
      </x:c>
      <x:c r="O315" s="28" t="n">
        <x:f>IF('Course_Master'!R315="","",'Course_Master'!R315)</x:f>
        <x:v>635</x:v>
      </x:c>
      <x:c r="P315" s="28" t="str">
        <x:f>IF('Course_Master'!U315="","",'Course_Master'!U315)</x:f>
        <x:v>Par-3 course</x:v>
      </x:c>
      <x:c r="Q315" s="28" t="str">
        <x:f>IF('Course_Master'!AD315="","",'Course_Master'!AD315)</x:f>
        <x:v>Public — no playing requirement</x:v>
      </x:c>
      <x:c r="R315" s="28" t="str">
        <x:f>IF('Course_Master'!AC315="","",'Course_Master'!AC315)</x:f>
        <x:v>Open</x:v>
      </x:c>
      <x:c r="S315" s="28" t="str">
        <x:f>IF('Course_Master'!Y315="","",'Course_Master'!Y315)</x:f>
        <x:v>https://shortgolftwente.nl/</x:v>
      </x:c>
      <x:c r="T315" s="28" t="b">
        <x:f>IF('Course_Master'!Z315="","",'Course_Master'!Z315)</x:f>
        <x:v>1</x:v>
      </x:c>
      <x:c r="U315" s="28" t="b">
        <x:f>IF('Course_Master'!AA315="","",'Course_Master'!AA315)</x:f>
        <x:v>1</x:v>
      </x:c>
      <x:c r="V315" s="28" t="str">
        <x:f>IF('Course_Master'!AL315="","",'Course_Master'!AL315)</x:f>
        <x:v>Verified — national register and exact BAG address</x:v>
      </x:c>
    </x:row>
    <x:row r="316">
      <x:c r="A316" s="28" t="str">
        <x:f>IF('Course_Master'!B316="","",'Course_Master'!B316)</x:f>
        <x:v>NL-0315</x:v>
      </x:c>
      <x:c r="B316" s="28" t="str">
        <x:f>IF('Course_Master'!C316="","",'Course_Master'!C316)</x:f>
        <x:v>Shortgolf Twente — Shortgolf / Pitch &amp; Putt Course</x:v>
      </x:c>
      <x:c r="C316" s="28" t="str">
        <x:f>IF('Course_Master'!D316="","",'Course_Master'!D316)</x:f>
        <x:v>Shortgolf Twente</x:v>
      </x:c>
      <x:c r="D316" s="28" t="str">
        <x:f>IF('Course_Master'!E316="","",'Course_Master'!E316)</x:f>
        <x:v>Shortgolf / Pitch &amp; Putt Course</x:v>
      </x:c>
      <x:c r="E316" s="28" t="str">
        <x:f>IF('Course_Master'!F316="","",'Course_Master'!F316)</x:f>
        <x:v>Netherlands</x:v>
      </x:c>
      <x:c r="F316" s="28" t="str">
        <x:f>IF('Course_Master'!G316="","",'Course_Master'!G316)</x:f>
        <x:v>Overijssel</x:v>
      </x:c>
      <x:c r="G316" s="28" t="str">
        <x:f>IF('Course_Master'!H316="","",'Course_Master'!H316)</x:f>
        <x:v>Tubbergen</x:v>
      </x:c>
      <x:c r="H316" s="28" t="str">
        <x:f>IF('Course_Master'!I316="","",'Course_Master'!I316)</x:f>
        <x:v>Tubbergen</x:v>
      </x:c>
      <x:c r="I316" s="28" t="str">
        <x:f>IF('Course_Master'!K316="","",'Course_Master'!K316)</x:f>
        <x:v>7651 KP</x:v>
      </x:c>
      <x:c r="J316" s="34" t="n">
        <x:f>IF('Course_Master'!L316="","",'Course_Master'!L316)</x:f>
        <x:v>52.40996073</x:v>
      </x:c>
      <x:c r="K316" s="34" t="n">
        <x:f>IF('Course_Master'!M316="","",'Course_Master'!M316)</x:f>
        <x:v>6.8060919</x:v>
      </x:c>
      <x:c r="L316" s="28" t="n">
        <x:f>IF('Course_Master'!S316="","",'Course_Master'!S316)</x:f>
        <x:v>9</x:v>
      </x:c>
      <x:c r="M316" s="28" t="n">
        <x:f>IF('Course_Master'!T316="","",'Course_Master'!T316)</x:f>
        <x:v>27</x:v>
      </x:c>
      <x:c r="N316" s="28" t="n">
        <x:f>IF('Course_Master'!Q316="","",'Course_Master'!Q316)</x:f>
        <x:v>492</x:v>
      </x:c>
      <x:c r="O316" s="28" t="n">
        <x:f>IF('Course_Master'!R316="","",'Course_Master'!R316)</x:f>
        <x:v>450</x:v>
      </x:c>
      <x:c r="P316" s="28" t="str">
        <x:f>IF('Course_Master'!U316="","",'Course_Master'!U316)</x:f>
        <x:v>Shortgolf / Pitch &amp; Putt</x:v>
      </x:c>
      <x:c r="Q316" s="28" t="str">
        <x:f>IF('Course_Master'!AD316="","",'Course_Master'!AD316)</x:f>
        <x:v>Public — no playing requirement</x:v>
      </x:c>
      <x:c r="R316" s="28" t="str">
        <x:f>IF('Course_Master'!AC316="","",'Course_Master'!AC316)</x:f>
        <x:v>Open</x:v>
      </x:c>
      <x:c r="S316" s="28" t="str">
        <x:f>IF('Course_Master'!Y316="","",'Course_Master'!Y316)</x:f>
        <x:v>https://shortgolftwente.nl/</x:v>
      </x:c>
      <x:c r="T316" s="28" t="b">
        <x:f>IF('Course_Master'!Z316="","",'Course_Master'!Z316)</x:f>
        <x:v>1</x:v>
      </x:c>
      <x:c r="U316" s="28" t="b">
        <x:f>IF('Course_Master'!AA316="","",'Course_Master'!AA316)</x:f>
        <x:v>1</x:v>
      </x:c>
      <x:c r="V316" s="28" t="str">
        <x:f>IF('Course_Master'!AL316="","",'Course_Master'!AL316)</x:f>
        <x:v>Verified — national register and exact BAG address</x:v>
      </x:c>
    </x:row>
    <x:row r="317">
      <x:c r="A317" s="28" t="str">
        <x:f>IF('Course_Master'!B317="","",'Course_Master'!B317)</x:f>
        <x:v>NL-0316</x:v>
      </x:c>
      <x:c r="B317" s="28" t="str">
        <x:f>IF('Course_Master'!C317="","",'Course_Master'!C317)</x:f>
        <x:v>Spielehof — Grobbebaan</x:v>
      </x:c>
      <x:c r="C317" s="28" t="str">
        <x:f>IF('Course_Master'!D317="","",'Course_Master'!D317)</x:f>
        <x:v>Spielehof</x:v>
      </x:c>
      <x:c r="D317" s="28" t="str">
        <x:f>IF('Course_Master'!E317="","",'Course_Master'!E317)</x:f>
        <x:v>Grobbebaan</x:v>
      </x:c>
      <x:c r="E317" s="28" t="str">
        <x:f>IF('Course_Master'!F317="","",'Course_Master'!F317)</x:f>
        <x:v>Netherlands</x:v>
      </x:c>
      <x:c r="F317" s="28" t="str">
        <x:f>IF('Course_Master'!G317="","",'Course_Master'!G317)</x:f>
        <x:v>Overijssel</x:v>
      </x:c>
      <x:c r="G317" s="28" t="str">
        <x:f>IF('Course_Master'!H317="","",'Course_Master'!H317)</x:f>
        <x:v>Enschede</x:v>
      </x:c>
      <x:c r="H317" s="28" t="str">
        <x:f>IF('Course_Master'!I317="","",'Course_Master'!I317)</x:f>
        <x:v>Enschede</x:v>
      </x:c>
      <x:c r="I317" s="28" t="str">
        <x:f>IF('Course_Master'!K317="","",'Course_Master'!K317)</x:f>
        <x:v>7548 RR</x:v>
      </x:c>
      <x:c r="J317" s="34" t="n">
        <x:f>IF('Course_Master'!L317="","",'Course_Master'!L317)</x:f>
        <x:v>52.2017133</x:v>
      </x:c>
      <x:c r="K317" s="34" t="n">
        <x:f>IF('Course_Master'!M317="","",'Course_Master'!M317)</x:f>
        <x:v>6.7849028</x:v>
      </x:c>
      <x:c r="L317" s="28" t="n">
        <x:f>IF('Course_Master'!S317="","",'Course_Master'!S317)</x:f>
        <x:v>9</x:v>
      </x:c>
      <x:c r="M317" s="28" t="n">
        <x:f>IF('Course_Master'!T317="","",'Course_Master'!T317)</x:f>
        <x:v>29</x:v>
      </x:c>
      <x:c r="N317" s="28" t="n">
        <x:f>IF('Course_Master'!Q317="","",'Course_Master'!Q317)</x:f>
        <x:v>1674</x:v>
      </x:c>
      <x:c r="O317" s="28" t="n">
        <x:f>IF('Course_Master'!R317="","",'Course_Master'!R317)</x:f>
        <x:v>1531</x:v>
      </x:c>
      <x:c r="P317" s="28" t="str">
        <x:f>IF('Course_Master'!U317="","",'Course_Master'!U317)</x:f>
        <x:v>Par-3/4 course</x:v>
      </x:c>
      <x:c r="Q317" s="28" t="str">
        <x:f>IF('Course_Master'!AD317="","",'Course_Master'!AD317)</x:f>
        <x:v>Public — handicap 54 or lower</x:v>
      </x:c>
      <x:c r="R317" s="28" t="str">
        <x:f>IF('Course_Master'!AC317="","",'Course_Master'!AC317)</x:f>
        <x:v>Open</x:v>
      </x:c>
      <x:c r="S317" s="28" t="str">
        <x:f>IF('Course_Master'!Y317="","",'Course_Master'!Y317)</x:f>
        <x:v>https://www.spielehof.nl/</x:v>
      </x:c>
      <x:c r="T317" s="28" t="b">
        <x:f>IF('Course_Master'!Z317="","",'Course_Master'!Z317)</x:f>
        <x:v>1</x:v>
      </x:c>
      <x:c r="U317" s="28" t="b">
        <x:f>IF('Course_Master'!AA317="","",'Course_Master'!AA317)</x:f>
        <x:v>1</x:v>
      </x:c>
      <x:c r="V317" s="28" t="str">
        <x:f>IF('Course_Master'!AL317="","",'Course_Master'!AL317)</x:f>
        <x:v>Verified — national register and exact BAG address</x:v>
      </x:c>
    </x:row>
    <x:row r="318">
      <x:c r="A318" s="28" t="str">
        <x:f>IF('Course_Master'!B318="","",'Course_Master'!B318)</x:f>
        <x:v>NL-0317</x:v>
      </x:c>
      <x:c r="B318" s="28" t="str">
        <x:f>IF('Course_Master'!C318="","",'Course_Master'!C318)</x:f>
        <x:v>Spielehof — Shortgolf / Pitch &amp; Putt Course</x:v>
      </x:c>
      <x:c r="C318" s="28" t="str">
        <x:f>IF('Course_Master'!D318="","",'Course_Master'!D318)</x:f>
        <x:v>Spielehof</x:v>
      </x:c>
      <x:c r="D318" s="28" t="str">
        <x:f>IF('Course_Master'!E318="","",'Course_Master'!E318)</x:f>
        <x:v>Shortgolf / Pitch &amp; Putt Course</x:v>
      </x:c>
      <x:c r="E318" s="28" t="str">
        <x:f>IF('Course_Master'!F318="","",'Course_Master'!F318)</x:f>
        <x:v>Netherlands</x:v>
      </x:c>
      <x:c r="F318" s="28" t="str">
        <x:f>IF('Course_Master'!G318="","",'Course_Master'!G318)</x:f>
        <x:v>Overijssel</x:v>
      </x:c>
      <x:c r="G318" s="28" t="str">
        <x:f>IF('Course_Master'!H318="","",'Course_Master'!H318)</x:f>
        <x:v>Enschede</x:v>
      </x:c>
      <x:c r="H318" s="28" t="str">
        <x:f>IF('Course_Master'!I318="","",'Course_Master'!I318)</x:f>
        <x:v>Enschede</x:v>
      </x:c>
      <x:c r="I318" s="28" t="str">
        <x:f>IF('Course_Master'!K318="","",'Course_Master'!K318)</x:f>
        <x:v>7548 RR</x:v>
      </x:c>
      <x:c r="J318" s="34" t="n">
        <x:f>IF('Course_Master'!L318="","",'Course_Master'!L318)</x:f>
        <x:v>52.2017133</x:v>
      </x:c>
      <x:c r="K318" s="34" t="n">
        <x:f>IF('Course_Master'!M318="","",'Course_Master'!M318)</x:f>
        <x:v>6.7849028</x:v>
      </x:c>
      <x:c r="L318" s="28" t="n">
        <x:f>IF('Course_Master'!S318="","",'Course_Master'!S318)</x:f>
        <x:v>18</x:v>
      </x:c>
      <x:c r="M318" s="28" t="n">
        <x:f>IF('Course_Master'!T318="","",'Course_Master'!T318)</x:f>
        <x:v>54</x:v>
      </x:c>
      <x:c r="N318" s="28" t="n">
        <x:f>IF('Course_Master'!Q318="","",'Course_Master'!Q318)</x:f>
        <x:v>1114</x:v>
      </x:c>
      <x:c r="O318" s="28" t="n">
        <x:f>IF('Course_Master'!R318="","",'Course_Master'!R318)</x:f>
        <x:v>1019</x:v>
      </x:c>
      <x:c r="P318" s="28" t="str">
        <x:f>IF('Course_Master'!U318="","",'Course_Master'!U318)</x:f>
        <x:v>Shortgolf / Pitch &amp; Putt</x:v>
      </x:c>
      <x:c r="Q318" s="28" t="str">
        <x:f>IF('Course_Master'!AD318="","",'Course_Master'!AD318)</x:f>
        <x:v>Public — no playing requirement</x:v>
      </x:c>
      <x:c r="R318" s="28" t="str">
        <x:f>IF('Course_Master'!AC318="","",'Course_Master'!AC318)</x:f>
        <x:v>Open</x:v>
      </x:c>
      <x:c r="S318" s="28" t="str">
        <x:f>IF('Course_Master'!Y318="","",'Course_Master'!Y318)</x:f>
        <x:v>https://www.spielehof.nl/</x:v>
      </x:c>
      <x:c r="T318" s="28" t="b">
        <x:f>IF('Course_Master'!Z318="","",'Course_Master'!Z318)</x:f>
        <x:v>1</x:v>
      </x:c>
      <x:c r="U318" s="28" t="b">
        <x:f>IF('Course_Master'!AA318="","",'Course_Master'!AA318)</x:f>
        <x:v>1</x:v>
      </x:c>
      <x:c r="V318" s="28" t="str">
        <x:f>IF('Course_Master'!AL318="","",'Course_Master'!AL318)</x:f>
        <x:v>Verified — national register and exact BAG address</x:v>
      </x:c>
    </x:row>
    <x:row r="319">
      <x:c r="A319" s="28" t="str">
        <x:f>IF('Course_Master'!B319="","",'Course_Master'!B319)</x:f>
        <x:v>NL-0318</x:v>
      </x:c>
      <x:c r="B319" s="28" t="str">
        <x:f>IF('Course_Master'!C319="","",'Course_Master'!C319)</x:f>
        <x:v>Twentsche Golfclub — Main Course</x:v>
      </x:c>
      <x:c r="C319" s="28" t="str">
        <x:f>IF('Course_Master'!D319="","",'Course_Master'!D319)</x:f>
        <x:v>Twentsche Golfclub</x:v>
      </x:c>
      <x:c r="D319" s="28" t="str">
        <x:f>IF('Course_Master'!E319="","",'Course_Master'!E319)</x:f>
        <x:v>Main Course</x:v>
      </x:c>
      <x:c r="E319" s="28" t="str">
        <x:f>IF('Course_Master'!F319="","",'Course_Master'!F319)</x:f>
        <x:v>Netherlands</x:v>
      </x:c>
      <x:c r="F319" s="28" t="str">
        <x:f>IF('Course_Master'!G319="","",'Course_Master'!G319)</x:f>
        <x:v>Overijssel</x:v>
      </x:c>
      <x:c r="G319" s="28" t="str">
        <x:f>IF('Course_Master'!H319="","",'Course_Master'!H319)</x:f>
        <x:v>Hof van Twente</x:v>
      </x:c>
      <x:c r="H319" s="28" t="str">
        <x:f>IF('Course_Master'!I319="","",'Course_Master'!I319)</x:f>
        <x:v>Ambt Delden</x:v>
      </x:c>
      <x:c r="I319" s="28" t="str">
        <x:f>IF('Course_Master'!K319="","",'Course_Master'!K319)</x:f>
        <x:v>7495 TG</x:v>
      </x:c>
      <x:c r="J319" s="34" t="n">
        <x:f>IF('Course_Master'!L319="","",'Course_Master'!L319)</x:f>
        <x:v>52.2898875</x:v>
      </x:c>
      <x:c r="K319" s="34" t="n">
        <x:f>IF('Course_Master'!M319="","",'Course_Master'!M319)</x:f>
        <x:v>6.67507535</x:v>
      </x:c>
      <x:c r="L319" s="28" t="n">
        <x:f>IF('Course_Master'!S319="","",'Course_Master'!S319)</x:f>
        <x:v>18</x:v>
      </x:c>
      <x:c r="M319" s="28" t="n">
        <x:f>IF('Course_Master'!T319="","",'Course_Master'!T319)</x:f>
        <x:v>72</x:v>
      </x:c>
      <x:c r="N319" s="28" t="n">
        <x:f>IF('Course_Master'!Q319="","",'Course_Master'!Q319)</x:f>
        <x:v>6867</x:v>
      </x:c>
      <x:c r="O319" s="28" t="n">
        <x:f>IF('Course_Master'!R319="","",'Course_Master'!R319)</x:f>
        <x:v>6279</x:v>
      </x:c>
      <x:c r="P319" s="28" t="str">
        <x:f>IF('Course_Master'!U319="","",'Course_Master'!U319)</x:f>
        <x:v>Full-length course</x:v>
      </x:c>
      <x:c r="Q319" s="28" t="str">
        <x:f>IF('Course_Master'!AD319="","",'Course_Master'!AD319)</x:f>
        <x:v>Public — handicap 36 or lower</x:v>
      </x:c>
      <x:c r="R319" s="28" t="str">
        <x:f>IF('Course_Master'!AC319="","",'Course_Master'!AC319)</x:f>
        <x:v>Open</x:v>
      </x:c>
      <x:c r="S319" s="28" t="str">
        <x:f>IF('Course_Master'!Y319="","",'Course_Master'!Y319)</x:f>
        <x:v>https://twentschegolfclub.nl/</x:v>
      </x:c>
      <x:c r="T319" s="28" t="b">
        <x:f>IF('Course_Master'!Z319="","",'Course_Master'!Z319)</x:f>
        <x:v>1</x:v>
      </x:c>
      <x:c r="U319" s="28" t="b">
        <x:f>IF('Course_Master'!AA319="","",'Course_Master'!AA319)</x:f>
        <x:v>1</x:v>
      </x:c>
      <x:c r="V319" s="28" t="str">
        <x:f>IF('Course_Master'!AL319="","",'Course_Master'!AL319)</x:f>
        <x:v>Verified — national register and exact BAG address</x:v>
      </x:c>
    </x:row>
    <x:row r="320">
      <x:c r="A320" s="28" t="str">
        <x:f>IF('Course_Master'!B320="","",'Course_Master'!B320)</x:f>
        <x:v>NL-0319</x:v>
      </x:c>
      <x:c r="B320" s="28" t="str">
        <x:f>IF('Course_Master'!C320="","",'Course_Master'!C320)</x:f>
        <x:v>Twentse Golf Park</x:v>
      </x:c>
      <x:c r="C320" s="28" t="str">
        <x:f>IF('Course_Master'!D320="","",'Course_Master'!D320)</x:f>
        <x:v>Twentse Golf Park</x:v>
      </x:c>
      <x:c r="D320" s="28" t="str">
        <x:f>IF('Course_Master'!E320="","",'Course_Master'!E320)</x:f>
        <x:v>Course</x:v>
      </x:c>
      <x:c r="E320" s="28" t="str">
        <x:f>IF('Course_Master'!F320="","",'Course_Master'!F320)</x:f>
        <x:v>Netherlands</x:v>
      </x:c>
      <x:c r="F320" s="28" t="str">
        <x:f>IF('Course_Master'!G320="","",'Course_Master'!G320)</x:f>
        <x:v>Overijssel</x:v>
      </x:c>
      <x:c r="G320" s="28" t="str">
        <x:f>IF('Course_Master'!H320="","",'Course_Master'!H320)</x:f>
        <x:v>Haaksbergen</x:v>
      </x:c>
      <x:c r="H320" s="28" t="str">
        <x:f>IF('Course_Master'!I320="","",'Course_Master'!I320)</x:f>
        <x:v>Haaksbergen</x:v>
      </x:c>
      <x:c r="I320" s="28" t="str">
        <x:f>IF('Course_Master'!K320="","",'Course_Master'!K320)</x:f>
        <x:v>7481 VL</x:v>
      </x:c>
      <x:c r="J320" s="34" t="n">
        <x:f>IF('Course_Master'!L320="","",'Course_Master'!L320)</x:f>
        <x:v>52.14041485</x:v>
      </x:c>
      <x:c r="K320" s="34" t="n">
        <x:f>IF('Course_Master'!M320="","",'Course_Master'!M320)</x:f>
        <x:v>6.72883265</x:v>
      </x:c>
      <x:c r="L320" s="28" t="n">
        <x:f>IF('Course_Master'!S320="","",'Course_Master'!S320)</x:f>
        <x:v>9</x:v>
      </x:c>
      <x:c r="M320" s="28" t="n">
        <x:f>IF('Course_Master'!T320="","",'Course_Master'!T320)</x:f>
        <x:v>27</x:v>
      </x:c>
      <x:c r="N320" s="28" t="n">
        <x:f>IF('Course_Master'!Q320="","",'Course_Master'!Q320)</x:f>
        <x:v>353</x:v>
      </x:c>
      <x:c r="O320" s="28" t="n">
        <x:f>IF('Course_Master'!R320="","",'Course_Master'!R320)</x:f>
        <x:v>323</x:v>
      </x:c>
      <x:c r="P320" s="28" t="str">
        <x:f>IF('Course_Master'!U320="","",'Course_Master'!U320)</x:f>
        <x:v>Par-3 course</x:v>
      </x:c>
      <x:c r="Q320" s="28" t="str">
        <x:f>IF('Course_Master'!AD320="","",'Course_Master'!AD320)</x:f>
        <x:v>Public — handicap 54 or lower</x:v>
      </x:c>
      <x:c r="R320" s="28" t="str">
        <x:f>IF('Course_Master'!AC320="","",'Course_Master'!AC320)</x:f>
        <x:v>Open</x:v>
      </x:c>
      <x:c r="S320" s="28" t="str">
        <x:f>IF('Course_Master'!Y320="","",'Course_Master'!Y320)</x:f>
        <x:v>https://www.twentsegolfpark.nl/</x:v>
      </x:c>
      <x:c r="T320" s="28" t="b">
        <x:f>IF('Course_Master'!Z320="","",'Course_Master'!Z320)</x:f>
        <x:v>1</x:v>
      </x:c>
      <x:c r="U320" s="28" t="b">
        <x:f>IF('Course_Master'!AA320="","",'Course_Master'!AA320)</x:f>
        <x:v>1</x:v>
      </x:c>
      <x:c r="V320" s="28" t="str">
        <x:f>IF('Course_Master'!AL320="","",'Course_Master'!AL320)</x:f>
        <x:v>Verified — national register and exact BAG address</x:v>
      </x:c>
    </x:row>
    <x:row r="321">
      <x:c r="A321" s="28" t="str">
        <x:f>IF('Course_Master'!B321="","",'Course_Master'!B321)</x:f>
        <x:v>NL-0320</x:v>
      </x:c>
      <x:c r="B321" s="28" t="str">
        <x:f>IF('Course_Master'!C321="","",'Course_Master'!C321)</x:f>
        <x:v>Weleveld Golf</x:v>
      </x:c>
      <x:c r="C321" s="28" t="str">
        <x:f>IF('Course_Master'!D321="","",'Course_Master'!D321)</x:f>
        <x:v>Weleveld Golf</x:v>
      </x:c>
      <x:c r="D321" s="28" t="str">
        <x:f>IF('Course_Master'!E321="","",'Course_Master'!E321)</x:f>
        <x:v>Course</x:v>
      </x:c>
      <x:c r="E321" s="28" t="str">
        <x:f>IF('Course_Master'!F321="","",'Course_Master'!F321)</x:f>
        <x:v>Netherlands</x:v>
      </x:c>
      <x:c r="F321" s="28" t="str">
        <x:f>IF('Course_Master'!G321="","",'Course_Master'!G321)</x:f>
        <x:v>Overijssel</x:v>
      </x:c>
      <x:c r="G321" s="28" t="str">
        <x:f>IF('Course_Master'!H321="","",'Course_Master'!H321)</x:f>
        <x:v>Borne</x:v>
      </x:c>
      <x:c r="H321" s="28" t="str">
        <x:f>IF('Course_Master'!I321="","",'Course_Master'!I321)</x:f>
        <x:v>Zenderen</x:v>
      </x:c>
      <x:c r="I321" s="28" t="str">
        <x:f>IF('Course_Master'!K321="","",'Course_Master'!K321)</x:f>
        <x:v>7625 RM</x:v>
      </x:c>
      <x:c r="J321" s="34" t="n">
        <x:f>IF('Course_Master'!L321="","",'Course_Master'!L321)</x:f>
        <x:v>52.33486992</x:v>
      </x:c>
      <x:c r="K321" s="34" t="n">
        <x:f>IF('Course_Master'!M321="","",'Course_Master'!M321)</x:f>
        <x:v>6.73197899</x:v>
      </x:c>
      <x:c r="L321" s="28" t="n">
        <x:f>IF('Course_Master'!S321="","",'Course_Master'!S321)</x:f>
        <x:v>9</x:v>
      </x:c>
      <x:c r="M321" s="28" t="n">
        <x:f>IF('Course_Master'!T321="","",'Course_Master'!T321)</x:f>
        <x:v>36</x:v>
      </x:c>
      <x:c r="N321" s="28" t="n">
        <x:f>IF('Course_Master'!Q321="","",'Course_Master'!Q321)</x:f>
        <x:v>2922</x:v>
      </x:c>
      <x:c r="O321" s="28" t="n">
        <x:f>IF('Course_Master'!R321="","",'Course_Master'!R321)</x:f>
        <x:v>2672</x:v>
      </x:c>
      <x:c r="P321" s="28" t="str">
        <x:f>IF('Course_Master'!U321="","",'Course_Master'!U321)</x:f>
        <x:v>Full-length course</x:v>
      </x:c>
      <x:c r="Q321" s="28" t="str">
        <x:f>IF('Course_Master'!AD321="","",'Course_Master'!AD321)</x:f>
        <x:v>Public — handicap 54 or lower</x:v>
      </x:c>
      <x:c r="R321" s="28" t="str">
        <x:f>IF('Course_Master'!AC321="","",'Course_Master'!AC321)</x:f>
        <x:v>Open</x:v>
      </x:c>
      <x:c r="S321" s="28" t="str">
        <x:f>IF('Course_Master'!Y321="","",'Course_Master'!Y321)</x:f>
        <x:v>https://www.weleveldgolf.nl/</x:v>
      </x:c>
      <x:c r="T321" s="28" t="b">
        <x:f>IF('Course_Master'!Z321="","",'Course_Master'!Z321)</x:f>
        <x:v>1</x:v>
      </x:c>
      <x:c r="U321" s="28" t="b">
        <x:f>IF('Course_Master'!AA321="","",'Course_Master'!AA321)</x:f>
        <x:v>1</x:v>
      </x:c>
      <x:c r="V321" s="28" t="str">
        <x:f>IF('Course_Master'!AL321="","",'Course_Master'!AL321)</x:f>
        <x:v>Verified — national register and exact BAG address</x:v>
      </x:c>
    </x:row>
    <x:row r="322">
      <x:c r="A322" s="28" t="str">
        <x:f>IF('Course_Master'!B322="","",'Course_Master'!B322)</x:f>
        <x:v>NL-0321</x:v>
      </x:c>
      <x:c r="B322" s="28" t="str">
        <x:f>IF('Course_Master'!C322="","",'Course_Master'!C322)</x:f>
        <x:v>Chi Chi - The Golf Venue</x:v>
      </x:c>
      <x:c r="C322" s="28" t="str">
        <x:f>IF('Course_Master'!D322="","",'Course_Master'!D322)</x:f>
        <x:v>Chi Chi - The Golf Venue</x:v>
      </x:c>
      <x:c r="D322" s="28" t="str">
        <x:f>IF('Course_Master'!E322="","",'Course_Master'!E322)</x:f>
        <x:v>Course</x:v>
      </x:c>
      <x:c r="E322" s="28" t="str">
        <x:f>IF('Course_Master'!F322="","",'Course_Master'!F322)</x:f>
        <x:v>Netherlands</x:v>
      </x:c>
      <x:c r="F322" s="28" t="str">
        <x:f>IF('Course_Master'!G322="","",'Course_Master'!G322)</x:f>
        <x:v>Utrecht</x:v>
      </x:c>
      <x:c r="G322" s="28" t="str">
        <x:f>IF('Course_Master'!H322="","",'Course_Master'!H322)</x:f>
        <x:v>Utrecht</x:v>
      </x:c>
      <x:c r="H322" s="28" t="str">
        <x:f>IF('Course_Master'!I322="","",'Course_Master'!I322)</x:f>
        <x:v>Utrecht</x:v>
      </x:c>
      <x:c r="I322" s="28" t="str">
        <x:f>IF('Course_Master'!K322="","",'Course_Master'!K322)</x:f>
        <x:v>3566 ME</x:v>
      </x:c>
      <x:c r="J322" s="34" t="n">
        <x:f>IF('Course_Master'!L322="","",'Course_Master'!L322)</x:f>
        <x:v>52.12029866</x:v>
      </x:c>
      <x:c r="K322" s="34" t="n">
        <x:f>IF('Course_Master'!M322="","",'Course_Master'!M322)</x:f>
        <x:v>5.13472513</x:v>
      </x:c>
      <x:c r="L322" s="28" t="n">
        <x:f>IF('Course_Master'!S322="","",'Course_Master'!S322)</x:f>
        <x:v>9</x:v>
      </x:c>
      <x:c r="M322" s="28" t="n">
        <x:f>IF('Course_Master'!T322="","",'Course_Master'!T322)</x:f>
        <x:v>27</x:v>
      </x:c>
      <x:c r="N322" s="28" t="n">
        <x:f>IF('Course_Master'!Q322="","",'Course_Master'!Q322)</x:f>
        <x:v>784</x:v>
      </x:c>
      <x:c r="O322" s="28" t="n">
        <x:f>IF('Course_Master'!R322="","",'Course_Master'!R322)</x:f>
        <x:v>717</x:v>
      </x:c>
      <x:c r="P322" s="28" t="str">
        <x:f>IF('Course_Master'!U322="","",'Course_Master'!U322)</x:f>
        <x:v>Par-3 course</x:v>
      </x:c>
      <x:c r="Q322" s="28" t="str">
        <x:f>IF('Course_Master'!AD322="","",'Course_Master'!AD322)</x:f>
        <x:v>Public — no playing requirement</x:v>
      </x:c>
      <x:c r="R322" s="28" t="str">
        <x:f>IF('Course_Master'!AC322="","",'Course_Master'!AC322)</x:f>
        <x:v>Open</x:v>
      </x:c>
      <x:c r="S322" s="28" t="str">
        <x:f>IF('Course_Master'!Y322="","",'Course_Master'!Y322)</x:f>
        <x:v>https://www.chichiutrecht.nl/</x:v>
      </x:c>
      <x:c r="T322" s="28" t="b">
        <x:f>IF('Course_Master'!Z322="","",'Course_Master'!Z322)</x:f>
        <x:v>1</x:v>
      </x:c>
      <x:c r="U322" s="28" t="b">
        <x:f>IF('Course_Master'!AA322="","",'Course_Master'!AA322)</x:f>
        <x:v>1</x:v>
      </x:c>
      <x:c r="V322" s="28" t="str">
        <x:f>IF('Course_Master'!AL322="","",'Course_Master'!AL322)</x:f>
        <x:v>Verified — national register and exact BAG address</x:v>
      </x:c>
    </x:row>
    <x:row r="323">
      <x:c r="A323" s="28" t="str">
        <x:f>IF('Course_Master'!B323="","",'Course_Master'!B323)</x:f>
        <x:v>NL-0322</x:v>
      </x:c>
      <x:c r="B323" s="28" t="str">
        <x:f>IF('Course_Master'!C323="","",'Course_Master'!C323)</x:f>
        <x:v>De Utrechtse — Main Course</x:v>
      </x:c>
      <x:c r="C323" s="28" t="str">
        <x:f>IF('Course_Master'!D323="","",'Course_Master'!D323)</x:f>
        <x:v>De Utrechtse</x:v>
      </x:c>
      <x:c r="D323" s="28" t="str">
        <x:f>IF('Course_Master'!E323="","",'Course_Master'!E323)</x:f>
        <x:v>Main Course</x:v>
      </x:c>
      <x:c r="E323" s="28" t="str">
        <x:f>IF('Course_Master'!F323="","",'Course_Master'!F323)</x:f>
        <x:v>Netherlands</x:v>
      </x:c>
      <x:c r="F323" s="28" t="str">
        <x:f>IF('Course_Master'!G323="","",'Course_Master'!G323)</x:f>
        <x:v>Utrecht</x:v>
      </x:c>
      <x:c r="G323" s="28" t="str">
        <x:f>IF('Course_Master'!H323="","",'Course_Master'!H323)</x:f>
        <x:v>Houten</x:v>
      </x:c>
      <x:c r="H323" s="28" t="str">
        <x:f>IF('Course_Master'!I323="","",'Course_Master'!I323)</x:f>
        <x:v>Houten</x:v>
      </x:c>
      <x:c r="I323" s="28" t="str">
        <x:f>IF('Course_Master'!K323="","",'Course_Master'!K323)</x:f>
        <x:v>3992 LS</x:v>
      </x:c>
      <x:c r="J323" s="34" t="n">
        <x:f>IF('Course_Master'!L323="","",'Course_Master'!L323)</x:f>
        <x:v>52.0301077</x:v>
      </x:c>
      <x:c r="K323" s="34" t="n">
        <x:f>IF('Course_Master'!M323="","",'Course_Master'!M323)</x:f>
        <x:v>5.12542853</x:v>
      </x:c>
      <x:c r="L323" s="28" t="n">
        <x:f>IF('Course_Master'!S323="","",'Course_Master'!S323)</x:f>
        <x:v>9</x:v>
      </x:c>
      <x:c r="M323" s="28" t="n">
        <x:f>IF('Course_Master'!T323="","",'Course_Master'!T323)</x:f>
        <x:v>35</x:v>
      </x:c>
      <x:c r="N323" s="28" t="n">
        <x:f>IF('Course_Master'!Q323="","",'Course_Master'!Q323)</x:f>
        <x:v>3038</x:v>
      </x:c>
      <x:c r="O323" s="28" t="n">
        <x:f>IF('Course_Master'!R323="","",'Course_Master'!R323)</x:f>
        <x:v>2778</x:v>
      </x:c>
      <x:c r="P323" s="28" t="str">
        <x:f>IF('Course_Master'!U323="","",'Course_Master'!U323)</x:f>
        <x:v>Full-length course</x:v>
      </x:c>
      <x:c r="Q323" s="28" t="str">
        <x:f>IF('Course_Master'!AD323="","",'Course_Master'!AD323)</x:f>
        <x:v>Public — handicap 54 or lower</x:v>
      </x:c>
      <x:c r="R323" s="28" t="str">
        <x:f>IF('Course_Master'!AC323="","",'Course_Master'!AC323)</x:f>
        <x:v>Open</x:v>
      </x:c>
      <x:c r="S323" s="28" t="str">
        <x:f>IF('Course_Master'!Y323="","",'Course_Master'!Y323)</x:f>
        <x:v>https://www.deutrechtse.nl/</x:v>
      </x:c>
      <x:c r="T323" s="28" t="b">
        <x:f>IF('Course_Master'!Z323="","",'Course_Master'!Z323)</x:f>
        <x:v>1</x:v>
      </x:c>
      <x:c r="U323" s="28" t="b">
        <x:f>IF('Course_Master'!AA323="","",'Course_Master'!AA323)</x:f>
        <x:v>1</x:v>
      </x:c>
      <x:c r="V323" s="28" t="str">
        <x:f>IF('Course_Master'!AL323="","",'Course_Master'!AL323)</x:f>
        <x:v>Verified — national register and exact BAG address</x:v>
      </x:c>
    </x:row>
    <x:row r="324">
      <x:c r="A324" s="28" t="str">
        <x:f>IF('Course_Master'!B324="","",'Course_Master'!B324)</x:f>
        <x:v>NL-0323</x:v>
      </x:c>
      <x:c r="B324" s="28" t="str">
        <x:f>IF('Course_Master'!C324="","",'Course_Master'!C324)</x:f>
        <x:v>De Utrechtse — Par-3 Course</x:v>
      </x:c>
      <x:c r="C324" s="28" t="str">
        <x:f>IF('Course_Master'!D324="","",'Course_Master'!D324)</x:f>
        <x:v>De Utrechtse</x:v>
      </x:c>
      <x:c r="D324" s="28" t="str">
        <x:f>IF('Course_Master'!E324="","",'Course_Master'!E324)</x:f>
        <x:v>Par-3 Course</x:v>
      </x:c>
      <x:c r="E324" s="28" t="str">
        <x:f>IF('Course_Master'!F324="","",'Course_Master'!F324)</x:f>
        <x:v>Netherlands</x:v>
      </x:c>
      <x:c r="F324" s="28" t="str">
        <x:f>IF('Course_Master'!G324="","",'Course_Master'!G324)</x:f>
        <x:v>Utrecht</x:v>
      </x:c>
      <x:c r="G324" s="28" t="str">
        <x:f>IF('Course_Master'!H324="","",'Course_Master'!H324)</x:f>
        <x:v>Houten</x:v>
      </x:c>
      <x:c r="H324" s="28" t="str">
        <x:f>IF('Course_Master'!I324="","",'Course_Master'!I324)</x:f>
        <x:v>Houten</x:v>
      </x:c>
      <x:c r="I324" s="28" t="str">
        <x:f>IF('Course_Master'!K324="","",'Course_Master'!K324)</x:f>
        <x:v>3992 LS</x:v>
      </x:c>
      <x:c r="J324" s="34" t="n">
        <x:f>IF('Course_Master'!L324="","",'Course_Master'!L324)</x:f>
        <x:v>52.0301077</x:v>
      </x:c>
      <x:c r="K324" s="34" t="n">
        <x:f>IF('Course_Master'!M324="","",'Course_Master'!M324)</x:f>
        <x:v>5.12542853</x:v>
      </x:c>
      <x:c r="L324" s="28" t="n">
        <x:f>IF('Course_Master'!S324="","",'Course_Master'!S324)</x:f>
        <x:v>9</x:v>
      </x:c>
      <x:c r="M324" s="28" t="n">
        <x:f>IF('Course_Master'!T324="","",'Course_Master'!T324)</x:f>
        <x:v>27</x:v>
      </x:c>
      <x:c r="N324" s="28" t="n">
        <x:f>IF('Course_Master'!Q324="","",'Course_Master'!Q324)</x:f>
        <x:v>791</x:v>
      </x:c>
      <x:c r="O324" s="28" t="n">
        <x:f>IF('Course_Master'!R324="","",'Course_Master'!R324)</x:f>
        <x:v>723</x:v>
      </x:c>
      <x:c r="P324" s="28" t="str">
        <x:f>IF('Course_Master'!U324="","",'Course_Master'!U324)</x:f>
        <x:v>Par-3 course</x:v>
      </x:c>
      <x:c r="Q324" s="28" t="str">
        <x:f>IF('Course_Master'!AD324="","",'Course_Master'!AD324)</x:f>
        <x:v>Public — no playing requirement</x:v>
      </x:c>
      <x:c r="R324" s="28" t="str">
        <x:f>IF('Course_Master'!AC324="","",'Course_Master'!AC324)</x:f>
        <x:v>Open</x:v>
      </x:c>
      <x:c r="S324" s="28" t="str">
        <x:f>IF('Course_Master'!Y324="","",'Course_Master'!Y324)</x:f>
        <x:v>https://www.deutrechtse.nl/</x:v>
      </x:c>
      <x:c r="T324" s="28" t="b">
        <x:f>IF('Course_Master'!Z324="","",'Course_Master'!Z324)</x:f>
        <x:v>1</x:v>
      </x:c>
      <x:c r="U324" s="28" t="b">
        <x:f>IF('Course_Master'!AA324="","",'Course_Master'!AA324)</x:f>
        <x:v>1</x:v>
      </x:c>
      <x:c r="V324" s="28" t="str">
        <x:f>IF('Course_Master'!AL324="","",'Course_Master'!AL324)</x:f>
        <x:v>Verified — national register and exact BAG address</x:v>
      </x:c>
    </x:row>
    <x:row r="325">
      <x:c r="A325" s="28" t="str">
        <x:f>IF('Course_Master'!B325="","",'Course_Master'!B325)</x:f>
        <x:v>NL-0324</x:v>
      </x:c>
      <x:c r="B325" s="28" t="str">
        <x:f>IF('Course_Master'!C325="","",'Course_Master'!C325)</x:f>
        <x:v>Doornse Golf Club</x:v>
      </x:c>
      <x:c r="C325" s="28" t="str">
        <x:f>IF('Course_Master'!D325="","",'Course_Master'!D325)</x:f>
        <x:v>Doornse Golf Club</x:v>
      </x:c>
      <x:c r="D325" s="28" t="str">
        <x:f>IF('Course_Master'!E325="","",'Course_Master'!E325)</x:f>
        <x:v>Course</x:v>
      </x:c>
      <x:c r="E325" s="28" t="str">
        <x:f>IF('Course_Master'!F325="","",'Course_Master'!F325)</x:f>
        <x:v>Netherlands</x:v>
      </x:c>
      <x:c r="F325" s="28" t="str">
        <x:f>IF('Course_Master'!G325="","",'Course_Master'!G325)</x:f>
        <x:v>Utrecht</x:v>
      </x:c>
      <x:c r="G325" s="28" t="str">
        <x:f>IF('Course_Master'!H325="","",'Course_Master'!H325)</x:f>
        <x:v>Utrechtse Heuvelrug</x:v>
      </x:c>
      <x:c r="H325" s="28" t="str">
        <x:f>IF('Course_Master'!I325="","",'Course_Master'!I325)</x:f>
        <x:v>Doorn</x:v>
      </x:c>
      <x:c r="I325" s="28" t="str">
        <x:f>IF('Course_Master'!K325="","",'Course_Master'!K325)</x:f>
        <x:v>3941 XK</x:v>
      </x:c>
      <x:c r="J325" s="34" t="n">
        <x:f>IF('Course_Master'!L325="","",'Course_Master'!L325)</x:f>
        <x:v>52.04296957</x:v>
      </x:c>
      <x:c r="K325" s="34" t="n">
        <x:f>IF('Course_Master'!M325="","",'Course_Master'!M325)</x:f>
        <x:v>5.328841</x:v>
      </x:c>
      <x:c r="L325" s="28" t="n">
        <x:f>IF('Course_Master'!S325="","",'Course_Master'!S325)</x:f>
        <x:v>9</x:v>
      </x:c>
      <x:c r="M325" s="28" t="n">
        <x:f>IF('Course_Master'!T325="","",'Course_Master'!T325)</x:f>
        <x:v>27</x:v>
      </x:c>
      <x:c r="N325" s="28" t="n">
        <x:f>IF('Course_Master'!Q325="","",'Course_Master'!Q325)</x:f>
        <x:v>868</x:v>
      </x:c>
      <x:c r="O325" s="28" t="n">
        <x:f>IF('Course_Master'!R325="","",'Course_Master'!R325)</x:f>
        <x:v>794</x:v>
      </x:c>
      <x:c r="P325" s="28" t="str">
        <x:f>IF('Course_Master'!U325="","",'Course_Master'!U325)</x:f>
        <x:v>Par-3 course</x:v>
      </x:c>
      <x:c r="Q325" s="28" t="str">
        <x:f>IF('Course_Master'!AD325="","",'Course_Master'!AD325)</x:f>
        <x:v>Public — handicap 54 or lower</x:v>
      </x:c>
      <x:c r="R325" s="28" t="str">
        <x:f>IF('Course_Master'!AC325="","",'Course_Master'!AC325)</x:f>
        <x:v>Open</x:v>
      </x:c>
      <x:c r="S325" s="28" t="str">
        <x:f>IF('Course_Master'!Y325="","",'Course_Master'!Y325)</x:f>
        <x:v>https://www.doornsegolfclub.nl/</x:v>
      </x:c>
      <x:c r="T325" s="28" t="b">
        <x:f>IF('Course_Master'!Z325="","",'Course_Master'!Z325)</x:f>
        <x:v>1</x:v>
      </x:c>
      <x:c r="U325" s="28" t="b">
        <x:f>IF('Course_Master'!AA325="","",'Course_Master'!AA325)</x:f>
        <x:v>1</x:v>
      </x:c>
      <x:c r="V325" s="28" t="str">
        <x:f>IF('Course_Master'!AL325="","",'Course_Master'!AL325)</x:f>
        <x:v>Verified — national register and exact BAG address</x:v>
      </x:c>
    </x:row>
    <x:row r="326">
      <x:c r="A326" s="28" t="str">
        <x:f>IF('Course_Master'!B326="","",'Course_Master'!B326)</x:f>
        <x:v>NL-0325</x:v>
      </x:c>
      <x:c r="B326" s="28" t="str">
        <x:f>IF('Course_Master'!C326="","",'Course_Master'!C326)</x:f>
        <x:v>Golfbaan De Kroonprins Vianen — Main Course</x:v>
      </x:c>
      <x:c r="C326" s="28" t="str">
        <x:f>IF('Course_Master'!D326="","",'Course_Master'!D326)</x:f>
        <x:v>Golfbaan De Kroonprins Vianen</x:v>
      </x:c>
      <x:c r="D326" s="28" t="str">
        <x:f>IF('Course_Master'!E326="","",'Course_Master'!E326)</x:f>
        <x:v>Main Course</x:v>
      </x:c>
      <x:c r="E326" s="28" t="str">
        <x:f>IF('Course_Master'!F326="","",'Course_Master'!F326)</x:f>
        <x:v>Netherlands</x:v>
      </x:c>
      <x:c r="F326" s="28" t="str">
        <x:f>IF('Course_Master'!G326="","",'Course_Master'!G326)</x:f>
        <x:v>Utrecht</x:v>
      </x:c>
      <x:c r="G326" s="28" t="str">
        <x:f>IF('Course_Master'!H326="","",'Course_Master'!H326)</x:f>
        <x:v>Vijfheerenlanden</x:v>
      </x:c>
      <x:c r="H326" s="28" t="str">
        <x:f>IF('Course_Master'!I326="","",'Course_Master'!I326)</x:f>
        <x:v>Vianen</x:v>
      </x:c>
      <x:c r="I326" s="28" t="str">
        <x:f>IF('Course_Master'!K326="","",'Course_Master'!K326)</x:f>
        <x:v>4131 NZ</x:v>
      </x:c>
      <x:c r="J326" s="34" t="n">
        <x:f>IF('Course_Master'!L326="","",'Course_Master'!L326)</x:f>
        <x:v>51.97171841</x:v>
      </x:c>
      <x:c r="K326" s="34" t="n">
        <x:f>IF('Course_Master'!M326="","",'Course_Master'!M326)</x:f>
        <x:v>5.08137064</x:v>
      </x:c>
      <x:c r="L326" s="28" t="n">
        <x:f>IF('Course_Master'!S326="","",'Course_Master'!S326)</x:f>
        <x:v>18</x:v>
      </x:c>
      <x:c r="M326" s="28" t="n">
        <x:f>IF('Course_Master'!T326="","",'Course_Master'!T326)</x:f>
        <x:v>71</x:v>
      </x:c>
      <x:c r="N326" s="28" t="n">
        <x:f>IF('Course_Master'!Q326="","",'Course_Master'!Q326)</x:f>
        <x:v>6263</x:v>
      </x:c>
      <x:c r="O326" s="28" t="n">
        <x:f>IF('Course_Master'!R326="","",'Course_Master'!R326)</x:f>
        <x:v>5727</x:v>
      </x:c>
      <x:c r="P326" s="28" t="str">
        <x:f>IF('Course_Master'!U326="","",'Course_Master'!U326)</x:f>
        <x:v>Full-length course</x:v>
      </x:c>
      <x:c r="Q326" s="28" t="str">
        <x:f>IF('Course_Master'!AD326="","",'Course_Master'!AD326)</x:f>
        <x:v>Public — handicap 54 or lower</x:v>
      </x:c>
      <x:c r="R326" s="28" t="str">
        <x:f>IF('Course_Master'!AC326="","",'Course_Master'!AC326)</x:f>
        <x:v>Open</x:v>
      </x:c>
      <x:c r="S326" s="28" t="str">
        <x:f>IF('Course_Master'!Y326="","",'Course_Master'!Y326)</x:f>
        <x:v>https://golfbaandekroonprins.nl/</x:v>
      </x:c>
      <x:c r="T326" s="28" t="b">
        <x:f>IF('Course_Master'!Z326="","",'Course_Master'!Z326)</x:f>
        <x:v>1</x:v>
      </x:c>
      <x:c r="U326" s="28" t="b">
        <x:f>IF('Course_Master'!AA326="","",'Course_Master'!AA326)</x:f>
        <x:v>1</x:v>
      </x:c>
      <x:c r="V326" s="28" t="str">
        <x:f>IF('Course_Master'!AL326="","",'Course_Master'!AL326)</x:f>
        <x:v>Verified — national register and exact BAG address</x:v>
      </x:c>
    </x:row>
    <x:row r="327">
      <x:c r="A327" s="28" t="str">
        <x:f>IF('Course_Master'!B327="","",'Course_Master'!B327)</x:f>
        <x:v>NL-0326</x:v>
      </x:c>
      <x:c r="B327" s="28" t="str">
        <x:f>IF('Course_Master'!C327="","",'Course_Master'!C327)</x:f>
        <x:v>Golfbaan De Kroonprins Vianen — Par-3 Course</x:v>
      </x:c>
      <x:c r="C327" s="28" t="str">
        <x:f>IF('Course_Master'!D327="","",'Course_Master'!D327)</x:f>
        <x:v>Golfbaan De Kroonprins Vianen</x:v>
      </x:c>
      <x:c r="D327" s="28" t="str">
        <x:f>IF('Course_Master'!E327="","",'Course_Master'!E327)</x:f>
        <x:v>Par-3 Course</x:v>
      </x:c>
      <x:c r="E327" s="28" t="str">
        <x:f>IF('Course_Master'!F327="","",'Course_Master'!F327)</x:f>
        <x:v>Netherlands</x:v>
      </x:c>
      <x:c r="F327" s="28" t="str">
        <x:f>IF('Course_Master'!G327="","",'Course_Master'!G327)</x:f>
        <x:v>Utrecht</x:v>
      </x:c>
      <x:c r="G327" s="28" t="str">
        <x:f>IF('Course_Master'!H327="","",'Course_Master'!H327)</x:f>
        <x:v>Vijfheerenlanden</x:v>
      </x:c>
      <x:c r="H327" s="28" t="str">
        <x:f>IF('Course_Master'!I327="","",'Course_Master'!I327)</x:f>
        <x:v>Vianen</x:v>
      </x:c>
      <x:c r="I327" s="28" t="str">
        <x:f>IF('Course_Master'!K327="","",'Course_Master'!K327)</x:f>
        <x:v>4131 NZ</x:v>
      </x:c>
      <x:c r="J327" s="34" t="n">
        <x:f>IF('Course_Master'!L327="","",'Course_Master'!L327)</x:f>
        <x:v>51.97171841</x:v>
      </x:c>
      <x:c r="K327" s="34" t="n">
        <x:f>IF('Course_Master'!M327="","",'Course_Master'!M327)</x:f>
        <x:v>5.08137064</x:v>
      </x:c>
      <x:c r="L327" s="28" t="n">
        <x:f>IF('Course_Master'!S327="","",'Course_Master'!S327)</x:f>
        <x:v>9</x:v>
      </x:c>
      <x:c r="M327" s="28" t="n">
        <x:f>IF('Course_Master'!T327="","",'Course_Master'!T327)</x:f>
        <x:v>27</x:v>
      </x:c>
      <x:c r="N327" s="28" t="n">
        <x:f>IF('Course_Master'!Q327="","",'Course_Master'!Q327)</x:f>
        <x:v>992</x:v>
      </x:c>
      <x:c r="O327" s="28" t="n">
        <x:f>IF('Course_Master'!R327="","",'Course_Master'!R327)</x:f>
        <x:v>907</x:v>
      </x:c>
      <x:c r="P327" s="28" t="str">
        <x:f>IF('Course_Master'!U327="","",'Course_Master'!U327)</x:f>
        <x:v>Par-3 course</x:v>
      </x:c>
      <x:c r="Q327" s="28" t="str">
        <x:f>IF('Course_Master'!AD327="","",'Course_Master'!AD327)</x:f>
        <x:v>Public — NGF course permission</x:v>
      </x:c>
      <x:c r="R327" s="28" t="str">
        <x:f>IF('Course_Master'!AC327="","",'Course_Master'!AC327)</x:f>
        <x:v>Open</x:v>
      </x:c>
      <x:c r="S327" s="28" t="str">
        <x:f>IF('Course_Master'!Y327="","",'Course_Master'!Y327)</x:f>
        <x:v>https://golfbaandekroonprins.nl/</x:v>
      </x:c>
      <x:c r="T327" s="28" t="b">
        <x:f>IF('Course_Master'!Z327="","",'Course_Master'!Z327)</x:f>
        <x:v>1</x:v>
      </x:c>
      <x:c r="U327" s="28" t="b">
        <x:f>IF('Course_Master'!AA327="","",'Course_Master'!AA327)</x:f>
        <x:v>1</x:v>
      </x:c>
      <x:c r="V327" s="28" t="str">
        <x:f>IF('Course_Master'!AL327="","",'Course_Master'!AL327)</x:f>
        <x:v>Verified — national register and exact BAG address</x:v>
      </x:c>
    </x:row>
    <x:row r="328">
      <x:c r="A328" s="28" t="str">
        <x:f>IF('Course_Master'!B328="","",'Course_Master'!B328)</x:f>
        <x:v>NL-0327</x:v>
      </x:c>
      <x:c r="B328" s="28" t="str">
        <x:f>IF('Course_Master'!C328="","",'Course_Master'!C328)</x:f>
        <x:v>Golfclub Anderstein — Heide</x:v>
      </x:c>
      <x:c r="C328" s="28" t="str">
        <x:f>IF('Course_Master'!D328="","",'Course_Master'!D328)</x:f>
        <x:v>Golfclub Anderstein</x:v>
      </x:c>
      <x:c r="D328" s="28" t="str">
        <x:f>IF('Course_Master'!E328="","",'Course_Master'!E328)</x:f>
        <x:v>Heide</x:v>
      </x:c>
      <x:c r="E328" s="28" t="str">
        <x:f>IF('Course_Master'!F328="","",'Course_Master'!F328)</x:f>
        <x:v>Netherlands</x:v>
      </x:c>
      <x:c r="F328" s="28" t="str">
        <x:f>IF('Course_Master'!G328="","",'Course_Master'!G328)</x:f>
        <x:v>Utrecht</x:v>
      </x:c>
      <x:c r="G328" s="28" t="str">
        <x:f>IF('Course_Master'!H328="","",'Course_Master'!H328)</x:f>
        <x:v>Utrechtse Heuvelrug</x:v>
      </x:c>
      <x:c r="H328" s="28" t="str">
        <x:f>IF('Course_Master'!I328="","",'Course_Master'!I328)</x:f>
        <x:v>Maarsbergen</x:v>
      </x:c>
      <x:c r="I328" s="28" t="str">
        <x:f>IF('Course_Master'!K328="","",'Course_Master'!K328)</x:f>
        <x:v>3953 ME</x:v>
      </x:c>
      <x:c r="J328" s="34" t="n">
        <x:f>IF('Course_Master'!L328="","",'Course_Master'!L328)</x:f>
        <x:v>52.06114767</x:v>
      </x:c>
      <x:c r="K328" s="34" t="n">
        <x:f>IF('Course_Master'!M328="","",'Course_Master'!M328)</x:f>
        <x:v>5.40375358</x:v>
      </x:c>
      <x:c r="L328" s="28" t="n">
        <x:f>IF('Course_Master'!S328="","",'Course_Master'!S328)</x:f>
        <x:v>9</x:v>
      </x:c>
      <x:c r="M328" s="28" t="n">
        <x:f>IF('Course_Master'!T328="","",'Course_Master'!T328)</x:f>
        <x:v>36</x:v>
      </x:c>
      <x:c r="N328" s="28" t="n">
        <x:f>IF('Course_Master'!Q328="","",'Course_Master'!Q328)</x:f>
        <x:v>3459</x:v>
      </x:c>
      <x:c r="O328" s="28" t="n">
        <x:f>IF('Course_Master'!R328="","",'Course_Master'!R328)</x:f>
        <x:v>3163</x:v>
      </x:c>
      <x:c r="P328" s="28" t="str">
        <x:f>IF('Course_Master'!U328="","",'Course_Master'!U328)</x:f>
        <x:v>Full-length course</x:v>
      </x:c>
      <x:c r="Q328" s="28" t="str">
        <x:f>IF('Course_Master'!AD328="","",'Course_Master'!AD328)</x:f>
        <x:v>Public — handicap 36 or lower</x:v>
      </x:c>
      <x:c r="R328" s="28" t="str">
        <x:f>IF('Course_Master'!AC328="","",'Course_Master'!AC328)</x:f>
        <x:v>Open</x:v>
      </x:c>
      <x:c r="S328" s="28" t="str">
        <x:f>IF('Course_Master'!Y328="","",'Course_Master'!Y328)</x:f>
        <x:v>https://www.golfclubanderstein.nl/</x:v>
      </x:c>
      <x:c r="T328" s="28" t="b">
        <x:f>IF('Course_Master'!Z328="","",'Course_Master'!Z328)</x:f>
        <x:v>1</x:v>
      </x:c>
      <x:c r="U328" s="28" t="b">
        <x:f>IF('Course_Master'!AA328="","",'Course_Master'!AA328)</x:f>
        <x:v>1</x:v>
      </x:c>
      <x:c r="V328" s="28" t="str">
        <x:f>IF('Course_Master'!AL328="","",'Course_Master'!AL328)</x:f>
        <x:v>Verified — national register and exact BAG address</x:v>
      </x:c>
    </x:row>
    <x:row r="329">
      <x:c r="A329" s="28" t="str">
        <x:f>IF('Course_Master'!B329="","",'Course_Master'!B329)</x:f>
        <x:v>NL-0328</x:v>
      </x:c>
      <x:c r="B329" s="28" t="str">
        <x:f>IF('Course_Master'!C329="","",'Course_Master'!C329)</x:f>
        <x:v>Golfclub Anderstein — Heuvelrug</x:v>
      </x:c>
      <x:c r="C329" s="28" t="str">
        <x:f>IF('Course_Master'!D329="","",'Course_Master'!D329)</x:f>
        <x:v>Golfclub Anderstein</x:v>
      </x:c>
      <x:c r="D329" s="28" t="str">
        <x:f>IF('Course_Master'!E329="","",'Course_Master'!E329)</x:f>
        <x:v>Heuvelrug</x:v>
      </x:c>
      <x:c r="E329" s="28" t="str">
        <x:f>IF('Course_Master'!F329="","",'Course_Master'!F329)</x:f>
        <x:v>Netherlands</x:v>
      </x:c>
      <x:c r="F329" s="28" t="str">
        <x:f>IF('Course_Master'!G329="","",'Course_Master'!G329)</x:f>
        <x:v>Utrecht</x:v>
      </x:c>
      <x:c r="G329" s="28" t="str">
        <x:f>IF('Course_Master'!H329="","",'Course_Master'!H329)</x:f>
        <x:v>Utrechtse Heuvelrug</x:v>
      </x:c>
      <x:c r="H329" s="28" t="str">
        <x:f>IF('Course_Master'!I329="","",'Course_Master'!I329)</x:f>
        <x:v>Maarsbergen</x:v>
      </x:c>
      <x:c r="I329" s="28" t="str">
        <x:f>IF('Course_Master'!K329="","",'Course_Master'!K329)</x:f>
        <x:v>3953 ME</x:v>
      </x:c>
      <x:c r="J329" s="34" t="n">
        <x:f>IF('Course_Master'!L329="","",'Course_Master'!L329)</x:f>
        <x:v>52.06114767</x:v>
      </x:c>
      <x:c r="K329" s="34" t="n">
        <x:f>IF('Course_Master'!M329="","",'Course_Master'!M329)</x:f>
        <x:v>5.40375358</x:v>
      </x:c>
      <x:c r="L329" s="28" t="n">
        <x:f>IF('Course_Master'!S329="","",'Course_Master'!S329)</x:f>
        <x:v>9</x:v>
      </x:c>
      <x:c r="M329" s="28" t="n">
        <x:f>IF('Course_Master'!T329="","",'Course_Master'!T329)</x:f>
        <x:v>37</x:v>
      </x:c>
      <x:c r="N329" s="28" t="n">
        <x:f>IF('Course_Master'!Q329="","",'Course_Master'!Q329)</x:f>
        <x:v>3541</x:v>
      </x:c>
      <x:c r="O329" s="28" t="n">
        <x:f>IF('Course_Master'!R329="","",'Course_Master'!R329)</x:f>
        <x:v>3238</x:v>
      </x:c>
      <x:c r="P329" s="28" t="str">
        <x:f>IF('Course_Master'!U329="","",'Course_Master'!U329)</x:f>
        <x:v>Full-length course</x:v>
      </x:c>
      <x:c r="Q329" s="28" t="str">
        <x:f>IF('Course_Master'!AD329="","",'Course_Master'!AD329)</x:f>
        <x:v>Public — handicap 36 or lower</x:v>
      </x:c>
      <x:c r="R329" s="28" t="str">
        <x:f>IF('Course_Master'!AC329="","",'Course_Master'!AC329)</x:f>
        <x:v>Open</x:v>
      </x:c>
      <x:c r="S329" s="28" t="str">
        <x:f>IF('Course_Master'!Y329="","",'Course_Master'!Y329)</x:f>
        <x:v>https://www.golfclubanderstein.nl/</x:v>
      </x:c>
      <x:c r="T329" s="28" t="b">
        <x:f>IF('Course_Master'!Z329="","",'Course_Master'!Z329)</x:f>
        <x:v>1</x:v>
      </x:c>
      <x:c r="U329" s="28" t="b">
        <x:f>IF('Course_Master'!AA329="","",'Course_Master'!AA329)</x:f>
        <x:v>1</x:v>
      </x:c>
      <x:c r="V329" s="28" t="str">
        <x:f>IF('Course_Master'!AL329="","",'Course_Master'!AL329)</x:f>
        <x:v>Verified — national register and exact BAG address</x:v>
      </x:c>
    </x:row>
    <x:row r="330">
      <x:c r="A330" s="28" t="str">
        <x:f>IF('Course_Master'!B330="","",'Course_Master'!B330)</x:f>
        <x:v>NL-0329</x:v>
      </x:c>
      <x:c r="B330" s="28" t="str">
        <x:f>IF('Course_Master'!C330="","",'Course_Master'!C330)</x:f>
        <x:v>Golfclub Anderstein — Vallei</x:v>
      </x:c>
      <x:c r="C330" s="28" t="str">
        <x:f>IF('Course_Master'!D330="","",'Course_Master'!D330)</x:f>
        <x:v>Golfclub Anderstein</x:v>
      </x:c>
      <x:c r="D330" s="28" t="str">
        <x:f>IF('Course_Master'!E330="","",'Course_Master'!E330)</x:f>
        <x:v>Vallei</x:v>
      </x:c>
      <x:c r="E330" s="28" t="str">
        <x:f>IF('Course_Master'!F330="","",'Course_Master'!F330)</x:f>
        <x:v>Netherlands</x:v>
      </x:c>
      <x:c r="F330" s="28" t="str">
        <x:f>IF('Course_Master'!G330="","",'Course_Master'!G330)</x:f>
        <x:v>Utrecht</x:v>
      </x:c>
      <x:c r="G330" s="28" t="str">
        <x:f>IF('Course_Master'!H330="","",'Course_Master'!H330)</x:f>
        <x:v>Utrechtse Heuvelrug</x:v>
      </x:c>
      <x:c r="H330" s="28" t="str">
        <x:f>IF('Course_Master'!I330="","",'Course_Master'!I330)</x:f>
        <x:v>Maarsbergen</x:v>
      </x:c>
      <x:c r="I330" s="28" t="str">
        <x:f>IF('Course_Master'!K330="","",'Course_Master'!K330)</x:f>
        <x:v>3953 ME</x:v>
      </x:c>
      <x:c r="J330" s="34" t="n">
        <x:f>IF('Course_Master'!L330="","",'Course_Master'!L330)</x:f>
        <x:v>52.06114767</x:v>
      </x:c>
      <x:c r="K330" s="34" t="n">
        <x:f>IF('Course_Master'!M330="","",'Course_Master'!M330)</x:f>
        <x:v>5.40375358</x:v>
      </x:c>
      <x:c r="L330" s="28" t="n">
        <x:f>IF('Course_Master'!S330="","",'Course_Master'!S330)</x:f>
        <x:v>9</x:v>
      </x:c>
      <x:c r="M330" s="28" t="n">
        <x:f>IF('Course_Master'!T330="","",'Course_Master'!T330)</x:f>
        <x:v>36</x:v>
      </x:c>
      <x:c r="N330" s="28" t="n">
        <x:f>IF('Course_Master'!Q330="","",'Course_Master'!Q330)</x:f>
        <x:v>3244</x:v>
      </x:c>
      <x:c r="O330" s="28" t="n">
        <x:f>IF('Course_Master'!R330="","",'Course_Master'!R330)</x:f>
        <x:v>2966</x:v>
      </x:c>
      <x:c r="P330" s="28" t="str">
        <x:f>IF('Course_Master'!U330="","",'Course_Master'!U330)</x:f>
        <x:v>Full-length course</x:v>
      </x:c>
      <x:c r="Q330" s="28" t="str">
        <x:f>IF('Course_Master'!AD330="","",'Course_Master'!AD330)</x:f>
        <x:v>Public — handicap 36 or lower</x:v>
      </x:c>
      <x:c r="R330" s="28" t="str">
        <x:f>IF('Course_Master'!AC330="","",'Course_Master'!AC330)</x:f>
        <x:v>Open</x:v>
      </x:c>
      <x:c r="S330" s="28" t="str">
        <x:f>IF('Course_Master'!Y330="","",'Course_Master'!Y330)</x:f>
        <x:v>https://www.golfclubanderstein.nl/</x:v>
      </x:c>
      <x:c r="T330" s="28" t="b">
        <x:f>IF('Course_Master'!Z330="","",'Course_Master'!Z330)</x:f>
        <x:v>1</x:v>
      </x:c>
      <x:c r="U330" s="28" t="b">
        <x:f>IF('Course_Master'!AA330="","",'Course_Master'!AA330)</x:f>
        <x:v>1</x:v>
      </x:c>
      <x:c r="V330" s="28" t="str">
        <x:f>IF('Course_Master'!AL330="","",'Course_Master'!AL330)</x:f>
        <x:v>Verified — national register and exact BAG address</x:v>
      </x:c>
    </x:row>
    <x:row r="331">
      <x:c r="A331" s="28" t="str">
        <x:f>IF('Course_Master'!B331="","",'Course_Master'!B331)</x:f>
        <x:v>NL-0330</x:v>
      </x:c>
      <x:c r="B331" s="28" t="str">
        <x:f>IF('Course_Master'!C331="","",'Course_Master'!C331)</x:f>
        <x:v>Golfclub De Haar — Main Course</x:v>
      </x:c>
      <x:c r="C331" s="28" t="str">
        <x:f>IF('Course_Master'!D331="","",'Course_Master'!D331)</x:f>
        <x:v>Golfclub De Haar</x:v>
      </x:c>
      <x:c r="D331" s="28" t="str">
        <x:f>IF('Course_Master'!E331="","",'Course_Master'!E331)</x:f>
        <x:v>Main Course</x:v>
      </x:c>
      <x:c r="E331" s="28" t="str">
        <x:f>IF('Course_Master'!F331="","",'Course_Master'!F331)</x:f>
        <x:v>Netherlands</x:v>
      </x:c>
      <x:c r="F331" s="28" t="str">
        <x:f>IF('Course_Master'!G331="","",'Course_Master'!G331)</x:f>
        <x:v>Utrecht</x:v>
      </x:c>
      <x:c r="G331" s="28" t="str">
        <x:f>IF('Course_Master'!H331="","",'Course_Master'!H331)</x:f>
        <x:v>Utrecht</x:v>
      </x:c>
      <x:c r="H331" s="28" t="str">
        <x:f>IF('Course_Master'!I331="","",'Course_Master'!I331)</x:f>
        <x:v>Haarzuilens</x:v>
      </x:c>
      <x:c r="I331" s="28" t="str">
        <x:f>IF('Course_Master'!K331="","",'Course_Master'!K331)</x:f>
        <x:v>3455 RH</x:v>
      </x:c>
      <x:c r="J331" s="34" t="n">
        <x:f>IF('Course_Master'!L331="","",'Course_Master'!L331)</x:f>
        <x:v>52.11354444</x:v>
      </x:c>
      <x:c r="K331" s="34" t="n">
        <x:f>IF('Course_Master'!M331="","",'Course_Master'!M331)</x:f>
        <x:v>4.98412512</x:v>
      </x:c>
      <x:c r="L331" s="28" t="n">
        <x:f>IF('Course_Master'!S331="","",'Course_Master'!S331)</x:f>
        <x:v>18</x:v>
      </x:c>
      <x:c r="M331" s="28" t="n">
        <x:f>IF('Course_Master'!T331="","",'Course_Master'!T331)</x:f>
        <x:v>71</x:v>
      </x:c>
      <x:c r="N331" s="28" t="n">
        <x:f>IF('Course_Master'!Q331="","",'Course_Master'!Q331)</x:f>
        <x:v>6296</x:v>
      </x:c>
      <x:c r="O331" s="28" t="n">
        <x:f>IF('Course_Master'!R331="","",'Course_Master'!R331)</x:f>
        <x:v>5757</x:v>
      </x:c>
      <x:c r="P331" s="28" t="str">
        <x:f>IF('Course_Master'!U331="","",'Course_Master'!U331)</x:f>
        <x:v>Full-length course</x:v>
      </x:c>
      <x:c r="Q331" s="28" t="str">
        <x:f>IF('Course_Master'!AD331="","",'Course_Master'!AD331)</x:f>
        <x:v>Public — handicap 28 or lower</x:v>
      </x:c>
      <x:c r="R331" s="28" t="str">
        <x:f>IF('Course_Master'!AC331="","",'Course_Master'!AC331)</x:f>
        <x:v>Open</x:v>
      </x:c>
      <x:c r="S331" s="28" t="str">
        <x:f>IF('Course_Master'!Y331="","",'Course_Master'!Y331)</x:f>
        <x:v>https://www.gcdehaar.nl/</x:v>
      </x:c>
      <x:c r="T331" s="28" t="b">
        <x:f>IF('Course_Master'!Z331="","",'Course_Master'!Z331)</x:f>
        <x:v>1</x:v>
      </x:c>
      <x:c r="U331" s="28" t="b">
        <x:f>IF('Course_Master'!AA331="","",'Course_Master'!AA331)</x:f>
        <x:v>1</x:v>
      </x:c>
      <x:c r="V331" s="28" t="str">
        <x:f>IF('Course_Master'!AL331="","",'Course_Master'!AL331)</x:f>
        <x:v>Verified — national register and exact BAG address</x:v>
      </x:c>
    </x:row>
    <x:row r="332">
      <x:c r="A332" s="28" t="str">
        <x:f>IF('Course_Master'!B332="","",'Course_Master'!B332)</x:f>
        <x:v>NL-0331</x:v>
      </x:c>
      <x:c r="B332" s="28" t="str">
        <x:f>IF('Course_Master'!C332="","",'Course_Master'!C332)</x:f>
        <x:v>Golfclub De Hoge Kleij — Main Course</x:v>
      </x:c>
      <x:c r="C332" s="28" t="str">
        <x:f>IF('Course_Master'!D332="","",'Course_Master'!D332)</x:f>
        <x:v>Golfclub De Hoge Kleij</x:v>
      </x:c>
      <x:c r="D332" s="28" t="str">
        <x:f>IF('Course_Master'!E332="","",'Course_Master'!E332)</x:f>
        <x:v>Main Course</x:v>
      </x:c>
      <x:c r="E332" s="28" t="str">
        <x:f>IF('Course_Master'!F332="","",'Course_Master'!F332)</x:f>
        <x:v>Netherlands</x:v>
      </x:c>
      <x:c r="F332" s="28" t="str">
        <x:f>IF('Course_Master'!G332="","",'Course_Master'!G332)</x:f>
        <x:v>Utrecht</x:v>
      </x:c>
      <x:c r="G332" s="28" t="str">
        <x:f>IF('Course_Master'!H332="","",'Course_Master'!H332)</x:f>
        <x:v>Leusden</x:v>
      </x:c>
      <x:c r="H332" s="28" t="str">
        <x:f>IF('Course_Master'!I332="","",'Course_Master'!I332)</x:f>
        <x:v>Leusden</x:v>
      </x:c>
      <x:c r="I332" s="28" t="str">
        <x:f>IF('Course_Master'!K332="","",'Course_Master'!K332)</x:f>
        <x:v>3832 RZ</x:v>
      </x:c>
      <x:c r="J332" s="34" t="n">
        <x:f>IF('Course_Master'!L332="","",'Course_Master'!L332)</x:f>
        <x:v>52.13058769</x:v>
      </x:c>
      <x:c r="K332" s="34" t="n">
        <x:f>IF('Course_Master'!M332="","",'Course_Master'!M332)</x:f>
        <x:v>5.36237571</x:v>
      </x:c>
      <x:c r="L332" s="28" t="n">
        <x:f>IF('Course_Master'!S332="","",'Course_Master'!S332)</x:f>
        <x:v>18</x:v>
      </x:c>
      <x:c r="M332" s="28" t="n">
        <x:f>IF('Course_Master'!T332="","",'Course_Master'!T332)</x:f>
        <x:v>72</x:v>
      </x:c>
      <x:c r="N332" s="28" t="n">
        <x:f>IF('Course_Master'!Q332="","",'Course_Master'!Q332)</x:f>
        <x:v>6892</x:v>
      </x:c>
      <x:c r="O332" s="28" t="n">
        <x:f>IF('Course_Master'!R332="","",'Course_Master'!R332)</x:f>
        <x:v>6302</x:v>
      </x:c>
      <x:c r="P332" s="28" t="str">
        <x:f>IF('Course_Master'!U332="","",'Course_Master'!U332)</x:f>
        <x:v>Full-length course</x:v>
      </x:c>
      <x:c r="Q332" s="28" t="str">
        <x:f>IF('Course_Master'!AD332="","",'Course_Master'!AD332)</x:f>
        <x:v>Public — handicap 28 or lower</x:v>
      </x:c>
      <x:c r="R332" s="28" t="str">
        <x:f>IF('Course_Master'!AC332="","",'Course_Master'!AC332)</x:f>
        <x:v>Open</x:v>
      </x:c>
      <x:c r="S332" s="28" t="str">
        <x:f>IF('Course_Master'!Y332="","",'Course_Master'!Y332)</x:f>
        <x:v>https://hogekleij.nl/</x:v>
      </x:c>
      <x:c r="T332" s="28" t="b">
        <x:f>IF('Course_Master'!Z332="","",'Course_Master'!Z332)</x:f>
        <x:v>1</x:v>
      </x:c>
      <x:c r="U332" s="28" t="b">
        <x:f>IF('Course_Master'!AA332="","",'Course_Master'!AA332)</x:f>
        <x:v>1</x:v>
      </x:c>
      <x:c r="V332" s="28" t="str">
        <x:f>IF('Course_Master'!AL332="","",'Course_Master'!AL332)</x:f>
        <x:v>Verified — national register and exact BAG address</x:v>
      </x:c>
    </x:row>
    <x:row r="333">
      <x:c r="A333" s="28" t="str">
        <x:f>IF('Course_Master'!B333="","",'Course_Master'!B333)</x:f>
        <x:v>NL-0332</x:v>
      </x:c>
      <x:c r="B333" s="28" t="str">
        <x:f>IF('Course_Master'!C333="","",'Course_Master'!C333)</x:f>
        <x:v>Golfclub Kromme Rijn</x:v>
      </x:c>
      <x:c r="C333" s="28" t="str">
        <x:f>IF('Course_Master'!D333="","",'Course_Master'!D333)</x:f>
        <x:v>Golfclub Kromme Rijn</x:v>
      </x:c>
      <x:c r="D333" s="28" t="str">
        <x:f>IF('Course_Master'!E333="","",'Course_Master'!E333)</x:f>
        <x:v>Course</x:v>
      </x:c>
      <x:c r="E333" s="28" t="str">
        <x:f>IF('Course_Master'!F333="","",'Course_Master'!F333)</x:f>
        <x:v>Netherlands</x:v>
      </x:c>
      <x:c r="F333" s="28" t="str">
        <x:f>IF('Course_Master'!G333="","",'Course_Master'!G333)</x:f>
        <x:v>Utrecht</x:v>
      </x:c>
      <x:c r="G333" s="28" t="str">
        <x:f>IF('Course_Master'!H333="","",'Course_Master'!H333)</x:f>
        <x:v>Bunnik</x:v>
      </x:c>
      <x:c r="H333" s="28" t="str">
        <x:f>IF('Course_Master'!I333="","",'Course_Master'!I333)</x:f>
        <x:v>Bunnik</x:v>
      </x:c>
      <x:c r="I333" s="28" t="str">
        <x:f>IF('Course_Master'!K333="","",'Course_Master'!K333)</x:f>
        <x:v>3981 HP</x:v>
      </x:c>
      <x:c r="J333" s="34" t="n">
        <x:f>IF('Course_Master'!L333="","",'Course_Master'!L333)</x:f>
        <x:v>52.06795082</x:v>
      </x:c>
      <x:c r="K333" s="34" t="n">
        <x:f>IF('Course_Master'!M333="","",'Course_Master'!M333)</x:f>
        <x:v>5.2115014</x:v>
      </x:c>
      <x:c r="L333" s="28" t="n">
        <x:f>IF('Course_Master'!S333="","",'Course_Master'!S333)</x:f>
        <x:v>9</x:v>
      </x:c>
      <x:c r="M333" s="28" t="n">
        <x:f>IF('Course_Master'!T333="","",'Course_Master'!T333)</x:f>
        <x:v>35</x:v>
      </x:c>
      <x:c r="N333" s="28" t="n">
        <x:f>IF('Course_Master'!Q333="","",'Course_Master'!Q333)</x:f>
        <x:v>3286</x:v>
      </x:c>
      <x:c r="O333" s="28" t="n">
        <x:f>IF('Course_Master'!R333="","",'Course_Master'!R333)</x:f>
        <x:v>3005</x:v>
      </x:c>
      <x:c r="P333" s="28" t="str">
        <x:f>IF('Course_Master'!U333="","",'Course_Master'!U333)</x:f>
        <x:v>Full-length course</x:v>
      </x:c>
      <x:c r="Q333" s="28" t="str">
        <x:f>IF('Course_Master'!AD333="","",'Course_Master'!AD333)</x:f>
        <x:v>Public — handicap 54 or lower</x:v>
      </x:c>
      <x:c r="R333" s="28" t="str">
        <x:f>IF('Course_Master'!AC333="","",'Course_Master'!AC333)</x:f>
        <x:v>Open</x:v>
      </x:c>
      <x:c r="S333" s="28" t="str">
        <x:f>IF('Course_Master'!Y333="","",'Course_Master'!Y333)</x:f>
        <x:v>https://www.krommerijn.nl/</x:v>
      </x:c>
      <x:c r="T333" s="28" t="b">
        <x:f>IF('Course_Master'!Z333="","",'Course_Master'!Z333)</x:f>
        <x:v>1</x:v>
      </x:c>
      <x:c r="U333" s="28" t="b">
        <x:f>IF('Course_Master'!AA333="","",'Course_Master'!AA333)</x:f>
        <x:v>1</x:v>
      </x:c>
      <x:c r="V333" s="28" t="str">
        <x:f>IF('Course_Master'!AL333="","",'Course_Master'!AL333)</x:f>
        <x:v>Verified — national register and exact BAG address</x:v>
      </x:c>
    </x:row>
    <x:row r="334">
      <x:c r="A334" s="28" t="str">
        <x:f>IF('Course_Master'!B334="","",'Course_Master'!B334)</x:f>
        <x:v>NL-0333</x:v>
      </x:c>
      <x:c r="B334" s="28" t="str">
        <x:f>IF('Course_Master'!C334="","",'Course_Master'!C334)</x:f>
        <x:v>Golfclub Old Course Loenen</x:v>
      </x:c>
      <x:c r="C334" s="28" t="str">
        <x:f>IF('Course_Master'!D334="","",'Course_Master'!D334)</x:f>
        <x:v>Golfclub Old Course Loenen</x:v>
      </x:c>
      <x:c r="D334" s="28" t="str">
        <x:f>IF('Course_Master'!E334="","",'Course_Master'!E334)</x:f>
        <x:v>Course</x:v>
      </x:c>
      <x:c r="E334" s="28" t="str">
        <x:f>IF('Course_Master'!F334="","",'Course_Master'!F334)</x:f>
        <x:v>Netherlands</x:v>
      </x:c>
      <x:c r="F334" s="28" t="str">
        <x:f>IF('Course_Master'!G334="","",'Course_Master'!G334)</x:f>
        <x:v>Utrecht</x:v>
      </x:c>
      <x:c r="G334" s="28" t="str">
        <x:f>IF('Course_Master'!H334="","",'Course_Master'!H334)</x:f>
        <x:v>Stichtse Vecht</x:v>
      </x:c>
      <x:c r="H334" s="28" t="str">
        <x:f>IF('Course_Master'!I334="","",'Course_Master'!I334)</x:f>
        <x:v>Loenen aan de Vecht</x:v>
      </x:c>
      <x:c r="I334" s="28" t="str">
        <x:f>IF('Course_Master'!K334="","",'Course_Master'!K334)</x:f>
        <x:v>3632 AC</x:v>
      </x:c>
      <x:c r="J334" s="34" t="n">
        <x:f>IF('Course_Master'!L334="","",'Course_Master'!L334)</x:f>
        <x:v>52.21218568</x:v>
      </x:c>
      <x:c r="K334" s="34" t="n">
        <x:f>IF('Course_Master'!M334="","",'Course_Master'!M334)</x:f>
        <x:v>5.00872935</x:v>
      </x:c>
      <x:c r="L334" s="28" t="n">
        <x:f>IF('Course_Master'!S334="","",'Course_Master'!S334)</x:f>
        <x:v>9</x:v>
      </x:c>
      <x:c r="M334" s="28" t="n">
        <x:f>IF('Course_Master'!T334="","",'Course_Master'!T334)</x:f>
        <x:v>36</x:v>
      </x:c>
      <x:c r="N334" s="28" t="n">
        <x:f>IF('Course_Master'!Q334="","",'Course_Master'!Q334)</x:f>
        <x:v>3287</x:v>
      </x:c>
      <x:c r="O334" s="28" t="n">
        <x:f>IF('Course_Master'!R334="","",'Course_Master'!R334)</x:f>
        <x:v>3006</x:v>
      </x:c>
      <x:c r="P334" s="28" t="str">
        <x:f>IF('Course_Master'!U334="","",'Course_Master'!U334)</x:f>
        <x:v>Full-length course</x:v>
      </x:c>
      <x:c r="Q334" s="28" t="str">
        <x:f>IF('Course_Master'!AD334="","",'Course_Master'!AD334)</x:f>
        <x:v>Public — handicap 54 or lower</x:v>
      </x:c>
      <x:c r="R334" s="28" t="str">
        <x:f>IF('Course_Master'!AC334="","",'Course_Master'!AC334)</x:f>
        <x:v>Open</x:v>
      </x:c>
      <x:c r="S334" s="28" t="str">
        <x:f>IF('Course_Master'!Y334="","",'Course_Master'!Y334)</x:f>
        <x:v>https://oldcourseloenen.nl/</x:v>
      </x:c>
      <x:c r="T334" s="28" t="b">
        <x:f>IF('Course_Master'!Z334="","",'Course_Master'!Z334)</x:f>
        <x:v>1</x:v>
      </x:c>
      <x:c r="U334" s="28" t="b">
        <x:f>IF('Course_Master'!AA334="","",'Course_Master'!AA334)</x:f>
        <x:v>1</x:v>
      </x:c>
      <x:c r="V334" s="28" t="str">
        <x:f>IF('Course_Master'!AL334="","",'Course_Master'!AL334)</x:f>
        <x:v>Verified — national register and exact BAG address</x:v>
      </x:c>
    </x:row>
    <x:row r="335">
      <x:c r="A335" s="28" t="str">
        <x:f>IF('Course_Master'!B335="","",'Course_Master'!B335)</x:f>
        <x:v>NL-0334</x:v>
      </x:c>
      <x:c r="B335" s="28" t="str">
        <x:f>IF('Course_Master'!C335="","",'Course_Master'!C335)</x:f>
        <x:v>Golfpark De Biltse Duinen</x:v>
      </x:c>
      <x:c r="C335" s="28" t="str">
        <x:f>IF('Course_Master'!D335="","",'Course_Master'!D335)</x:f>
        <x:v>Golfpark De Biltse Duinen</x:v>
      </x:c>
      <x:c r="D335" s="28" t="str">
        <x:f>IF('Course_Master'!E335="","",'Course_Master'!E335)</x:f>
        <x:v>Course</x:v>
      </x:c>
      <x:c r="E335" s="28" t="str">
        <x:f>IF('Course_Master'!F335="","",'Course_Master'!F335)</x:f>
        <x:v>Netherlands</x:v>
      </x:c>
      <x:c r="F335" s="28" t="str">
        <x:f>IF('Course_Master'!G335="","",'Course_Master'!G335)</x:f>
        <x:v>Utrecht</x:v>
      </x:c>
      <x:c r="G335" s="28" t="str">
        <x:f>IF('Course_Master'!H335="","",'Course_Master'!H335)</x:f>
        <x:v>De Bilt</x:v>
      </x:c>
      <x:c r="H335" s="28" t="str">
        <x:f>IF('Course_Master'!I335="","",'Course_Master'!I335)</x:f>
        <x:v>Bilthoven</x:v>
      </x:c>
      <x:c r="I335" s="28" t="str">
        <x:f>IF('Course_Master'!K335="","",'Course_Master'!K335)</x:f>
        <x:v>3722 GZ</x:v>
      </x:c>
      <x:c r="J335" s="34" t="n">
        <x:f>IF('Course_Master'!L335="","",'Course_Master'!L335)</x:f>
        <x:v>52.12984307</x:v>
      </x:c>
      <x:c r="K335" s="34" t="n">
        <x:f>IF('Course_Master'!M335="","",'Course_Master'!M335)</x:f>
        <x:v>5.2191278</x:v>
      </x:c>
      <x:c r="L335" s="28" t="n">
        <x:f>IF('Course_Master'!S335="","",'Course_Master'!S335)</x:f>
        <x:v>9</x:v>
      </x:c>
      <x:c r="M335" s="28" t="n">
        <x:f>IF('Course_Master'!T335="","",'Course_Master'!T335)</x:f>
        <x:v>27</x:v>
      </x:c>
      <x:c r="N335" s="28" t="n">
        <x:f>IF('Course_Master'!Q335="","",'Course_Master'!Q335)</x:f>
        <x:v>1053</x:v>
      </x:c>
      <x:c r="O335" s="28" t="n">
        <x:f>IF('Course_Master'!R335="","",'Course_Master'!R335)</x:f>
        <x:v>963</x:v>
      </x:c>
      <x:c r="P335" s="28" t="str">
        <x:f>IF('Course_Master'!U335="","",'Course_Master'!U335)</x:f>
        <x:v>Par-3 course</x:v>
      </x:c>
      <x:c r="Q335" s="28" t="str">
        <x:f>IF('Course_Master'!AD335="","",'Course_Master'!AD335)</x:f>
        <x:v>Public — handicap 54 or lower</x:v>
      </x:c>
      <x:c r="R335" s="28" t="str">
        <x:f>IF('Course_Master'!AC335="","",'Course_Master'!AC335)</x:f>
        <x:v>Open</x:v>
      </x:c>
      <x:c r="S335" s="28" t="str">
        <x:f>IF('Course_Master'!Y335="","",'Course_Master'!Y335)</x:f>
        <x:v>https://www.biltseduinen.nl/</x:v>
      </x:c>
      <x:c r="T335" s="28" t="b">
        <x:f>IF('Course_Master'!Z335="","",'Course_Master'!Z335)</x:f>
        <x:v>1</x:v>
      </x:c>
      <x:c r="U335" s="28" t="b">
        <x:f>IF('Course_Master'!AA335="","",'Course_Master'!AA335)</x:f>
        <x:v>1</x:v>
      </x:c>
      <x:c r="V335" s="28" t="str">
        <x:f>IF('Course_Master'!AL335="","",'Course_Master'!AL335)</x:f>
        <x:v>Verified — national register and exact BAG address</x:v>
      </x:c>
    </x:row>
    <x:row r="336">
      <x:c r="A336" s="28" t="str">
        <x:f>IF('Course_Master'!B336="","",'Course_Master'!B336)</x:f>
        <x:v>NL-0335</x:v>
      </x:c>
      <x:c r="B336" s="28" t="str">
        <x:f>IF('Course_Master'!C336="","",'Course_Master'!C336)</x:f>
        <x:v>Golfpark Soestduinen</x:v>
      </x:c>
      <x:c r="C336" s="28" t="str">
        <x:f>IF('Course_Master'!D336="","",'Course_Master'!D336)</x:f>
        <x:v>Golfpark Soestduinen</x:v>
      </x:c>
      <x:c r="D336" s="28" t="str">
        <x:f>IF('Course_Master'!E336="","",'Course_Master'!E336)</x:f>
        <x:v>Course</x:v>
      </x:c>
      <x:c r="E336" s="28" t="str">
        <x:f>IF('Course_Master'!F336="","",'Course_Master'!F336)</x:f>
        <x:v>Netherlands</x:v>
      </x:c>
      <x:c r="F336" s="28" t="str">
        <x:f>IF('Course_Master'!G336="","",'Course_Master'!G336)</x:f>
        <x:v>Utrecht</x:v>
      </x:c>
      <x:c r="G336" s="28" t="str">
        <x:f>IF('Course_Master'!H336="","",'Course_Master'!H336)</x:f>
        <x:v>Soest</x:v>
      </x:c>
      <x:c r="H336" s="28" t="str">
        <x:f>IF('Course_Master'!I336="","",'Course_Master'!I336)</x:f>
        <x:v>Soest</x:v>
      </x:c>
      <x:c r="I336" s="28" t="str">
        <x:f>IF('Course_Master'!K336="","",'Course_Master'!K336)</x:f>
        <x:v>3768 MN</x:v>
      </x:c>
      <x:c r="J336" s="34" t="n">
        <x:f>IF('Course_Master'!L336="","",'Course_Master'!L336)</x:f>
        <x:v>52.14191963</x:v>
      </x:c>
      <x:c r="K336" s="34" t="n">
        <x:f>IF('Course_Master'!M336="","",'Course_Master'!M336)</x:f>
        <x:v>5.29174632</x:v>
      </x:c>
      <x:c r="L336" s="28" t="n">
        <x:f>IF('Course_Master'!S336="","",'Course_Master'!S336)</x:f>
        <x:v>9</x:v>
      </x:c>
      <x:c r="M336" s="28" t="n">
        <x:f>IF('Course_Master'!T336="","",'Course_Master'!T336)</x:f>
        <x:v>27</x:v>
      </x:c>
      <x:c r="N336" s="28" t="n">
        <x:f>IF('Course_Master'!Q336="","",'Course_Master'!Q336)</x:f>
        <x:v>753</x:v>
      </x:c>
      <x:c r="O336" s="28" t="n">
        <x:f>IF('Course_Master'!R336="","",'Course_Master'!R336)</x:f>
        <x:v>689</x:v>
      </x:c>
      <x:c r="P336" s="28" t="str">
        <x:f>IF('Course_Master'!U336="","",'Course_Master'!U336)</x:f>
        <x:v>Par-3 course</x:v>
      </x:c>
      <x:c r="Q336" s="28" t="str">
        <x:f>IF('Course_Master'!AD336="","",'Course_Master'!AD336)</x:f>
        <x:v>Public — NGF course permission</x:v>
      </x:c>
      <x:c r="R336" s="28" t="str">
        <x:f>IF('Course_Master'!AC336="","",'Course_Master'!AC336)</x:f>
        <x:v>Open</x:v>
      </x:c>
      <x:c r="S336" s="28" t="str">
        <x:f>IF('Course_Master'!Y336="","",'Course_Master'!Y336)</x:f>
        <x:v>https://www.golfparksoestduinen.nl/</x:v>
      </x:c>
      <x:c r="T336" s="28" t="b">
        <x:f>IF('Course_Master'!Z336="","",'Course_Master'!Z336)</x:f>
        <x:v>1</x:v>
      </x:c>
      <x:c r="U336" s="28" t="b">
        <x:f>IF('Course_Master'!AA336="","",'Course_Master'!AA336)</x:f>
        <x:v>1</x:v>
      </x:c>
      <x:c r="V336" s="28" t="str">
        <x:f>IF('Course_Master'!AL336="","",'Course_Master'!AL336)</x:f>
        <x:v>Verified — national register and exact BAG address</x:v>
      </x:c>
    </x:row>
    <x:row r="337">
      <x:c r="A337" s="28" t="str">
        <x:f>IF('Course_Master'!B337="","",'Course_Master'!B337)</x:f>
        <x:v>NL-0336</x:v>
      </x:c>
      <x:c r="B337" s="28" t="str">
        <x:f>IF('Course_Master'!C337="","",'Course_Master'!C337)</x:f>
        <x:v>Golfpark Wilnis — Main Course</x:v>
      </x:c>
      <x:c r="C337" s="28" t="str">
        <x:f>IF('Course_Master'!D337="","",'Course_Master'!D337)</x:f>
        <x:v>Golfpark Wilnis</x:v>
      </x:c>
      <x:c r="D337" s="28" t="str">
        <x:f>IF('Course_Master'!E337="","",'Course_Master'!E337)</x:f>
        <x:v>Main Course</x:v>
      </x:c>
      <x:c r="E337" s="28" t="str">
        <x:f>IF('Course_Master'!F337="","",'Course_Master'!F337)</x:f>
        <x:v>Netherlands</x:v>
      </x:c>
      <x:c r="F337" s="28" t="str">
        <x:f>IF('Course_Master'!G337="","",'Course_Master'!G337)</x:f>
        <x:v>Utrecht</x:v>
      </x:c>
      <x:c r="G337" s="28" t="str">
        <x:f>IF('Course_Master'!H337="","",'Course_Master'!H337)</x:f>
        <x:v>De Ronde Venen</x:v>
      </x:c>
      <x:c r="H337" s="28" t="str">
        <x:f>IF('Course_Master'!I337="","",'Course_Master'!I337)</x:f>
        <x:v>Wilnis</x:v>
      </x:c>
      <x:c r="I337" s="28" t="str">
        <x:f>IF('Course_Master'!K337="","",'Course_Master'!K337)</x:f>
        <x:v>3648 NM</x:v>
      </x:c>
      <x:c r="J337" s="34" t="n">
        <x:f>IF('Course_Master'!L337="","",'Course_Master'!L337)</x:f>
        <x:v>52.18072019</x:v>
      </x:c>
      <x:c r="K337" s="34" t="n">
        <x:f>IF('Course_Master'!M337="","",'Course_Master'!M337)</x:f>
        <x:v>4.88349503</x:v>
      </x:c>
      <x:c r="L337" s="28" t="n">
        <x:f>IF('Course_Master'!S337="","",'Course_Master'!S337)</x:f>
        <x:v>18</x:v>
      </x:c>
      <x:c r="M337" s="28" t="n">
        <x:f>IF('Course_Master'!T337="","",'Course_Master'!T337)</x:f>
        <x:v>72</x:v>
      </x:c>
      <x:c r="N337" s="28" t="n">
        <x:f>IF('Course_Master'!Q337="","",'Course_Master'!Q337)</x:f>
        <x:v>6470</x:v>
      </x:c>
      <x:c r="O337" s="28" t="n">
        <x:f>IF('Course_Master'!R337="","",'Course_Master'!R337)</x:f>
        <x:v>5916</x:v>
      </x:c>
      <x:c r="P337" s="28" t="str">
        <x:f>IF('Course_Master'!U337="","",'Course_Master'!U337)</x:f>
        <x:v>Full-length course</x:v>
      </x:c>
      <x:c r="Q337" s="28" t="str">
        <x:f>IF('Course_Master'!AD337="","",'Course_Master'!AD337)</x:f>
        <x:v>Public — handicap 54 or lower</x:v>
      </x:c>
      <x:c r="R337" s="28" t="str">
        <x:f>IF('Course_Master'!AC337="","",'Course_Master'!AC337)</x:f>
        <x:v>Open</x:v>
      </x:c>
      <x:c r="S337" s="28" t="str">
        <x:f>IF('Course_Master'!Y337="","",'Course_Master'!Y337)</x:f>
        <x:v>https://golfparkwilnis.nl/</x:v>
      </x:c>
      <x:c r="T337" s="28" t="b">
        <x:f>IF('Course_Master'!Z337="","",'Course_Master'!Z337)</x:f>
        <x:v>1</x:v>
      </x:c>
      <x:c r="U337" s="28" t="b">
        <x:f>IF('Course_Master'!AA337="","",'Course_Master'!AA337)</x:f>
        <x:v>1</x:v>
      </x:c>
      <x:c r="V337" s="28" t="str">
        <x:f>IF('Course_Master'!AL337="","",'Course_Master'!AL337)</x:f>
        <x:v>Verified — national register and exact BAG address</x:v>
      </x:c>
    </x:row>
    <x:row r="338">
      <x:c r="A338" s="28" t="str">
        <x:f>IF('Course_Master'!B338="","",'Course_Master'!B338)</x:f>
        <x:v>NL-0337</x:v>
      </x:c>
      <x:c r="B338" s="28" t="str">
        <x:f>IF('Course_Master'!C338="","",'Course_Master'!C338)</x:f>
        <x:v>Golfpark Wilnis — Par-3 Course</x:v>
      </x:c>
      <x:c r="C338" s="28" t="str">
        <x:f>IF('Course_Master'!D338="","",'Course_Master'!D338)</x:f>
        <x:v>Golfpark Wilnis</x:v>
      </x:c>
      <x:c r="D338" s="28" t="str">
        <x:f>IF('Course_Master'!E338="","",'Course_Master'!E338)</x:f>
        <x:v>Par-3 Course</x:v>
      </x:c>
      <x:c r="E338" s="28" t="str">
        <x:f>IF('Course_Master'!F338="","",'Course_Master'!F338)</x:f>
        <x:v>Netherlands</x:v>
      </x:c>
      <x:c r="F338" s="28" t="str">
        <x:f>IF('Course_Master'!G338="","",'Course_Master'!G338)</x:f>
        <x:v>Utrecht</x:v>
      </x:c>
      <x:c r="G338" s="28" t="str">
        <x:f>IF('Course_Master'!H338="","",'Course_Master'!H338)</x:f>
        <x:v>De Ronde Venen</x:v>
      </x:c>
      <x:c r="H338" s="28" t="str">
        <x:f>IF('Course_Master'!I338="","",'Course_Master'!I338)</x:f>
        <x:v>Wilnis</x:v>
      </x:c>
      <x:c r="I338" s="28" t="str">
        <x:f>IF('Course_Master'!K338="","",'Course_Master'!K338)</x:f>
        <x:v>3648 NM</x:v>
      </x:c>
      <x:c r="J338" s="34" t="n">
        <x:f>IF('Course_Master'!L338="","",'Course_Master'!L338)</x:f>
        <x:v>52.18072019</x:v>
      </x:c>
      <x:c r="K338" s="34" t="n">
        <x:f>IF('Course_Master'!M338="","",'Course_Master'!M338)</x:f>
        <x:v>4.88349503</x:v>
      </x:c>
      <x:c r="L338" s="28" t="n">
        <x:f>IF('Course_Master'!S338="","",'Course_Master'!S338)</x:f>
        <x:v>9</x:v>
      </x:c>
      <x:c r="M338" s="28" t="n">
        <x:f>IF('Course_Master'!T338="","",'Course_Master'!T338)</x:f>
        <x:v>27</x:v>
      </x:c>
      <x:c r="N338" s="28" t="n">
        <x:f>IF('Course_Master'!Q338="","",'Course_Master'!Q338)</x:f>
        <x:v>923</x:v>
      </x:c>
      <x:c r="O338" s="28" t="n">
        <x:f>IF('Course_Master'!R338="","",'Course_Master'!R338)</x:f>
        <x:v>844</x:v>
      </x:c>
      <x:c r="P338" s="28" t="str">
        <x:f>IF('Course_Master'!U338="","",'Course_Master'!U338)</x:f>
        <x:v>Par-3 course</x:v>
      </x:c>
      <x:c r="Q338" s="28" t="str">
        <x:f>IF('Course_Master'!AD338="","",'Course_Master'!AD338)</x:f>
        <x:v>Public — NGF course permission</x:v>
      </x:c>
      <x:c r="R338" s="28" t="str">
        <x:f>IF('Course_Master'!AC338="","",'Course_Master'!AC338)</x:f>
        <x:v>Open</x:v>
      </x:c>
      <x:c r="S338" s="28" t="str">
        <x:f>IF('Course_Master'!Y338="","",'Course_Master'!Y338)</x:f>
        <x:v>https://golfparkwilnis.nl/</x:v>
      </x:c>
      <x:c r="T338" s="28" t="b">
        <x:f>IF('Course_Master'!Z338="","",'Course_Master'!Z338)</x:f>
        <x:v>1</x:v>
      </x:c>
      <x:c r="U338" s="28" t="b">
        <x:f>IF('Course_Master'!AA338="","",'Course_Master'!AA338)</x:f>
        <x:v>1</x:v>
      </x:c>
      <x:c r="V338" s="28" t="str">
        <x:f>IF('Course_Master'!AL338="","",'Course_Master'!AL338)</x:f>
        <x:v>Verified — national register and exact BAG address</x:v>
      </x:c>
    </x:row>
    <x:row r="339">
      <x:c r="A339" s="28" t="str">
        <x:f>IF('Course_Master'!B339="","",'Course_Master'!B339)</x:f>
        <x:v>NL-0338</x:v>
      </x:c>
      <x:c r="B339" s="28" t="str">
        <x:f>IF('Course_Master'!C339="","",'Course_Master'!C339)</x:f>
        <x:v>Golfsociëteit De Lage Vuursche — Main Course</x:v>
      </x:c>
      <x:c r="C339" s="28" t="str">
        <x:f>IF('Course_Master'!D339="","",'Course_Master'!D339)</x:f>
        <x:v>Golfsociëteit De Lage Vuursche</x:v>
      </x:c>
      <x:c r="D339" s="28" t="str">
        <x:f>IF('Course_Master'!E339="","",'Course_Master'!E339)</x:f>
        <x:v>Main Course</x:v>
      </x:c>
      <x:c r="E339" s="28" t="str">
        <x:f>IF('Course_Master'!F339="","",'Course_Master'!F339)</x:f>
        <x:v>Netherlands</x:v>
      </x:c>
      <x:c r="F339" s="28" t="str">
        <x:f>IF('Course_Master'!G339="","",'Course_Master'!G339)</x:f>
        <x:v>Utrecht</x:v>
      </x:c>
      <x:c r="G339" s="28" t="str">
        <x:f>IF('Course_Master'!H339="","",'Course_Master'!H339)</x:f>
        <x:v>Zeist</x:v>
      </x:c>
      <x:c r="H339" s="28" t="str">
        <x:f>IF('Course_Master'!I339="","",'Course_Master'!I339)</x:f>
        <x:v>Den Dolder</x:v>
      </x:c>
      <x:c r="I339" s="28" t="str">
        <x:f>IF('Course_Master'!K339="","",'Course_Master'!K339)</x:f>
        <x:v>3734 BS</x:v>
      </x:c>
      <x:c r="J339" s="34" t="n">
        <x:f>IF('Course_Master'!L339="","",'Course_Master'!L339)</x:f>
        <x:v>52.15300432</x:v>
      </x:c>
      <x:c r="K339" s="34" t="n">
        <x:f>IF('Course_Master'!M339="","",'Course_Master'!M339)</x:f>
        <x:v>5.23990116</x:v>
      </x:c>
      <x:c r="L339" s="28" t="n">
        <x:f>IF('Course_Master'!S339="","",'Course_Master'!S339)</x:f>
        <x:v>18</x:v>
      </x:c>
      <x:c r="M339" s="28" t="n">
        <x:f>IF('Course_Master'!T339="","",'Course_Master'!T339)</x:f>
        <x:v>71</x:v>
      </x:c>
      <x:c r="N339" s="28" t="n">
        <x:f>IF('Course_Master'!Q339="","",'Course_Master'!Q339)</x:f>
        <x:v>6876</x:v>
      </x:c>
      <x:c r="O339" s="28" t="n">
        <x:f>IF('Course_Master'!R339="","",'Course_Master'!R339)</x:f>
        <x:v>6287</x:v>
      </x:c>
      <x:c r="P339" s="28" t="str">
        <x:f>IF('Course_Master'!U339="","",'Course_Master'!U339)</x:f>
        <x:v>Full-length course</x:v>
      </x:c>
      <x:c r="Q339" s="28" t="str">
        <x:f>IF('Course_Master'!AD339="","",'Course_Master'!AD339)</x:f>
        <x:v>Public — handicap 54 or lower</x:v>
      </x:c>
      <x:c r="R339" s="28" t="str">
        <x:f>IF('Course_Master'!AC339="","",'Course_Master'!AC339)</x:f>
        <x:v>Open</x:v>
      </x:c>
      <x:c r="S339" s="28" t="str">
        <x:f>IF('Course_Master'!Y339="","",'Course_Master'!Y339)</x:f>
        <x:v>https://www.golflagevuursche.nl/</x:v>
      </x:c>
      <x:c r="T339" s="28" t="b">
        <x:f>IF('Course_Master'!Z339="","",'Course_Master'!Z339)</x:f>
        <x:v>1</x:v>
      </x:c>
      <x:c r="U339" s="28" t="b">
        <x:f>IF('Course_Master'!AA339="","",'Course_Master'!AA339)</x:f>
        <x:v>1</x:v>
      </x:c>
      <x:c r="V339" s="28" t="str">
        <x:f>IF('Course_Master'!AL339="","",'Course_Master'!AL339)</x:f>
        <x:v>Verified — national register and exact BAG address</x:v>
      </x:c>
    </x:row>
    <x:row r="340">
      <x:c r="A340" s="28" t="str">
        <x:f>IF('Course_Master'!B340="","",'Course_Master'!B340)</x:f>
        <x:v>NL-0339</x:v>
      </x:c>
      <x:c r="B340" s="28" t="str">
        <x:f>IF('Course_Master'!C340="","",'Course_Master'!C340)</x:f>
        <x:v>Golfvereniging Hoogland Amersfoort</x:v>
      </x:c>
      <x:c r="C340" s="28" t="str">
        <x:f>IF('Course_Master'!D340="","",'Course_Master'!D340)</x:f>
        <x:v>Golfvereniging Hoogland Amersfoort</x:v>
      </x:c>
      <x:c r="D340" s="28" t="str">
        <x:f>IF('Course_Master'!E340="","",'Course_Master'!E340)</x:f>
        <x:v>Course</x:v>
      </x:c>
      <x:c r="E340" s="28" t="str">
        <x:f>IF('Course_Master'!F340="","",'Course_Master'!F340)</x:f>
        <x:v>Netherlands</x:v>
      </x:c>
      <x:c r="F340" s="28" t="str">
        <x:f>IF('Course_Master'!G340="","",'Course_Master'!G340)</x:f>
        <x:v>Utrecht</x:v>
      </x:c>
      <x:c r="G340" s="28" t="str">
        <x:f>IF('Course_Master'!H340="","",'Course_Master'!H340)</x:f>
        <x:v>Amersfoort</x:v>
      </x:c>
      <x:c r="H340" s="28" t="str">
        <x:f>IF('Course_Master'!I340="","",'Course_Master'!I340)</x:f>
        <x:v>Hoogland</x:v>
      </x:c>
      <x:c r="I340" s="28" t="str">
        <x:f>IF('Course_Master'!K340="","",'Course_Master'!K340)</x:f>
        <x:v>3828 NR</x:v>
      </x:c>
      <x:c r="J340" s="34" t="n">
        <x:f>IF('Course_Master'!L340="","",'Course_Master'!L340)</x:f>
        <x:v>52.18630993</x:v>
      </x:c>
      <x:c r="K340" s="34" t="n">
        <x:f>IF('Course_Master'!M340="","",'Course_Master'!M340)</x:f>
        <x:v>5.36660933</x:v>
      </x:c>
      <x:c r="L340" s="28" t="n">
        <x:f>IF('Course_Master'!S340="","",'Course_Master'!S340)</x:f>
        <x:v>9</x:v>
      </x:c>
      <x:c r="M340" s="28" t="n">
        <x:f>IF('Course_Master'!T340="","",'Course_Master'!T340)</x:f>
        <x:v>34</x:v>
      </x:c>
      <x:c r="N340" s="28" t="n">
        <x:f>IF('Course_Master'!Q340="","",'Course_Master'!Q340)</x:f>
        <x:v>2862</x:v>
      </x:c>
      <x:c r="O340" s="28" t="n">
        <x:f>IF('Course_Master'!R340="","",'Course_Master'!R340)</x:f>
        <x:v>2617</x:v>
      </x:c>
      <x:c r="P340" s="28" t="str">
        <x:f>IF('Course_Master'!U340="","",'Course_Master'!U340)</x:f>
        <x:v>Full-length course</x:v>
      </x:c>
      <x:c r="Q340" s="28" t="str">
        <x:f>IF('Course_Master'!AD340="","",'Course_Master'!AD340)</x:f>
        <x:v>Public — handicap 54 or lower</x:v>
      </x:c>
      <x:c r="R340" s="28" t="str">
        <x:f>IF('Course_Master'!AC340="","",'Course_Master'!AC340)</x:f>
        <x:v>Open</x:v>
      </x:c>
      <x:c r="S340" s="28" t="str">
        <x:f>IF('Course_Master'!Y340="","",'Course_Master'!Y340)</x:f>
        <x:v>https://www.gcha.nl/</x:v>
      </x:c>
      <x:c r="T340" s="28" t="b">
        <x:f>IF('Course_Master'!Z340="","",'Course_Master'!Z340)</x:f>
        <x:v>1</x:v>
      </x:c>
      <x:c r="U340" s="28" t="b">
        <x:f>IF('Course_Master'!AA340="","",'Course_Master'!AA340)</x:f>
        <x:v>1</x:v>
      </x:c>
      <x:c r="V340" s="28" t="str">
        <x:f>IF('Course_Master'!AL340="","",'Course_Master'!AL340)</x:f>
        <x:v>Verified — national register and exact BAG address</x:v>
      </x:c>
    </x:row>
    <x:row r="341">
      <x:c r="A341" s="28" t="str">
        <x:f>IF('Course_Master'!B341="","",'Course_Master'!B341)</x:f>
        <x:v>NL-0340</x:v>
      </x:c>
      <x:c r="B341" s="28" t="str">
        <x:f>IF('Course_Master'!C341="","",'Course_Master'!C341)</x:f>
        <x:v>Gooise Golfclub</x:v>
      </x:c>
      <x:c r="C341" s="28" t="str">
        <x:f>IF('Course_Master'!D341="","",'Course_Master'!D341)</x:f>
        <x:v>Gooise Golfclub</x:v>
      </x:c>
      <x:c r="D341" s="28" t="str">
        <x:f>IF('Course_Master'!E341="","",'Course_Master'!E341)</x:f>
        <x:v>Course</x:v>
      </x:c>
      <x:c r="E341" s="28" t="str">
        <x:f>IF('Course_Master'!F341="","",'Course_Master'!F341)</x:f>
        <x:v>Netherlands</x:v>
      </x:c>
      <x:c r="F341" s="28" t="str">
        <x:f>IF('Course_Master'!G341="","",'Course_Master'!G341)</x:f>
        <x:v>Utrecht</x:v>
      </x:c>
      <x:c r="G341" s="28" t="str">
        <x:f>IF('Course_Master'!H341="","",'Course_Master'!H341)</x:f>
        <x:v>Wijdemeren</x:v>
      </x:c>
      <x:c r="H341" s="28" t="str">
        <x:f>IF('Course_Master'!I341="","",'Course_Master'!I341)</x:f>
        <x:v>Loosdrecht</x:v>
      </x:c>
      <x:c r="I341" s="28" t="str">
        <x:f>IF('Course_Master'!K341="","",'Course_Master'!K341)</x:f>
        <x:v>1231 KJ</x:v>
      </x:c>
      <x:c r="J341" s="34" t="n">
        <x:f>IF('Course_Master'!L341="","",'Course_Master'!L341)</x:f>
        <x:v>52.20943794</x:v>
      </x:c>
      <x:c r="K341" s="34" t="n">
        <x:f>IF('Course_Master'!M341="","",'Course_Master'!M341)</x:f>
        <x:v>5.13230299</x:v>
      </x:c>
      <x:c r="L341" s="28" t="n">
        <x:f>IF('Course_Master'!S341="","",'Course_Master'!S341)</x:f>
        <x:v>9</x:v>
      </x:c>
      <x:c r="M341" s="28" t="n">
        <x:f>IF('Course_Master'!T341="","",'Course_Master'!T341)</x:f>
        <x:v>27</x:v>
      </x:c>
      <x:c r="N341" s="28" t="n">
        <x:f>IF('Course_Master'!Q341="","",'Course_Master'!Q341)</x:f>
        <x:v>1023</x:v>
      </x:c>
      <x:c r="O341" s="28" t="n">
        <x:f>IF('Course_Master'!R341="","",'Course_Master'!R341)</x:f>
        <x:v>935</x:v>
      </x:c>
      <x:c r="P341" s="28" t="str">
        <x:f>IF('Course_Master'!U341="","",'Course_Master'!U341)</x:f>
        <x:v>Par-3 course</x:v>
      </x:c>
      <x:c r="Q341" s="28" t="str">
        <x:f>IF('Course_Master'!AD341="","",'Course_Master'!AD341)</x:f>
        <x:v>Public — handicap 54 or lower</x:v>
      </x:c>
      <x:c r="R341" s="28" t="str">
        <x:f>IF('Course_Master'!AC341="","",'Course_Master'!AC341)</x:f>
        <x:v>Open</x:v>
      </x:c>
      <x:c r="S341" s="28" t="str">
        <x:f>IF('Course_Master'!Y341="","",'Course_Master'!Y341)</x:f>
        <x:v>https://www.gooisegolfclub.nl/</x:v>
      </x:c>
      <x:c r="T341" s="28" t="b">
        <x:f>IF('Course_Master'!Z341="","",'Course_Master'!Z341)</x:f>
        <x:v>1</x:v>
      </x:c>
      <x:c r="U341" s="28" t="b">
        <x:f>IF('Course_Master'!AA341="","",'Course_Master'!AA341)</x:f>
        <x:v>1</x:v>
      </x:c>
      <x:c r="V341" s="28" t="str">
        <x:f>IF('Course_Master'!AL341="","",'Course_Master'!AL341)</x:f>
        <x:v>Verified — national register and exact BAG address</x:v>
      </x:c>
    </x:row>
    <x:row r="342">
      <x:c r="A342" s="28" t="str">
        <x:f>IF('Course_Master'!B342="","",'Course_Master'!B342)</x:f>
        <x:v>NL-0341</x:v>
      </x:c>
      <x:c r="B342" s="28" t="str">
        <x:f>IF('Course_Master'!C342="","",'Course_Master'!C342)</x:f>
        <x:v>Goyer Golf &amp; Country Club — Main Course</x:v>
      </x:c>
      <x:c r="C342" s="28" t="str">
        <x:f>IF('Course_Master'!D342="","",'Course_Master'!D342)</x:f>
        <x:v>Goyer Golf &amp; Country Club</x:v>
      </x:c>
      <x:c r="D342" s="28" t="str">
        <x:f>IF('Course_Master'!E342="","",'Course_Master'!E342)</x:f>
        <x:v>Main Course</x:v>
      </x:c>
      <x:c r="E342" s="28" t="str">
        <x:f>IF('Course_Master'!F342="","",'Course_Master'!F342)</x:f>
        <x:v>Netherlands</x:v>
      </x:c>
      <x:c r="F342" s="28" t="str">
        <x:f>IF('Course_Master'!G342="","",'Course_Master'!G342)</x:f>
        <x:v>Utrecht</x:v>
      </x:c>
      <x:c r="G342" s="28" t="str">
        <x:f>IF('Course_Master'!H342="","",'Course_Master'!H342)</x:f>
        <x:v>Eemnes</x:v>
      </x:c>
      <x:c r="H342" s="28" t="str">
        <x:f>IF('Course_Master'!I342="","",'Course_Master'!I342)</x:f>
        <x:v>Eemnes</x:v>
      </x:c>
      <x:c r="I342" s="28" t="str">
        <x:f>IF('Course_Master'!K342="","",'Course_Master'!K342)</x:f>
        <x:v>3755 MP</x:v>
      </x:c>
      <x:c r="J342" s="34" t="n">
        <x:f>IF('Course_Master'!L342="","",'Course_Master'!L342)</x:f>
        <x:v>52.24001547</x:v>
      </x:c>
      <x:c r="K342" s="34" t="n">
        <x:f>IF('Course_Master'!M342="","",'Course_Master'!M342)</x:f>
        <x:v>5.23834907</x:v>
      </x:c>
      <x:c r="L342" s="28" t="n">
        <x:f>IF('Course_Master'!S342="","",'Course_Master'!S342)</x:f>
        <x:v>18</x:v>
      </x:c>
      <x:c r="M342" s="28" t="n">
        <x:f>IF('Course_Master'!T342="","",'Course_Master'!T342)</x:f>
        <x:v>72</x:v>
      </x:c>
      <x:c r="N342" s="28" t="n">
        <x:f>IF('Course_Master'!Q342="","",'Course_Master'!Q342)</x:f>
        <x:v>6821</x:v>
      </x:c>
      <x:c r="O342" s="28" t="n">
        <x:f>IF('Course_Master'!R342="","",'Course_Master'!R342)</x:f>
        <x:v>6237</x:v>
      </x:c>
      <x:c r="P342" s="28" t="str">
        <x:f>IF('Course_Master'!U342="","",'Course_Master'!U342)</x:f>
        <x:v>Full-length course</x:v>
      </x:c>
      <x:c r="Q342" s="28" t="str">
        <x:f>IF('Course_Master'!AD342="","",'Course_Master'!AD342)</x:f>
        <x:v>Public — handicap 24 or lower</x:v>
      </x:c>
      <x:c r="R342" s="28" t="str">
        <x:f>IF('Course_Master'!AC342="","",'Course_Master'!AC342)</x:f>
        <x:v>Open</x:v>
      </x:c>
      <x:c r="S342" s="28" t="str">
        <x:f>IF('Course_Master'!Y342="","",'Course_Master'!Y342)</x:f>
        <x:v>https://www.goyer.nl/</x:v>
      </x:c>
      <x:c r="T342" s="28" t="b">
        <x:f>IF('Course_Master'!Z342="","",'Course_Master'!Z342)</x:f>
        <x:v>1</x:v>
      </x:c>
      <x:c r="U342" s="28" t="b">
        <x:f>IF('Course_Master'!AA342="","",'Course_Master'!AA342)</x:f>
        <x:v>1</x:v>
      </x:c>
      <x:c r="V342" s="28" t="str">
        <x:f>IF('Course_Master'!AL342="","",'Course_Master'!AL342)</x:f>
        <x:v>Verified — national register and exact BAG address</x:v>
      </x:c>
    </x:row>
    <x:row r="343">
      <x:c r="A343" s="28" t="str">
        <x:f>IF('Course_Master'!B343="","",'Course_Master'!B343)</x:f>
        <x:v>NL-0342</x:v>
      </x:c>
      <x:c r="B343" s="28" t="str">
        <x:f>IF('Course_Master'!C343="","",'Course_Master'!C343)</x:f>
        <x:v>Health Center Hoenderdaal</x:v>
      </x:c>
      <x:c r="C343" s="28" t="str">
        <x:f>IF('Course_Master'!D343="","",'Course_Master'!D343)</x:f>
        <x:v>Health Center Hoenderdaal</x:v>
      </x:c>
      <x:c r="D343" s="28" t="str">
        <x:f>IF('Course_Master'!E343="","",'Course_Master'!E343)</x:f>
        <x:v>Course</x:v>
      </x:c>
      <x:c r="E343" s="28" t="str">
        <x:f>IF('Course_Master'!F343="","",'Course_Master'!F343)</x:f>
        <x:v>Netherlands</x:v>
      </x:c>
      <x:c r="F343" s="28" t="str">
        <x:f>IF('Course_Master'!G343="","",'Course_Master'!G343)</x:f>
        <x:v>Utrecht</x:v>
      </x:c>
      <x:c r="G343" s="28" t="str">
        <x:f>IF('Course_Master'!H343="","",'Course_Master'!H343)</x:f>
        <x:v>Utrechtse Heuvelrug</x:v>
      </x:c>
      <x:c r="H343" s="28" t="str">
        <x:f>IF('Course_Master'!I343="","",'Course_Master'!I343)</x:f>
        <x:v>Driebergen-Rijsenburg</x:v>
      </x:c>
      <x:c r="I343" s="28" t="str">
        <x:f>IF('Course_Master'!K343="","",'Course_Master'!K343)</x:f>
        <x:v>3972 NA</x:v>
      </x:c>
      <x:c r="J343" s="34" t="n">
        <x:f>IF('Course_Master'!L343="","",'Course_Master'!L343)</x:f>
        <x:v>52.05569093</x:v>
      </x:c>
      <x:c r="K343" s="34" t="n">
        <x:f>IF('Course_Master'!M343="","",'Course_Master'!M343)</x:f>
        <x:v>5.26321401</x:v>
      </x:c>
      <x:c r="L343" s="28" t="n">
        <x:f>IF('Course_Master'!S343="","",'Course_Master'!S343)</x:f>
        <x:v>9</x:v>
      </x:c>
      <x:c r="M343" s="28" t="n">
        <x:f>IF('Course_Master'!T343="","",'Course_Master'!T343)</x:f>
        <x:v>27</x:v>
      </x:c>
      <x:c r="N343" s="28" t="n">
        <x:f>IF('Course_Master'!Q343="","",'Course_Master'!Q343)</x:f>
        <x:v>959</x:v>
      </x:c>
      <x:c r="O343" s="28" t="n">
        <x:f>IF('Course_Master'!R343="","",'Course_Master'!R343)</x:f>
        <x:v>877</x:v>
      </x:c>
      <x:c r="P343" s="28" t="str">
        <x:f>IF('Course_Master'!U343="","",'Course_Master'!U343)</x:f>
        <x:v>Par-3 course</x:v>
      </x:c>
      <x:c r="Q343" s="28" t="str">
        <x:f>IF('Course_Master'!AD343="","",'Course_Master'!AD343)</x:f>
        <x:v>Public — NGF course permission</x:v>
      </x:c>
      <x:c r="R343" s="28" t="str">
        <x:f>IF('Course_Master'!AC343="","",'Course_Master'!AC343)</x:f>
        <x:v>Open</x:v>
      </x:c>
      <x:c r="S343" s="28" t="str">
        <x:f>IF('Course_Master'!Y343="","",'Course_Master'!Y343)</x:f>
        <x:v>https://hoenderdaal.com/</x:v>
      </x:c>
      <x:c r="T343" s="28" t="b">
        <x:f>IF('Course_Master'!Z343="","",'Course_Master'!Z343)</x:f>
        <x:v>1</x:v>
      </x:c>
      <x:c r="U343" s="28" t="b">
        <x:f>IF('Course_Master'!AA343="","",'Course_Master'!AA343)</x:f>
        <x:v>1</x:v>
      </x:c>
      <x:c r="V343" s="28" t="str">
        <x:f>IF('Course_Master'!AL343="","",'Course_Master'!AL343)</x:f>
        <x:v>Verified — national register and exact BAG address</x:v>
      </x:c>
    </x:row>
    <x:row r="344">
      <x:c r="A344" s="28" t="str">
        <x:f>IF('Course_Master'!B344="","",'Course_Master'!B344)</x:f>
        <x:v>NL-0343</x:v>
      </x:c>
      <x:c r="B344" s="28" t="str">
        <x:f>IF('Course_Master'!C344="","",'Course_Master'!C344)</x:f>
        <x:v>Pitch &amp; putt Buitenplaats Kameryck — Shortgolf / Pitch &amp; Putt Course</x:v>
      </x:c>
      <x:c r="C344" s="28" t="str">
        <x:f>IF('Course_Master'!D344="","",'Course_Master'!D344)</x:f>
        <x:v>Pitch &amp; putt Buitenplaats Kameryck</x:v>
      </x:c>
      <x:c r="D344" s="28" t="str">
        <x:f>IF('Course_Master'!E344="","",'Course_Master'!E344)</x:f>
        <x:v>Shortgolf / Pitch &amp; Putt Course</x:v>
      </x:c>
      <x:c r="E344" s="28" t="str">
        <x:f>IF('Course_Master'!F344="","",'Course_Master'!F344)</x:f>
        <x:v>Netherlands</x:v>
      </x:c>
      <x:c r="F344" s="28" t="str">
        <x:f>IF('Course_Master'!G344="","",'Course_Master'!G344)</x:f>
        <x:v>Utrecht</x:v>
      </x:c>
      <x:c r="G344" s="28" t="str">
        <x:f>IF('Course_Master'!H344="","",'Course_Master'!H344)</x:f>
        <x:v>Woerden</x:v>
      </x:c>
      <x:c r="H344" s="28" t="str">
        <x:f>IF('Course_Master'!I344="","",'Course_Master'!I344)</x:f>
        <x:v>Kamerik</x:v>
      </x:c>
      <x:c r="I344" s="28" t="str">
        <x:f>IF('Course_Master'!K344="","",'Course_Master'!K344)</x:f>
        <x:v>3471 HD</x:v>
      </x:c>
      <x:c r="J344" s="34" t="n">
        <x:f>IF('Course_Master'!L344="","",'Course_Master'!L344)</x:f>
        <x:v>52.13047646</x:v>
      </x:c>
      <x:c r="K344" s="34" t="n">
        <x:f>IF('Course_Master'!M344="","",'Course_Master'!M344)</x:f>
        <x:v>4.90615327</x:v>
      </x:c>
      <x:c r="L344" s="28" t="n">
        <x:f>IF('Course_Master'!S344="","",'Course_Master'!S344)</x:f>
        <x:v>18</x:v>
      </x:c>
      <x:c r="M344" s="28" t="n">
        <x:f>IF('Course_Master'!T344="","",'Course_Master'!T344)</x:f>
        <x:v>54</x:v>
      </x:c>
      <x:c r="N344" s="28" t="n">
        <x:f>IF('Course_Master'!Q344="","",'Course_Master'!Q344)</x:f>
        <x:v>984</x:v>
      </x:c>
      <x:c r="O344" s="28" t="n">
        <x:f>IF('Course_Master'!R344="","",'Course_Master'!R344)</x:f>
        <x:v>900</x:v>
      </x:c>
      <x:c r="P344" s="28" t="str">
        <x:f>IF('Course_Master'!U344="","",'Course_Master'!U344)</x:f>
        <x:v>Shortgolf / Pitch &amp; Putt</x:v>
      </x:c>
      <x:c r="Q344" s="28" t="str">
        <x:f>IF('Course_Master'!AD344="","",'Course_Master'!AD344)</x:f>
        <x:v>Public — no playing requirement</x:v>
      </x:c>
      <x:c r="R344" s="28" t="str">
        <x:f>IF('Course_Master'!AC344="","",'Course_Master'!AC344)</x:f>
        <x:v>Open</x:v>
      </x:c>
      <x:c r="S344" s="28" t="str">
        <x:f>IF('Course_Master'!Y344="","",'Course_Master'!Y344)</x:f>
        <x:v>https://kameryck.nl/</x:v>
      </x:c>
      <x:c r="T344" s="28" t="b">
        <x:f>IF('Course_Master'!Z344="","",'Course_Master'!Z344)</x:f>
        <x:v>1</x:v>
      </x:c>
      <x:c r="U344" s="28" t="b">
        <x:f>IF('Course_Master'!AA344="","",'Course_Master'!AA344)</x:f>
        <x:v>1</x:v>
      </x:c>
      <x:c r="V344" s="28" t="str">
        <x:f>IF('Course_Master'!AL344="","",'Course_Master'!AL344)</x:f>
        <x:v>Verified — national register and exact BAG address</x:v>
      </x:c>
    </x:row>
    <x:row r="345">
      <x:c r="A345" s="28" t="str">
        <x:f>IF('Course_Master'!B345="","",'Course_Master'!B345)</x:f>
        <x:v>NL-0344</x:v>
      </x:c>
      <x:c r="B345" s="28" t="str">
        <x:f>IF('Course_Master'!C345="","",'Course_Master'!C345)</x:f>
        <x:v>ShortGolf Utrecht — Par-3 Course</x:v>
      </x:c>
      <x:c r="C345" s="28" t="str">
        <x:f>IF('Course_Master'!D345="","",'Course_Master'!D345)</x:f>
        <x:v>ShortGolf Utrecht</x:v>
      </x:c>
      <x:c r="D345" s="28" t="str">
        <x:f>IF('Course_Master'!E345="","",'Course_Master'!E345)</x:f>
        <x:v>Par-3 Course</x:v>
      </x:c>
      <x:c r="E345" s="28" t="str">
        <x:f>IF('Course_Master'!F345="","",'Course_Master'!F345)</x:f>
        <x:v>Netherlands</x:v>
      </x:c>
      <x:c r="F345" s="28" t="str">
        <x:f>IF('Course_Master'!G345="","",'Course_Master'!G345)</x:f>
        <x:v>Utrecht</x:v>
      </x:c>
      <x:c r="G345" s="28" t="str">
        <x:f>IF('Course_Master'!H345="","",'Course_Master'!H345)</x:f>
        <x:v>Nieuwegein</x:v>
      </x:c>
      <x:c r="H345" s="28" t="str">
        <x:f>IF('Course_Master'!I345="","",'Course_Master'!I345)</x:f>
        <x:v>Nieuwegein</x:v>
      </x:c>
      <x:c r="I345" s="28" t="str">
        <x:f>IF('Course_Master'!K345="","",'Course_Master'!K345)</x:f>
        <x:v>3438 HX</x:v>
      </x:c>
      <x:c r="J345" s="34" t="n">
        <x:f>IF('Course_Master'!L345="","",'Course_Master'!L345)</x:f>
        <x:v>52.05806473</x:v>
      </x:c>
      <x:c r="K345" s="34" t="n">
        <x:f>IF('Course_Master'!M345="","",'Course_Master'!M345)</x:f>
        <x:v>5.09257331</x:v>
      </x:c>
      <x:c r="L345" s="28" t="n">
        <x:f>IF('Course_Master'!S345="","",'Course_Master'!S345)</x:f>
        <x:v>9</x:v>
      </x:c>
      <x:c r="M345" s="28" t="n">
        <x:f>IF('Course_Master'!T345="","",'Course_Master'!T345)</x:f>
        <x:v>27</x:v>
      </x:c>
      <x:c r="N345" s="28" t="n">
        <x:f>IF('Course_Master'!Q345="","",'Course_Master'!Q345)</x:f>
        <x:v>771</x:v>
      </x:c>
      <x:c r="O345" s="28" t="n">
        <x:f>IF('Course_Master'!R345="","",'Course_Master'!R345)</x:f>
        <x:v>705</x:v>
      </x:c>
      <x:c r="P345" s="28" t="str">
        <x:f>IF('Course_Master'!U345="","",'Course_Master'!U345)</x:f>
        <x:v>Par-3 course</x:v>
      </x:c>
      <x:c r="Q345" s="28" t="str">
        <x:f>IF('Course_Master'!AD345="","",'Course_Master'!AD345)</x:f>
        <x:v>Public — no playing requirement</x:v>
      </x:c>
      <x:c r="R345" s="28" t="str">
        <x:f>IF('Course_Master'!AC345="","",'Course_Master'!AC345)</x:f>
        <x:v>Open</x:v>
      </x:c>
      <x:c r="S345" s="28" t="str">
        <x:f>IF('Course_Master'!Y345="","",'Course_Master'!Y345)</x:f>
        <x:v>https://www.hollandschegolfclub.nl/golfpark/shortgolf-utrecht/</x:v>
      </x:c>
      <x:c r="T345" s="28" t="b">
        <x:f>IF('Course_Master'!Z345="","",'Course_Master'!Z345)</x:f>
        <x:v>1</x:v>
      </x:c>
      <x:c r="U345" s="28" t="b">
        <x:f>IF('Course_Master'!AA345="","",'Course_Master'!AA345)</x:f>
        <x:v>1</x:v>
      </x:c>
      <x:c r="V345" s="28" t="str">
        <x:f>IF('Course_Master'!AL345="","",'Course_Master'!AL345)</x:f>
        <x:v>Verified — national register and exact BAG address</x:v>
      </x:c>
    </x:row>
    <x:row r="346">
      <x:c r="A346" s="28" t="str">
        <x:f>IF('Course_Master'!B346="","",'Course_Master'!B346)</x:f>
        <x:v>NL-0345</x:v>
      </x:c>
      <x:c r="B346" s="28" t="str">
        <x:f>IF('Course_Master'!C346="","",'Course_Master'!C346)</x:f>
        <x:v>ShortGolf Utrecht — Par-3/4 Course</x:v>
      </x:c>
      <x:c r="C346" s="28" t="str">
        <x:f>IF('Course_Master'!D346="","",'Course_Master'!D346)</x:f>
        <x:v>ShortGolf Utrecht</x:v>
      </x:c>
      <x:c r="D346" s="28" t="str">
        <x:f>IF('Course_Master'!E346="","",'Course_Master'!E346)</x:f>
        <x:v>Par-3/4 Course</x:v>
      </x:c>
      <x:c r="E346" s="28" t="str">
        <x:f>IF('Course_Master'!F346="","",'Course_Master'!F346)</x:f>
        <x:v>Netherlands</x:v>
      </x:c>
      <x:c r="F346" s="28" t="str">
        <x:f>IF('Course_Master'!G346="","",'Course_Master'!G346)</x:f>
        <x:v>Utrecht</x:v>
      </x:c>
      <x:c r="G346" s="28" t="str">
        <x:f>IF('Course_Master'!H346="","",'Course_Master'!H346)</x:f>
        <x:v>Nieuwegein</x:v>
      </x:c>
      <x:c r="H346" s="28" t="str">
        <x:f>IF('Course_Master'!I346="","",'Course_Master'!I346)</x:f>
        <x:v>Nieuwegein</x:v>
      </x:c>
      <x:c r="I346" s="28" t="str">
        <x:f>IF('Course_Master'!K346="","",'Course_Master'!K346)</x:f>
        <x:v>3438 HX</x:v>
      </x:c>
      <x:c r="J346" s="34" t="n">
        <x:f>IF('Course_Master'!L346="","",'Course_Master'!L346)</x:f>
        <x:v>52.05806473</x:v>
      </x:c>
      <x:c r="K346" s="34" t="n">
        <x:f>IF('Course_Master'!M346="","",'Course_Master'!M346)</x:f>
        <x:v>5.09257331</x:v>
      </x:c>
      <x:c r="L346" s="28" t="n">
        <x:f>IF('Course_Master'!S346="","",'Course_Master'!S346)</x:f>
        <x:v>9</x:v>
      </x:c>
      <x:c r="M346" s="28" t="n">
        <x:f>IF('Course_Master'!T346="","",'Course_Master'!T346)</x:f>
        <x:v>29</x:v>
      </x:c>
      <x:c r="N346" s="28" t="n">
        <x:f>IF('Course_Master'!Q346="","",'Course_Master'!Q346)</x:f>
        <x:v>1202</x:v>
      </x:c>
      <x:c r="O346" s="28" t="n">
        <x:f>IF('Course_Master'!R346="","",'Course_Master'!R346)</x:f>
        <x:v>1099</x:v>
      </x:c>
      <x:c r="P346" s="28" t="str">
        <x:f>IF('Course_Master'!U346="","",'Course_Master'!U346)</x:f>
        <x:v>Par-3/4 course</x:v>
      </x:c>
      <x:c r="Q346" s="28" t="str">
        <x:f>IF('Course_Master'!AD346="","",'Course_Master'!AD346)</x:f>
        <x:v>Public — no playing requirement</x:v>
      </x:c>
      <x:c r="R346" s="28" t="str">
        <x:f>IF('Course_Master'!AC346="","",'Course_Master'!AC346)</x:f>
        <x:v>Open</x:v>
      </x:c>
      <x:c r="S346" s="28" t="str">
        <x:f>IF('Course_Master'!Y346="","",'Course_Master'!Y346)</x:f>
        <x:v>https://www.hollandschegolfclub.nl/golfpark/shortgolf-utrecht/</x:v>
      </x:c>
      <x:c r="T346" s="28" t="b">
        <x:f>IF('Course_Master'!Z346="","",'Course_Master'!Z346)</x:f>
        <x:v>1</x:v>
      </x:c>
      <x:c r="U346" s="28" t="b">
        <x:f>IF('Course_Master'!AA346="","",'Course_Master'!AA346)</x:f>
        <x:v>1</x:v>
      </x:c>
      <x:c r="V346" s="28" t="str">
        <x:f>IF('Course_Master'!AL346="","",'Course_Master'!AL346)</x:f>
        <x:v>Verified — national register and exact BAG address</x:v>
      </x:c>
    </x:row>
    <x:row r="347">
      <x:c r="A347" s="28" t="str">
        <x:f>IF('Course_Master'!B347="","",'Course_Master'!B347)</x:f>
        <x:v>NL-0346</x:v>
      </x:c>
      <x:c r="B347" s="28" t="str">
        <x:f>IF('Course_Master'!C347="","",'Course_Master'!C347)</x:f>
        <x:v>Utrechtse Golfclub Amelisweerd — Main Course</x:v>
      </x:c>
      <x:c r="C347" s="28" t="str">
        <x:f>IF('Course_Master'!D347="","",'Course_Master'!D347)</x:f>
        <x:v>Utrechtse Golfclub Amelisweerd</x:v>
      </x:c>
      <x:c r="D347" s="28" t="str">
        <x:f>IF('Course_Master'!E347="","",'Course_Master'!E347)</x:f>
        <x:v>Main Course</x:v>
      </x:c>
      <x:c r="E347" s="28" t="str">
        <x:f>IF('Course_Master'!F347="","",'Course_Master'!F347)</x:f>
        <x:v>Netherlands</x:v>
      </x:c>
      <x:c r="F347" s="28" t="str">
        <x:f>IF('Course_Master'!G347="","",'Course_Master'!G347)</x:f>
        <x:v>Utrecht</x:v>
      </x:c>
      <x:c r="G347" s="28" t="str">
        <x:f>IF('Course_Master'!H347="","",'Course_Master'!H347)</x:f>
        <x:v>Utrecht</x:v>
      </x:c>
      <x:c r="H347" s="28" t="str">
        <x:f>IF('Course_Master'!I347="","",'Course_Master'!I347)</x:f>
        <x:v>Utrecht</x:v>
      </x:c>
      <x:c r="I347" s="28" t="str">
        <x:f>IF('Course_Master'!K347="","",'Course_Master'!K347)</x:f>
        <x:v>3585 LH</x:v>
      </x:c>
      <x:c r="J347" s="34" t="n">
        <x:f>IF('Course_Master'!L347="","",'Course_Master'!L347)</x:f>
        <x:v>52.06305251</x:v>
      </x:c>
      <x:c r="K347" s="34" t="n">
        <x:f>IF('Course_Master'!M347="","",'Course_Master'!M347)</x:f>
        <x:v>5.15083609</x:v>
      </x:c>
      <x:c r="L347" s="28" t="n">
        <x:f>IF('Course_Master'!S347="","",'Course_Master'!S347)</x:f>
        <x:v>18</x:v>
      </x:c>
      <x:c r="M347" s="28" t="n">
        <x:f>IF('Course_Master'!T347="","",'Course_Master'!T347)</x:f>
        <x:v>70</x:v>
      </x:c>
      <x:c r="N347" s="28" t="n">
        <x:f>IF('Course_Master'!Q347="","",'Course_Master'!Q347)</x:f>
        <x:v>6609</x:v>
      </x:c>
      <x:c r="O347" s="28" t="n">
        <x:f>IF('Course_Master'!R347="","",'Course_Master'!R347)</x:f>
        <x:v>6043</x:v>
      </x:c>
      <x:c r="P347" s="28" t="str">
        <x:f>IF('Course_Master'!U347="","",'Course_Master'!U347)</x:f>
        <x:v>Full-length course</x:v>
      </x:c>
      <x:c r="Q347" s="28" t="str">
        <x:f>IF('Course_Master'!AD347="","",'Course_Master'!AD347)</x:f>
        <x:v>Public — handicap 54 or lower</x:v>
      </x:c>
      <x:c r="R347" s="28" t="str">
        <x:f>IF('Course_Master'!AC347="","",'Course_Master'!AC347)</x:f>
        <x:v>Open</x:v>
      </x:c>
      <x:c r="S347" s="28" t="str">
        <x:f>IF('Course_Master'!Y347="","",'Course_Master'!Y347)</x:f>
        <x:v>https://amelisweerd.nl/</x:v>
      </x:c>
      <x:c r="T347" s="28" t="b">
        <x:f>IF('Course_Master'!Z347="","",'Course_Master'!Z347)</x:f>
        <x:v>1</x:v>
      </x:c>
      <x:c r="U347" s="28" t="b">
        <x:f>IF('Course_Master'!AA347="","",'Course_Master'!AA347)</x:f>
        <x:v>1</x:v>
      </x:c>
      <x:c r="V347" s="28" t="str">
        <x:f>IF('Course_Master'!AL347="","",'Course_Master'!AL347)</x:f>
        <x:v>Verified — national register and exact BAG address</x:v>
      </x:c>
    </x:row>
    <x:row r="348">
      <x:c r="A348" s="28" t="str">
        <x:f>IF('Course_Master'!B348="","",'Course_Master'!B348)</x:f>
        <x:v>NL-0347</x:v>
      </x:c>
      <x:c r="B348" s="28" t="str">
        <x:f>IF('Course_Master'!C348="","",'Course_Master'!C348)</x:f>
        <x:v>Utrechtse Golfclub Amelisweerd — Par-3 Course</x:v>
      </x:c>
      <x:c r="C348" s="28" t="str">
        <x:f>IF('Course_Master'!D348="","",'Course_Master'!D348)</x:f>
        <x:v>Utrechtse Golfclub Amelisweerd</x:v>
      </x:c>
      <x:c r="D348" s="28" t="str">
        <x:f>IF('Course_Master'!E348="","",'Course_Master'!E348)</x:f>
        <x:v>Par-3 Course</x:v>
      </x:c>
      <x:c r="E348" s="28" t="str">
        <x:f>IF('Course_Master'!F348="","",'Course_Master'!F348)</x:f>
        <x:v>Netherlands</x:v>
      </x:c>
      <x:c r="F348" s="28" t="str">
        <x:f>IF('Course_Master'!G348="","",'Course_Master'!G348)</x:f>
        <x:v>Utrecht</x:v>
      </x:c>
      <x:c r="G348" s="28" t="str">
        <x:f>IF('Course_Master'!H348="","",'Course_Master'!H348)</x:f>
        <x:v>Utrecht</x:v>
      </x:c>
      <x:c r="H348" s="28" t="str">
        <x:f>IF('Course_Master'!I348="","",'Course_Master'!I348)</x:f>
        <x:v>Utrecht</x:v>
      </x:c>
      <x:c r="I348" s="28" t="str">
        <x:f>IF('Course_Master'!K348="","",'Course_Master'!K348)</x:f>
        <x:v>3585 LH</x:v>
      </x:c>
      <x:c r="J348" s="34" t="n">
        <x:f>IF('Course_Master'!L348="","",'Course_Master'!L348)</x:f>
        <x:v>52.06305251</x:v>
      </x:c>
      <x:c r="K348" s="34" t="n">
        <x:f>IF('Course_Master'!M348="","",'Course_Master'!M348)</x:f>
        <x:v>5.15083609</x:v>
      </x:c>
      <x:c r="L348" s="28" t="n">
        <x:f>IF('Course_Master'!S348="","",'Course_Master'!S348)</x:f>
        <x:v>9</x:v>
      </x:c>
      <x:c r="M348" s="28" t="n">
        <x:f>IF('Course_Master'!T348="","",'Course_Master'!T348)</x:f>
        <x:v>27</x:v>
      </x:c>
      <x:c r="N348" s="28" t="n">
        <x:f>IF('Course_Master'!Q348="","",'Course_Master'!Q348)</x:f>
        <x:v>788</x:v>
      </x:c>
      <x:c r="O348" s="28" t="n">
        <x:f>IF('Course_Master'!R348="","",'Course_Master'!R348)</x:f>
        <x:v>721</x:v>
      </x:c>
      <x:c r="P348" s="28" t="str">
        <x:f>IF('Course_Master'!U348="","",'Course_Master'!U348)</x:f>
        <x:v>Par-3 course</x:v>
      </x:c>
      <x:c r="Q348" s="28" t="str">
        <x:f>IF('Course_Master'!AD348="","",'Course_Master'!AD348)</x:f>
        <x:v>Public — NGF course permission</x:v>
      </x:c>
      <x:c r="R348" s="28" t="str">
        <x:f>IF('Course_Master'!AC348="","",'Course_Master'!AC348)</x:f>
        <x:v>Open</x:v>
      </x:c>
      <x:c r="S348" s="28" t="str">
        <x:f>IF('Course_Master'!Y348="","",'Course_Master'!Y348)</x:f>
        <x:v>https://amelisweerd.nl/</x:v>
      </x:c>
      <x:c r="T348" s="28" t="b">
        <x:f>IF('Course_Master'!Z348="","",'Course_Master'!Z348)</x:f>
        <x:v>1</x:v>
      </x:c>
      <x:c r="U348" s="28" t="b">
        <x:f>IF('Course_Master'!AA348="","",'Course_Master'!AA348)</x:f>
        <x:v>1</x:v>
      </x:c>
      <x:c r="V348" s="28" t="str">
        <x:f>IF('Course_Master'!AL348="","",'Course_Master'!AL348)</x:f>
        <x:v>Verified — national register and exact BAG address</x:v>
      </x:c>
    </x:row>
    <x:row r="349">
      <x:c r="A349" s="28" t="str">
        <x:f>IF('Course_Master'!B349="","",'Course_Master'!B349)</x:f>
        <x:v>NL-0348</x:v>
      </x:c>
      <x:c r="B349" s="28" t="str">
        <x:f>IF('Course_Master'!C349="","",'Course_Master'!C349)</x:f>
        <x:v>Utrechtse Golfclub De Pan — Main Course</x:v>
      </x:c>
      <x:c r="C349" s="28" t="str">
        <x:f>IF('Course_Master'!D349="","",'Course_Master'!D349)</x:f>
        <x:v>Utrechtse Golfclub De Pan</x:v>
      </x:c>
      <x:c r="D349" s="28" t="str">
        <x:f>IF('Course_Master'!E349="","",'Course_Master'!E349)</x:f>
        <x:v>Main Course</x:v>
      </x:c>
      <x:c r="E349" s="28" t="str">
        <x:f>IF('Course_Master'!F349="","",'Course_Master'!F349)</x:f>
        <x:v>Netherlands</x:v>
      </x:c>
      <x:c r="F349" s="28" t="str">
        <x:f>IF('Course_Master'!G349="","",'Course_Master'!G349)</x:f>
        <x:v>Utrecht</x:v>
      </x:c>
      <x:c r="G349" s="28" t="str">
        <x:f>IF('Course_Master'!H349="","",'Course_Master'!H349)</x:f>
        <x:v>Zeist</x:v>
      </x:c>
      <x:c r="H349" s="28" t="str">
        <x:f>IF('Course_Master'!I349="","",'Course_Master'!I349)</x:f>
        <x:v>Bosch en Duin</x:v>
      </x:c>
      <x:c r="I349" s="28" t="str">
        <x:f>IF('Course_Master'!K349="","",'Course_Master'!K349)</x:f>
        <x:v>3735 LJ</x:v>
      </x:c>
      <x:c r="J349" s="34" t="n">
        <x:f>IF('Course_Master'!L349="","",'Course_Master'!L349)</x:f>
        <x:v>52.10834569</x:v>
      </x:c>
      <x:c r="K349" s="34" t="n">
        <x:f>IF('Course_Master'!M349="","",'Course_Master'!M349)</x:f>
        <x:v>5.22792808</x:v>
      </x:c>
      <x:c r="L349" s="28" t="n">
        <x:f>IF('Course_Master'!S349="","",'Course_Master'!S349)</x:f>
        <x:v>18</x:v>
      </x:c>
      <x:c r="M349" s="28" t="n">
        <x:f>IF('Course_Master'!T349="","",'Course_Master'!T349)</x:f>
        <x:v>72</x:v>
      </x:c>
      <x:c r="N349" s="28" t="n">
        <x:f>IF('Course_Master'!Q349="","",'Course_Master'!Q349)</x:f>
        <x:v>6668</x:v>
      </x:c>
      <x:c r="O349" s="28" t="n">
        <x:f>IF('Course_Master'!R349="","",'Course_Master'!R349)</x:f>
        <x:v>6097</x:v>
      </x:c>
      <x:c r="P349" s="28" t="str">
        <x:f>IF('Course_Master'!U349="","",'Course_Master'!U349)</x:f>
        <x:v>Full-length course</x:v>
      </x:c>
      <x:c r="Q349" s="28" t="str">
        <x:f>IF('Course_Master'!AD349="","",'Course_Master'!AD349)</x:f>
        <x:v>Public — handicap 24 or lower</x:v>
      </x:c>
      <x:c r="R349" s="28" t="str">
        <x:f>IF('Course_Master'!AC349="","",'Course_Master'!AC349)</x:f>
        <x:v>Open</x:v>
      </x:c>
      <x:c r="S349" s="28" t="str">
        <x:f>IF('Course_Master'!Y349="","",'Course_Master'!Y349)</x:f>
        <x:v>https://ugc-depan.nl/</x:v>
      </x:c>
      <x:c r="T349" s="28" t="b">
        <x:f>IF('Course_Master'!Z349="","",'Course_Master'!Z349)</x:f>
        <x:v>1</x:v>
      </x:c>
      <x:c r="U349" s="28" t="b">
        <x:f>IF('Course_Master'!AA349="","",'Course_Master'!AA349)</x:f>
        <x:v>1</x:v>
      </x:c>
      <x:c r="V349" s="28" t="str">
        <x:f>IF('Course_Master'!AL349="","",'Course_Master'!AL349)</x:f>
        <x:v>Verified — national register and exact BAG address</x:v>
      </x:c>
    </x:row>
    <x:row r="350">
      <x:c r="A350" s="28" t="str">
        <x:f>IF('Course_Master'!B350="","",'Course_Master'!B350)</x:f>
        <x:v>NL-0349</x:v>
      </x:c>
      <x:c r="B350" s="28" t="str">
        <x:f>IF('Course_Master'!C350="","",'Course_Master'!C350)</x:f>
        <x:v>De Goese Golf — Main Course</x:v>
      </x:c>
      <x:c r="C350" s="28" t="str">
        <x:f>IF('Course_Master'!D350="","",'Course_Master'!D350)</x:f>
        <x:v>De Goese Golf</x:v>
      </x:c>
      <x:c r="D350" s="28" t="str">
        <x:f>IF('Course_Master'!E350="","",'Course_Master'!E350)</x:f>
        <x:v>Main Course</x:v>
      </x:c>
      <x:c r="E350" s="28" t="str">
        <x:f>IF('Course_Master'!F350="","",'Course_Master'!F350)</x:f>
        <x:v>Netherlands</x:v>
      </x:c>
      <x:c r="F350" s="28" t="str">
        <x:f>IF('Course_Master'!G350="","",'Course_Master'!G350)</x:f>
        <x:v>Zeeland</x:v>
      </x:c>
      <x:c r="G350" s="28" t="str">
        <x:f>IF('Course_Master'!H350="","",'Course_Master'!H350)</x:f>
        <x:v>Goes</x:v>
      </x:c>
      <x:c r="H350" s="28" t="str">
        <x:f>IF('Course_Master'!I350="","",'Course_Master'!I350)</x:f>
        <x:v>Goes</x:v>
      </x:c>
      <x:c r="I350" s="28" t="str">
        <x:f>IF('Course_Master'!K350="","",'Course_Master'!K350)</x:f>
        <x:v>4465 BH</x:v>
      </x:c>
      <x:c r="J350" s="34" t="n">
        <x:f>IF('Course_Master'!L350="","",'Course_Master'!L350)</x:f>
        <x:v>51.52031258</x:v>
      </x:c>
      <x:c r="K350" s="34" t="n">
        <x:f>IF('Course_Master'!M350="","",'Course_Master'!M350)</x:f>
        <x:v>3.91140866</x:v>
      </x:c>
      <x:c r="L350" s="28" t="n">
        <x:f>IF('Course_Master'!S350="","",'Course_Master'!S350)</x:f>
        <x:v>18</x:v>
      </x:c>
      <x:c r="M350" s="28" t="n">
        <x:f>IF('Course_Master'!T350="","",'Course_Master'!T350)</x:f>
        <x:v>72</x:v>
      </x:c>
      <x:c r="N350" s="28" t="n">
        <x:f>IF('Course_Master'!Q350="","",'Course_Master'!Q350)</x:f>
        <x:v>6855</x:v>
      </x:c>
      <x:c r="O350" s="28" t="n">
        <x:f>IF('Course_Master'!R350="","",'Course_Master'!R350)</x:f>
        <x:v>6268</x:v>
      </x:c>
      <x:c r="P350" s="28" t="str">
        <x:f>IF('Course_Master'!U350="","",'Course_Master'!U350)</x:f>
        <x:v>Full-length course</x:v>
      </x:c>
      <x:c r="Q350" s="28" t="str">
        <x:f>IF('Course_Master'!AD350="","",'Course_Master'!AD350)</x:f>
        <x:v>Public — handicap 54 or lower</x:v>
      </x:c>
      <x:c r="R350" s="28" t="str">
        <x:f>IF('Course_Master'!AC350="","",'Course_Master'!AC350)</x:f>
        <x:v>Open</x:v>
      </x:c>
      <x:c r="S350" s="28" t="str">
        <x:f>IF('Course_Master'!Y350="","",'Course_Master'!Y350)</x:f>
        <x:v>https://goesegolf.nl/</x:v>
      </x:c>
      <x:c r="T350" s="28" t="b">
        <x:f>IF('Course_Master'!Z350="","",'Course_Master'!Z350)</x:f>
        <x:v>1</x:v>
      </x:c>
      <x:c r="U350" s="28" t="b">
        <x:f>IF('Course_Master'!AA350="","",'Course_Master'!AA350)</x:f>
        <x:v>1</x:v>
      </x:c>
      <x:c r="V350" s="28" t="str">
        <x:f>IF('Course_Master'!AL350="","",'Course_Master'!AL350)</x:f>
        <x:v>Verified — national register and exact BAG address</x:v>
      </x:c>
    </x:row>
    <x:row r="351">
      <x:c r="A351" s="28" t="str">
        <x:f>IF('Course_Master'!B351="","",'Course_Master'!B351)</x:f>
        <x:v>NL-0350</x:v>
      </x:c>
      <x:c r="B351" s="28" t="str">
        <x:f>IF('Course_Master'!C351="","",'Course_Master'!C351)</x:f>
        <x:v>De Goese Golf — Par-3 Course</x:v>
      </x:c>
      <x:c r="C351" s="28" t="str">
        <x:f>IF('Course_Master'!D351="","",'Course_Master'!D351)</x:f>
        <x:v>De Goese Golf</x:v>
      </x:c>
      <x:c r="D351" s="28" t="str">
        <x:f>IF('Course_Master'!E351="","",'Course_Master'!E351)</x:f>
        <x:v>Par-3 Course</x:v>
      </x:c>
      <x:c r="E351" s="28" t="str">
        <x:f>IF('Course_Master'!F351="","",'Course_Master'!F351)</x:f>
        <x:v>Netherlands</x:v>
      </x:c>
      <x:c r="F351" s="28" t="str">
        <x:f>IF('Course_Master'!G351="","",'Course_Master'!G351)</x:f>
        <x:v>Zeeland</x:v>
      </x:c>
      <x:c r="G351" s="28" t="str">
        <x:f>IF('Course_Master'!H351="","",'Course_Master'!H351)</x:f>
        <x:v>Goes</x:v>
      </x:c>
      <x:c r="H351" s="28" t="str">
        <x:f>IF('Course_Master'!I351="","",'Course_Master'!I351)</x:f>
        <x:v>Goes</x:v>
      </x:c>
      <x:c r="I351" s="28" t="str">
        <x:f>IF('Course_Master'!K351="","",'Course_Master'!K351)</x:f>
        <x:v>4465 BH</x:v>
      </x:c>
      <x:c r="J351" s="34" t="n">
        <x:f>IF('Course_Master'!L351="","",'Course_Master'!L351)</x:f>
        <x:v>51.52031258</x:v>
      </x:c>
      <x:c r="K351" s="34" t="n">
        <x:f>IF('Course_Master'!M351="","",'Course_Master'!M351)</x:f>
        <x:v>3.91140866</x:v>
      </x:c>
      <x:c r="L351" s="28" t="n">
        <x:f>IF('Course_Master'!S351="","",'Course_Master'!S351)</x:f>
        <x:v>9</x:v>
      </x:c>
      <x:c r="M351" s="28" t="n">
        <x:f>IF('Course_Master'!T351="","",'Course_Master'!T351)</x:f>
        <x:v>27</x:v>
      </x:c>
      <x:c r="N351" s="28" t="n">
        <x:f>IF('Course_Master'!Q351="","",'Course_Master'!Q351)</x:f>
        <x:v>793</x:v>
      </x:c>
      <x:c r="O351" s="28" t="n">
        <x:f>IF('Course_Master'!R351="","",'Course_Master'!R351)</x:f>
        <x:v>725</x:v>
      </x:c>
      <x:c r="P351" s="28" t="str">
        <x:f>IF('Course_Master'!U351="","",'Course_Master'!U351)</x:f>
        <x:v>Par-3 course</x:v>
      </x:c>
      <x:c r="Q351" s="28" t="str">
        <x:f>IF('Course_Master'!AD351="","",'Course_Master'!AD351)</x:f>
        <x:v>Public — no playing requirement</x:v>
      </x:c>
      <x:c r="R351" s="28" t="str">
        <x:f>IF('Course_Master'!AC351="","",'Course_Master'!AC351)</x:f>
        <x:v>Open</x:v>
      </x:c>
      <x:c r="S351" s="28" t="str">
        <x:f>IF('Course_Master'!Y351="","",'Course_Master'!Y351)</x:f>
        <x:v>https://goesegolf.nl/</x:v>
      </x:c>
      <x:c r="T351" s="28" t="b">
        <x:f>IF('Course_Master'!Z351="","",'Course_Master'!Z351)</x:f>
        <x:v>1</x:v>
      </x:c>
      <x:c r="U351" s="28" t="b">
        <x:f>IF('Course_Master'!AA351="","",'Course_Master'!AA351)</x:f>
        <x:v>1</x:v>
      </x:c>
      <x:c r="V351" s="28" t="str">
        <x:f>IF('Course_Master'!AL351="","",'Course_Master'!AL351)</x:f>
        <x:v>Verified — national register and exact BAG address</x:v>
      </x:c>
    </x:row>
    <x:row r="352">
      <x:c r="A352" s="28" t="str">
        <x:f>IF('Course_Master'!B352="","",'Course_Master'!B352)</x:f>
        <x:v>NL-0351</x:v>
      </x:c>
      <x:c r="B352" s="28" t="str">
        <x:f>IF('Course_Master'!C352="","",'Course_Master'!C352)</x:f>
        <x:v>De Zeeuwsche — Main Course</x:v>
      </x:c>
      <x:c r="C352" s="28" t="str">
        <x:f>IF('Course_Master'!D352="","",'Course_Master'!D352)</x:f>
        <x:v>De Zeeuwsche</x:v>
      </x:c>
      <x:c r="D352" s="28" t="str">
        <x:f>IF('Course_Master'!E352="","",'Course_Master'!E352)</x:f>
        <x:v>Main Course</x:v>
      </x:c>
      <x:c r="E352" s="28" t="str">
        <x:f>IF('Course_Master'!F352="","",'Course_Master'!F352)</x:f>
        <x:v>Netherlands</x:v>
      </x:c>
      <x:c r="F352" s="28" t="str">
        <x:f>IF('Course_Master'!G352="","",'Course_Master'!G352)</x:f>
        <x:v>Zeeland</x:v>
      </x:c>
      <x:c r="G352" s="28" t="str">
        <x:f>IF('Course_Master'!H352="","",'Course_Master'!H352)</x:f>
        <x:v>Middelburg</x:v>
      </x:c>
      <x:c r="H352" s="28" t="str">
        <x:f>IF('Course_Master'!I352="","",'Course_Master'!I352)</x:f>
        <x:v>Middelburg</x:v>
      </x:c>
      <x:c r="I352" s="28" t="str">
        <x:f>IF('Course_Master'!K352="","",'Course_Master'!K352)</x:f>
        <x:v>4337 WH</x:v>
      </x:c>
      <x:c r="J352" s="34" t="n">
        <x:f>IF('Course_Master'!L352="","",'Course_Master'!L352)</x:f>
        <x:v>51.4794072</x:v>
      </x:c>
      <x:c r="K352" s="34" t="n">
        <x:f>IF('Course_Master'!M352="","",'Course_Master'!M352)</x:f>
        <x:v>3.63895438</x:v>
      </x:c>
      <x:c r="L352" s="28" t="n">
        <x:f>IF('Course_Master'!S352="","",'Course_Master'!S352)</x:f>
        <x:v>9</x:v>
      </x:c>
      <x:c r="M352" s="28" t="n">
        <x:f>IF('Course_Master'!T352="","",'Course_Master'!T352)</x:f>
        <x:v>35</x:v>
      </x:c>
      <x:c r="N352" s="28" t="n">
        <x:f>IF('Course_Master'!Q352="","",'Course_Master'!Q352)</x:f>
        <x:v>2924</x:v>
      </x:c>
      <x:c r="O352" s="28" t="n">
        <x:f>IF('Course_Master'!R352="","",'Course_Master'!R352)</x:f>
        <x:v>2674</x:v>
      </x:c>
      <x:c r="P352" s="28" t="str">
        <x:f>IF('Course_Master'!U352="","",'Course_Master'!U352)</x:f>
        <x:v>Full-length course</x:v>
      </x:c>
      <x:c r="Q352" s="28" t="str">
        <x:f>IF('Course_Master'!AD352="","",'Course_Master'!AD352)</x:f>
        <x:v>Public — handicap 54 or lower</x:v>
      </x:c>
      <x:c r="R352" s="28" t="str">
        <x:f>IF('Course_Master'!AC352="","",'Course_Master'!AC352)</x:f>
        <x:v>Open</x:v>
      </x:c>
      <x:c r="S352" s="28" t="str">
        <x:f>IF('Course_Master'!Y352="","",'Course_Master'!Y352)</x:f>
        <x:v>https://www.dezeeuwsche.nl/</x:v>
      </x:c>
      <x:c r="T352" s="28" t="b">
        <x:f>IF('Course_Master'!Z352="","",'Course_Master'!Z352)</x:f>
        <x:v>1</x:v>
      </x:c>
      <x:c r="U352" s="28" t="b">
        <x:f>IF('Course_Master'!AA352="","",'Course_Master'!AA352)</x:f>
        <x:v>1</x:v>
      </x:c>
      <x:c r="V352" s="28" t="str">
        <x:f>IF('Course_Master'!AL352="","",'Course_Master'!AL352)</x:f>
        <x:v>Verified — national register and exact BAG address</x:v>
      </x:c>
    </x:row>
    <x:row r="353">
      <x:c r="A353" s="28" t="str">
        <x:f>IF('Course_Master'!B353="","",'Course_Master'!B353)</x:f>
        <x:v>NL-0352</x:v>
      </x:c>
      <x:c r="B353" s="28" t="str">
        <x:f>IF('Course_Master'!C353="","",'Course_Master'!C353)</x:f>
        <x:v>De Zeeuwsche — Par-3 Course</x:v>
      </x:c>
      <x:c r="C353" s="28" t="str">
        <x:f>IF('Course_Master'!D353="","",'Course_Master'!D353)</x:f>
        <x:v>De Zeeuwsche</x:v>
      </x:c>
      <x:c r="D353" s="28" t="str">
        <x:f>IF('Course_Master'!E353="","",'Course_Master'!E353)</x:f>
        <x:v>Par-3 Course</x:v>
      </x:c>
      <x:c r="E353" s="28" t="str">
        <x:f>IF('Course_Master'!F353="","",'Course_Master'!F353)</x:f>
        <x:v>Netherlands</x:v>
      </x:c>
      <x:c r="F353" s="28" t="str">
        <x:f>IF('Course_Master'!G353="","",'Course_Master'!G353)</x:f>
        <x:v>Zeeland</x:v>
      </x:c>
      <x:c r="G353" s="28" t="str">
        <x:f>IF('Course_Master'!H353="","",'Course_Master'!H353)</x:f>
        <x:v>Middelburg</x:v>
      </x:c>
      <x:c r="H353" s="28" t="str">
        <x:f>IF('Course_Master'!I353="","",'Course_Master'!I353)</x:f>
        <x:v>Middelburg</x:v>
      </x:c>
      <x:c r="I353" s="28" t="str">
        <x:f>IF('Course_Master'!K353="","",'Course_Master'!K353)</x:f>
        <x:v>4337 WH</x:v>
      </x:c>
      <x:c r="J353" s="34" t="n">
        <x:f>IF('Course_Master'!L353="","",'Course_Master'!L353)</x:f>
        <x:v>51.4794072</x:v>
      </x:c>
      <x:c r="K353" s="34" t="n">
        <x:f>IF('Course_Master'!M353="","",'Course_Master'!M353)</x:f>
        <x:v>3.63895438</x:v>
      </x:c>
      <x:c r="L353" s="28" t="n">
        <x:f>IF('Course_Master'!S353="","",'Course_Master'!S353)</x:f>
        <x:v>9</x:v>
      </x:c>
      <x:c r="M353" s="28" t="n">
        <x:f>IF('Course_Master'!T353="","",'Course_Master'!T353)</x:f>
        <x:v>27</x:v>
      </x:c>
      <x:c r="N353" s="28" t="n">
        <x:f>IF('Course_Master'!Q353="","",'Course_Master'!Q353)</x:f>
        <x:v>1007</x:v>
      </x:c>
      <x:c r="O353" s="28" t="n">
        <x:f>IF('Course_Master'!R353="","",'Course_Master'!R353)</x:f>
        <x:v>921</x:v>
      </x:c>
      <x:c r="P353" s="28" t="str">
        <x:f>IF('Course_Master'!U353="","",'Course_Master'!U353)</x:f>
        <x:v>Par-3 course</x:v>
      </x:c>
      <x:c r="Q353" s="28" t="str">
        <x:f>IF('Course_Master'!AD353="","",'Course_Master'!AD353)</x:f>
        <x:v>Public — no playing requirement</x:v>
      </x:c>
      <x:c r="R353" s="28" t="str">
        <x:f>IF('Course_Master'!AC353="","",'Course_Master'!AC353)</x:f>
        <x:v>Open</x:v>
      </x:c>
      <x:c r="S353" s="28" t="str">
        <x:f>IF('Course_Master'!Y353="","",'Course_Master'!Y353)</x:f>
        <x:v>https://www.dezeeuwsche.nl/</x:v>
      </x:c>
      <x:c r="T353" s="28" t="b">
        <x:f>IF('Course_Master'!Z353="","",'Course_Master'!Z353)</x:f>
        <x:v>1</x:v>
      </x:c>
      <x:c r="U353" s="28" t="b">
        <x:f>IF('Course_Master'!AA353="","",'Course_Master'!AA353)</x:f>
        <x:v>1</x:v>
      </x:c>
      <x:c r="V353" s="28" t="str">
        <x:f>IF('Course_Master'!AL353="","",'Course_Master'!AL353)</x:f>
        <x:v>Verified — national register and exact BAG address</x:v>
      </x:c>
    </x:row>
    <x:row r="354">
      <x:c r="A354" s="28" t="str">
        <x:f>IF('Course_Master'!B354="","",'Course_Master'!B354)</x:f>
        <x:v>NL-0353</x:v>
      </x:c>
      <x:c r="B354" s="28" t="str">
        <x:f>IF('Course_Master'!C354="","",'Course_Master'!C354)</x:f>
        <x:v>Domburgsche Golfclub</x:v>
      </x:c>
      <x:c r="C354" s="28" t="str">
        <x:f>IF('Course_Master'!D354="","",'Course_Master'!D354)</x:f>
        <x:v>Domburgsche Golfclub</x:v>
      </x:c>
      <x:c r="D354" s="28" t="str">
        <x:f>IF('Course_Master'!E354="","",'Course_Master'!E354)</x:f>
        <x:v>Course</x:v>
      </x:c>
      <x:c r="E354" s="28" t="str">
        <x:f>IF('Course_Master'!F354="","",'Course_Master'!F354)</x:f>
        <x:v>Netherlands</x:v>
      </x:c>
      <x:c r="F354" s="28" t="str">
        <x:f>IF('Course_Master'!G354="","",'Course_Master'!G354)</x:f>
        <x:v>Zeeland</x:v>
      </x:c>
      <x:c r="G354" s="28" t="str">
        <x:f>IF('Course_Master'!H354="","",'Course_Master'!H354)</x:f>
        <x:v>Veere</x:v>
      </x:c>
      <x:c r="H354" s="28" t="str">
        <x:f>IF('Course_Master'!I354="","",'Course_Master'!I354)</x:f>
        <x:v>Domburg</x:v>
      </x:c>
      <x:c r="I354" s="28" t="str">
        <x:f>IF('Course_Master'!K354="","",'Course_Master'!K354)</x:f>
        <x:v>4357 BP</x:v>
      </x:c>
      <x:c r="J354" s="34" t="n">
        <x:f>IF('Course_Master'!L354="","",'Course_Master'!L354)</x:f>
        <x:v>51.56064014</x:v>
      </x:c>
      <x:c r="K354" s="34" t="n">
        <x:f>IF('Course_Master'!M354="","",'Course_Master'!M354)</x:f>
        <x:v>3.48929687</x:v>
      </x:c>
      <x:c r="L354" s="28" t="n">
        <x:f>IF('Course_Master'!S354="","",'Course_Master'!S354)</x:f>
        <x:v>9</x:v>
      </x:c>
      <x:c r="M354" s="28" t="n">
        <x:f>IF('Course_Master'!T354="","",'Course_Master'!T354)</x:f>
        <x:v>35</x:v>
      </x:c>
      <x:c r="N354" s="28" t="n">
        <x:f>IF('Course_Master'!Q354="","",'Course_Master'!Q354)</x:f>
        <x:v>2805</x:v>
      </x:c>
      <x:c r="O354" s="28" t="n">
        <x:f>IF('Course_Master'!R354="","",'Course_Master'!R354)</x:f>
        <x:v>2565</x:v>
      </x:c>
      <x:c r="P354" s="28" t="str">
        <x:f>IF('Course_Master'!U354="","",'Course_Master'!U354)</x:f>
        <x:v>Full-length course</x:v>
      </x:c>
      <x:c r="Q354" s="28" t="str">
        <x:f>IF('Course_Master'!AD354="","",'Course_Master'!AD354)</x:f>
        <x:v>Public — handicap 36 or lower</x:v>
      </x:c>
      <x:c r="R354" s="28" t="str">
        <x:f>IF('Course_Master'!AC354="","",'Course_Master'!AC354)</x:f>
        <x:v>Open</x:v>
      </x:c>
      <x:c r="S354" s="28" t="str">
        <x:f>IF('Course_Master'!Y354="","",'Course_Master'!Y354)</x:f>
        <x:v>https://www.domburgschegolfclub.nl/</x:v>
      </x:c>
      <x:c r="T354" s="28" t="b">
        <x:f>IF('Course_Master'!Z354="","",'Course_Master'!Z354)</x:f>
        <x:v>1</x:v>
      </x:c>
      <x:c r="U354" s="28" t="b">
        <x:f>IF('Course_Master'!AA354="","",'Course_Master'!AA354)</x:f>
        <x:v>1</x:v>
      </x:c>
      <x:c r="V354" s="28" t="str">
        <x:f>IF('Course_Master'!AL354="","",'Course_Master'!AL354)</x:f>
        <x:v>Verified — national register and exact BAG address</x:v>
      </x:c>
    </x:row>
    <x:row r="355">
      <x:c r="A355" s="28" t="str">
        <x:f>IF('Course_Master'!B355="","",'Course_Master'!B355)</x:f>
        <x:v>NL-0354</x:v>
      </x:c>
      <x:c r="B355" s="28" t="str">
        <x:f>IF('Course_Master'!C355="","",'Course_Master'!C355)</x:f>
        <x:v>Golfbaan Molenberg — Shortgolf / Pitch &amp; Putt Course</x:v>
      </x:c>
      <x:c r="C355" s="28" t="str">
        <x:f>IF('Course_Master'!D355="","",'Course_Master'!D355)</x:f>
        <x:v>Golfbaan Molenberg</x:v>
      </x:c>
      <x:c r="D355" s="28" t="str">
        <x:f>IF('Course_Master'!E355="","",'Course_Master'!E355)</x:f>
        <x:v>Shortgolf / Pitch &amp; Putt Course</x:v>
      </x:c>
      <x:c r="E355" s="28" t="str">
        <x:f>IF('Course_Master'!F355="","",'Course_Master'!F355)</x:f>
        <x:v>Netherlands</x:v>
      </x:c>
      <x:c r="F355" s="28" t="str">
        <x:f>IF('Course_Master'!G355="","",'Course_Master'!G355)</x:f>
        <x:v>Zeeland</x:v>
      </x:c>
      <x:c r="G355" s="28" t="str">
        <x:f>IF('Course_Master'!H355="","",'Course_Master'!H355)</x:f>
        <x:v>Schouwen-Duiveland</x:v>
      </x:c>
      <x:c r="H355" s="28" t="str">
        <x:f>IF('Course_Master'!I355="","",'Course_Master'!I355)</x:f>
        <x:v>Burgh-Haamstede</x:v>
      </x:c>
      <x:c r="I355" s="28" t="str">
        <x:f>IF('Course_Master'!K355="","",'Course_Master'!K355)</x:f>
        <x:v>4328 PB</x:v>
      </x:c>
      <x:c r="J355" s="34" t="n">
        <x:f>IF('Course_Master'!L355="","",'Course_Master'!L355)</x:f>
        <x:v>51.68408311</x:v>
      </x:c>
      <x:c r="K355" s="34" t="n">
        <x:f>IF('Course_Master'!M355="","",'Course_Master'!M355)</x:f>
        <x:v>3.72469462</x:v>
      </x:c>
      <x:c r="L355" s="28" t="n">
        <x:f>IF('Course_Master'!S355="","",'Course_Master'!S355)</x:f>
        <x:v>18</x:v>
      </x:c>
      <x:c r="M355" s="28" t="n">
        <x:f>IF('Course_Master'!T355="","",'Course_Master'!T355)</x:f>
        <x:v>54</x:v>
      </x:c>
      <x:c r="N355" s="28" t="n">
        <x:f>IF('Course_Master'!Q355="","",'Course_Master'!Q355)</x:f>
        <x:v>857</x:v>
      </x:c>
      <x:c r="O355" s="28" t="n">
        <x:f>IF('Course_Master'!R355="","",'Course_Master'!R355)</x:f>
        <x:v>784</x:v>
      </x:c>
      <x:c r="P355" s="28" t="str">
        <x:f>IF('Course_Master'!U355="","",'Course_Master'!U355)</x:f>
        <x:v>Shortgolf / Pitch &amp; Putt</x:v>
      </x:c>
      <x:c r="Q355" s="28" t="str">
        <x:f>IF('Course_Master'!AD355="","",'Course_Master'!AD355)</x:f>
        <x:v>Public — no playing requirement</x:v>
      </x:c>
      <x:c r="R355" s="28" t="str">
        <x:f>IF('Course_Master'!AC355="","",'Course_Master'!AC355)</x:f>
        <x:v>Open</x:v>
      </x:c>
      <x:c r="S355" s="28" t="str">
        <x:f>IF('Course_Master'!Y355="","",'Course_Master'!Y355)</x:f>
        <x:v>https://www.golfclubmolenberg.nl/</x:v>
      </x:c>
      <x:c r="T355" s="28" t="b">
        <x:f>IF('Course_Master'!Z355="","",'Course_Master'!Z355)</x:f>
        <x:v>1</x:v>
      </x:c>
      <x:c r="U355" s="28" t="b">
        <x:f>IF('Course_Master'!AA355="","",'Course_Master'!AA355)</x:f>
        <x:v>1</x:v>
      </x:c>
      <x:c r="V355" s="28" t="str">
        <x:f>IF('Course_Master'!AL355="","",'Course_Master'!AL355)</x:f>
        <x:v>Verified — national register and exact BAG address</x:v>
      </x:c>
    </x:row>
    <x:row r="356">
      <x:c r="A356" s="28" t="str">
        <x:f>IF('Course_Master'!B356="","",'Course_Master'!B356)</x:f>
        <x:v>NL-0355</x:v>
      </x:c>
      <x:c r="B356" s="28" t="str">
        <x:f>IF('Course_Master'!C356="","",'Course_Master'!C356)</x:f>
        <x:v>Golfclub Grevelingenhout — Main Course</x:v>
      </x:c>
      <x:c r="C356" s="28" t="str">
        <x:f>IF('Course_Master'!D356="","",'Course_Master'!D356)</x:f>
        <x:v>Golfclub Grevelingenhout</x:v>
      </x:c>
      <x:c r="D356" s="28" t="str">
        <x:f>IF('Course_Master'!E356="","",'Course_Master'!E356)</x:f>
        <x:v>Main Course</x:v>
      </x:c>
      <x:c r="E356" s="28" t="str">
        <x:f>IF('Course_Master'!F356="","",'Course_Master'!F356)</x:f>
        <x:v>Netherlands</x:v>
      </x:c>
      <x:c r="F356" s="28" t="str">
        <x:f>IF('Course_Master'!G356="","",'Course_Master'!G356)</x:f>
        <x:v>Zeeland</x:v>
      </x:c>
      <x:c r="G356" s="28" t="str">
        <x:f>IF('Course_Master'!H356="","",'Course_Master'!H356)</x:f>
        <x:v>Schouwen-Duiveland</x:v>
      </x:c>
      <x:c r="H356" s="28" t="str">
        <x:f>IF('Course_Master'!I356="","",'Course_Master'!I356)</x:f>
        <x:v>Bruinisse</x:v>
      </x:c>
      <x:c r="I356" s="28" t="str">
        <x:f>IF('Course_Master'!K356="","",'Course_Master'!K356)</x:f>
        <x:v>4311 NA</x:v>
      </x:c>
      <x:c r="J356" s="34" t="n">
        <x:f>IF('Course_Master'!L356="","",'Course_Master'!L356)</x:f>
        <x:v>51.66984891</x:v>
      </x:c>
      <x:c r="K356" s="34" t="n">
        <x:f>IF('Course_Master'!M356="","",'Course_Master'!M356)</x:f>
        <x:v>4.0619094</x:v>
      </x:c>
      <x:c r="L356" s="28" t="n">
        <x:f>IF('Course_Master'!S356="","",'Course_Master'!S356)</x:f>
        <x:v>18</x:v>
      </x:c>
      <x:c r="M356" s="28" t="n">
        <x:f>IF('Course_Master'!T356="","",'Course_Master'!T356)</x:f>
        <x:v>72</x:v>
      </x:c>
      <x:c r="N356" s="28" t="n">
        <x:f>IF('Course_Master'!Q356="","",'Course_Master'!Q356)</x:f>
        <x:v>6727</x:v>
      </x:c>
      <x:c r="O356" s="28" t="n">
        <x:f>IF('Course_Master'!R356="","",'Course_Master'!R356)</x:f>
        <x:v>6151</x:v>
      </x:c>
      <x:c r="P356" s="28" t="str">
        <x:f>IF('Course_Master'!U356="","",'Course_Master'!U356)</x:f>
        <x:v>Full-length course</x:v>
      </x:c>
      <x:c r="Q356" s="28" t="str">
        <x:f>IF('Course_Master'!AD356="","",'Course_Master'!AD356)</x:f>
        <x:v>Public — handicap 54 or lower</x:v>
      </x:c>
      <x:c r="R356" s="28" t="str">
        <x:f>IF('Course_Master'!AC356="","",'Course_Master'!AC356)</x:f>
        <x:v>Open</x:v>
      </x:c>
      <x:c r="S356" s="28" t="str">
        <x:f>IF('Course_Master'!Y356="","",'Course_Master'!Y356)</x:f>
        <x:v>https://www.grevelingenhout.nl/</x:v>
      </x:c>
      <x:c r="T356" s="28" t="b">
        <x:f>IF('Course_Master'!Z356="","",'Course_Master'!Z356)</x:f>
        <x:v>1</x:v>
      </x:c>
      <x:c r="U356" s="28" t="b">
        <x:f>IF('Course_Master'!AA356="","",'Course_Master'!AA356)</x:f>
        <x:v>1</x:v>
      </x:c>
      <x:c r="V356" s="28" t="str">
        <x:f>IF('Course_Master'!AL356="","",'Course_Master'!AL356)</x:f>
        <x:v>Verified — national register and exact BAG address</x:v>
      </x:c>
    </x:row>
    <x:row r="357">
      <x:c r="A357" s="28" t="str">
        <x:f>IF('Course_Master'!B357="","",'Course_Master'!B357)</x:f>
        <x:v>NL-0356</x:v>
      </x:c>
      <x:c r="B357" s="28" t="str">
        <x:f>IF('Course_Master'!C357="","",'Course_Master'!C357)</x:f>
        <x:v>Golfclub Grevelingenhout — Par-3 Course</x:v>
      </x:c>
      <x:c r="C357" s="28" t="str">
        <x:f>IF('Course_Master'!D357="","",'Course_Master'!D357)</x:f>
        <x:v>Golfclub Grevelingenhout</x:v>
      </x:c>
      <x:c r="D357" s="28" t="str">
        <x:f>IF('Course_Master'!E357="","",'Course_Master'!E357)</x:f>
        <x:v>Par-3 Course</x:v>
      </x:c>
      <x:c r="E357" s="28" t="str">
        <x:f>IF('Course_Master'!F357="","",'Course_Master'!F357)</x:f>
        <x:v>Netherlands</x:v>
      </x:c>
      <x:c r="F357" s="28" t="str">
        <x:f>IF('Course_Master'!G357="","",'Course_Master'!G357)</x:f>
        <x:v>Zeeland</x:v>
      </x:c>
      <x:c r="G357" s="28" t="str">
        <x:f>IF('Course_Master'!H357="","",'Course_Master'!H357)</x:f>
        <x:v>Schouwen-Duiveland</x:v>
      </x:c>
      <x:c r="H357" s="28" t="str">
        <x:f>IF('Course_Master'!I357="","",'Course_Master'!I357)</x:f>
        <x:v>Bruinisse</x:v>
      </x:c>
      <x:c r="I357" s="28" t="str">
        <x:f>IF('Course_Master'!K357="","",'Course_Master'!K357)</x:f>
        <x:v>4311 NA</x:v>
      </x:c>
      <x:c r="J357" s="34" t="n">
        <x:f>IF('Course_Master'!L357="","",'Course_Master'!L357)</x:f>
        <x:v>51.66984891</x:v>
      </x:c>
      <x:c r="K357" s="34" t="n">
        <x:f>IF('Course_Master'!M357="","",'Course_Master'!M357)</x:f>
        <x:v>4.0619094</x:v>
      </x:c>
      <x:c r="L357" s="28" t="n">
        <x:f>IF('Course_Master'!S357="","",'Course_Master'!S357)</x:f>
        <x:v>9</x:v>
      </x:c>
      <x:c r="M357" s="28" t="n">
        <x:f>IF('Course_Master'!T357="","",'Course_Master'!T357)</x:f>
        <x:v>27</x:v>
      </x:c>
      <x:c r="N357" s="28" t="n">
        <x:f>IF('Course_Master'!Q357="","",'Course_Master'!Q357)</x:f>
        <x:v>878</x:v>
      </x:c>
      <x:c r="O357" s="28" t="n">
        <x:f>IF('Course_Master'!R357="","",'Course_Master'!R357)</x:f>
        <x:v>803</x:v>
      </x:c>
      <x:c r="P357" s="28" t="str">
        <x:f>IF('Course_Master'!U357="","",'Course_Master'!U357)</x:f>
        <x:v>Par-3 course</x:v>
      </x:c>
      <x:c r="Q357" s="28" t="str">
        <x:f>IF('Course_Master'!AD357="","",'Course_Master'!AD357)</x:f>
        <x:v>Public — NGF course permission</x:v>
      </x:c>
      <x:c r="R357" s="28" t="str">
        <x:f>IF('Course_Master'!AC357="","",'Course_Master'!AC357)</x:f>
        <x:v>Open</x:v>
      </x:c>
      <x:c r="S357" s="28" t="str">
        <x:f>IF('Course_Master'!Y357="","",'Course_Master'!Y357)</x:f>
        <x:v>https://www.grevelingenhout.nl/</x:v>
      </x:c>
      <x:c r="T357" s="28" t="b">
        <x:f>IF('Course_Master'!Z357="","",'Course_Master'!Z357)</x:f>
        <x:v>1</x:v>
      </x:c>
      <x:c r="U357" s="28" t="b">
        <x:f>IF('Course_Master'!AA357="","",'Course_Master'!AA357)</x:f>
        <x:v>1</x:v>
      </x:c>
      <x:c r="V357" s="28" t="str">
        <x:f>IF('Course_Master'!AL357="","",'Course_Master'!AL357)</x:f>
        <x:v>Verified — national register and exact BAG address</x:v>
      </x:c>
    </x:row>
    <x:row r="358">
      <x:c r="A358" s="28" t="str">
        <x:f>IF('Course_Master'!B358="","",'Course_Master'!B358)</x:f>
        <x:v>NL-0357</x:v>
      </x:c>
      <x:c r="B358" s="28" t="str">
        <x:f>IF('Course_Master'!C358="","",'Course_Master'!C358)</x:f>
        <x:v>Golfclub Oostburg/Golfbaan De Brugse Vaart — Main Course</x:v>
      </x:c>
      <x:c r="C358" s="28" t="str">
        <x:f>IF('Course_Master'!D358="","",'Course_Master'!D358)</x:f>
        <x:v>Golfclub Oostburg/Golfbaan De Brugse Vaart</x:v>
      </x:c>
      <x:c r="D358" s="28" t="str">
        <x:f>IF('Course_Master'!E358="","",'Course_Master'!E358)</x:f>
        <x:v>Main Course</x:v>
      </x:c>
      <x:c r="E358" s="28" t="str">
        <x:f>IF('Course_Master'!F358="","",'Course_Master'!F358)</x:f>
        <x:v>Netherlands</x:v>
      </x:c>
      <x:c r="F358" s="28" t="str">
        <x:f>IF('Course_Master'!G358="","",'Course_Master'!G358)</x:f>
        <x:v>Zeeland</x:v>
      </x:c>
      <x:c r="G358" s="28" t="str">
        <x:f>IF('Course_Master'!H358="","",'Course_Master'!H358)</x:f>
        <x:v>Sluis</x:v>
      </x:c>
      <x:c r="H358" s="28" t="str">
        <x:f>IF('Course_Master'!I358="","",'Course_Master'!I358)</x:f>
        <x:v>Oostburg</x:v>
      </x:c>
      <x:c r="I358" s="28" t="str">
        <x:f>IF('Course_Master'!K358="","",'Course_Master'!K358)</x:f>
        <x:v>4501 NE</x:v>
      </x:c>
      <x:c r="J358" s="34" t="n">
        <x:f>IF('Course_Master'!L358="","",'Course_Master'!L358)</x:f>
        <x:v>51.3242419</x:v>
      </x:c>
      <x:c r="K358" s="34" t="n">
        <x:f>IF('Course_Master'!M358="","",'Course_Master'!M358)</x:f>
        <x:v>3.46319615</x:v>
      </x:c>
      <x:c r="L358" s="28" t="n">
        <x:f>IF('Course_Master'!S358="","",'Course_Master'!S358)</x:f>
        <x:v>18</x:v>
      </x:c>
      <x:c r="M358" s="28" t="n">
        <x:f>IF('Course_Master'!T358="","",'Course_Master'!T358)</x:f>
        <x:v>73</x:v>
      </x:c>
      <x:c r="N358" s="28" t="n">
        <x:f>IF('Course_Master'!Q358="","",'Course_Master'!Q358)</x:f>
        <x:v>6939</x:v>
      </x:c>
      <x:c r="O358" s="28" t="n">
        <x:f>IF('Course_Master'!R358="","",'Course_Master'!R358)</x:f>
        <x:v>6345</x:v>
      </x:c>
      <x:c r="P358" s="28" t="str">
        <x:f>IF('Course_Master'!U358="","",'Course_Master'!U358)</x:f>
        <x:v>Full-length course</x:v>
      </x:c>
      <x:c r="Q358" s="28" t="str">
        <x:f>IF('Course_Master'!AD358="","",'Course_Master'!AD358)</x:f>
        <x:v>Public — handicap 54 or lower</x:v>
      </x:c>
      <x:c r="R358" s="28" t="str">
        <x:f>IF('Course_Master'!AC358="","",'Course_Master'!AC358)</x:f>
        <x:v>Open</x:v>
      </x:c>
      <x:c r="S358" s="28" t="str">
        <x:f>IF('Course_Master'!Y358="","",'Course_Master'!Y358)</x:f>
        <x:v>https://www.golfoostburg.com/</x:v>
      </x:c>
      <x:c r="T358" s="28" t="b">
        <x:f>IF('Course_Master'!Z358="","",'Course_Master'!Z358)</x:f>
        <x:v>1</x:v>
      </x:c>
      <x:c r="U358" s="28" t="b">
        <x:f>IF('Course_Master'!AA358="","",'Course_Master'!AA358)</x:f>
        <x:v>1</x:v>
      </x:c>
      <x:c r="V358" s="28" t="str">
        <x:f>IF('Course_Master'!AL358="","",'Course_Master'!AL358)</x:f>
        <x:v>Verified — national register and exact BAG address</x:v>
      </x:c>
    </x:row>
    <x:row r="359">
      <x:c r="A359" s="28" t="str">
        <x:f>IF('Course_Master'!B359="","",'Course_Master'!B359)</x:f>
        <x:v>NL-0358</x:v>
      </x:c>
      <x:c r="B359" s="28" t="str">
        <x:f>IF('Course_Master'!C359="","",'Course_Master'!C359)</x:f>
        <x:v>Golfpark Reymerswael — Main Course</x:v>
      </x:c>
      <x:c r="C359" s="28" t="str">
        <x:f>IF('Course_Master'!D359="","",'Course_Master'!D359)</x:f>
        <x:v>Golfpark Reymerswael</x:v>
      </x:c>
      <x:c r="D359" s="28" t="str">
        <x:f>IF('Course_Master'!E359="","",'Course_Master'!E359)</x:f>
        <x:v>Main Course</x:v>
      </x:c>
      <x:c r="E359" s="28" t="str">
        <x:f>IF('Course_Master'!F359="","",'Course_Master'!F359)</x:f>
        <x:v>Netherlands</x:v>
      </x:c>
      <x:c r="F359" s="28" t="str">
        <x:f>IF('Course_Master'!G359="","",'Course_Master'!G359)</x:f>
        <x:v>Zeeland</x:v>
      </x:c>
      <x:c r="G359" s="28" t="str">
        <x:f>IF('Course_Master'!H359="","",'Course_Master'!H359)</x:f>
        <x:v>Reimerswaal</x:v>
      </x:c>
      <x:c r="H359" s="28" t="str">
        <x:f>IF('Course_Master'!I359="","",'Course_Master'!I359)</x:f>
        <x:v>Rilland</x:v>
      </x:c>
      <x:c r="I359" s="28" t="str">
        <x:f>IF('Course_Master'!K359="","",'Course_Master'!K359)</x:f>
        <x:v>4411 ST</x:v>
      </x:c>
      <x:c r="J359" s="34" t="n">
        <x:f>IF('Course_Master'!L359="","",'Course_Master'!L359)</x:f>
        <x:v>51.3897663</x:v>
      </x:c>
      <x:c r="K359" s="34" t="n">
        <x:f>IF('Course_Master'!M359="","",'Course_Master'!M359)</x:f>
        <x:v>4.23888512</x:v>
      </x:c>
      <x:c r="L359" s="28" t="n">
        <x:f>IF('Course_Master'!S359="","",'Course_Master'!S359)</x:f>
        <x:v>18</x:v>
      </x:c>
      <x:c r="M359" s="28" t="n">
        <x:f>IF('Course_Master'!T359="","",'Course_Master'!T359)</x:f>
        <x:v>71</x:v>
      </x:c>
      <x:c r="N359" s="28" t="n">
        <x:f>IF('Course_Master'!Q359="","",'Course_Master'!Q359)</x:f>
        <x:v>6500</x:v>
      </x:c>
      <x:c r="O359" s="28" t="n">
        <x:f>IF('Course_Master'!R359="","",'Course_Master'!R359)</x:f>
        <x:v>5944</x:v>
      </x:c>
      <x:c r="P359" s="28" t="str">
        <x:f>IF('Course_Master'!U359="","",'Course_Master'!U359)</x:f>
        <x:v>Full-length course</x:v>
      </x:c>
      <x:c r="Q359" s="28" t="str">
        <x:f>IF('Course_Master'!AD359="","",'Course_Master'!AD359)</x:f>
        <x:v>Public — handicap 54 or lower</x:v>
      </x:c>
      <x:c r="R359" s="28" t="str">
        <x:f>IF('Course_Master'!AC359="","",'Course_Master'!AC359)</x:f>
        <x:v>Open</x:v>
      </x:c>
      <x:c r="S359" s="28" t="str">
        <x:f>IF('Course_Master'!Y359="","",'Course_Master'!Y359)</x:f>
        <x:v>https://www.hollandschegolfclub.nl/golfpark/reymerswael/</x:v>
      </x:c>
      <x:c r="T359" s="28" t="b">
        <x:f>IF('Course_Master'!Z359="","",'Course_Master'!Z359)</x:f>
        <x:v>1</x:v>
      </x:c>
      <x:c r="U359" s="28" t="b">
        <x:f>IF('Course_Master'!AA359="","",'Course_Master'!AA359)</x:f>
        <x:v>1</x:v>
      </x:c>
      <x:c r="V359" s="28" t="str">
        <x:f>IF('Course_Master'!AL359="","",'Course_Master'!AL359)</x:f>
        <x:v>Verified — national register and exact BAG address</x:v>
      </x:c>
    </x:row>
    <x:row r="360">
      <x:c r="A360" s="28" t="str">
        <x:f>IF('Course_Master'!B360="","",'Course_Master'!B360)</x:f>
        <x:v>NL-0359</x:v>
      </x:c>
      <x:c r="B360" s="28" t="str">
        <x:f>IF('Course_Master'!C360="","",'Course_Master'!C360)</x:f>
        <x:v>Golfvereniging De Woeste Kop — Grote Kreek</x:v>
      </x:c>
      <x:c r="C360" s="28" t="str">
        <x:f>IF('Course_Master'!D360="","",'Course_Master'!D360)</x:f>
        <x:v>Golfvereniging De Woeste Kop</x:v>
      </x:c>
      <x:c r="D360" s="28" t="str">
        <x:f>IF('Course_Master'!E360="","",'Course_Master'!E360)</x:f>
        <x:v>Grote Kreek</x:v>
      </x:c>
      <x:c r="E360" s="28" t="str">
        <x:f>IF('Course_Master'!F360="","",'Course_Master'!F360)</x:f>
        <x:v>Netherlands</x:v>
      </x:c>
      <x:c r="F360" s="28" t="str">
        <x:f>IF('Course_Master'!G360="","",'Course_Master'!G360)</x:f>
        <x:v>Zeeland</x:v>
      </x:c>
      <x:c r="G360" s="28" t="str">
        <x:f>IF('Course_Master'!H360="","",'Course_Master'!H360)</x:f>
        <x:v>Terneuzen</x:v>
      </x:c>
      <x:c r="H360" s="28" t="str">
        <x:f>IF('Course_Master'!I360="","",'Course_Master'!I360)</x:f>
        <x:v>Axel</x:v>
      </x:c>
      <x:c r="I360" s="28" t="str">
        <x:f>IF('Course_Master'!K360="","",'Course_Master'!K360)</x:f>
        <x:v>4571 NB</x:v>
      </x:c>
      <x:c r="J360" s="34" t="n">
        <x:f>IF('Course_Master'!L360="","",'Course_Master'!L360)</x:f>
        <x:v>51.25660807</x:v>
      </x:c>
      <x:c r="K360" s="34" t="n">
        <x:f>IF('Course_Master'!M360="","",'Course_Master'!M360)</x:f>
        <x:v>3.90051042</x:v>
      </x:c>
      <x:c r="L360" s="28" t="n">
        <x:f>IF('Course_Master'!S360="","",'Course_Master'!S360)</x:f>
        <x:v>9</x:v>
      </x:c>
      <x:c r="M360" s="28" t="n">
        <x:f>IF('Course_Master'!T360="","",'Course_Master'!T360)</x:f>
        <x:v>37</x:v>
      </x:c>
      <x:c r="N360" s="28" t="n">
        <x:f>IF('Course_Master'!Q360="","",'Course_Master'!Q360)</x:f>
        <x:v>3433</x:v>
      </x:c>
      <x:c r="O360" s="28" t="n">
        <x:f>IF('Course_Master'!R360="","",'Course_Master'!R360)</x:f>
        <x:v>3139</x:v>
      </x:c>
      <x:c r="P360" s="28" t="str">
        <x:f>IF('Course_Master'!U360="","",'Course_Master'!U360)</x:f>
        <x:v>Full-length course</x:v>
      </x:c>
      <x:c r="Q360" s="28" t="str">
        <x:f>IF('Course_Master'!AD360="","",'Course_Master'!AD360)</x:f>
        <x:v>Public — handicap 36 or lower</x:v>
      </x:c>
      <x:c r="R360" s="28" t="str">
        <x:f>IF('Course_Master'!AC360="","",'Course_Master'!AC360)</x:f>
        <x:v>Open</x:v>
      </x:c>
      <x:c r="S360" s="28" t="str">
        <x:f>IF('Course_Master'!Y360="","",'Course_Master'!Y360)</x:f>
        <x:v>https://www.dewoestekop.nl/</x:v>
      </x:c>
      <x:c r="T360" s="28" t="b">
        <x:f>IF('Course_Master'!Z360="","",'Course_Master'!Z360)</x:f>
        <x:v>1</x:v>
      </x:c>
      <x:c r="U360" s="28" t="b">
        <x:f>IF('Course_Master'!AA360="","",'Course_Master'!AA360)</x:f>
        <x:v>1</x:v>
      </x:c>
      <x:c r="V360" s="28" t="str">
        <x:f>IF('Course_Master'!AL360="","",'Course_Master'!AL360)</x:f>
        <x:v>Verified — national register and exact BAG address</x:v>
      </x:c>
    </x:row>
    <x:row r="361">
      <x:c r="A361" s="28" t="str">
        <x:f>IF('Course_Master'!B361="","",'Course_Master'!B361)</x:f>
        <x:v>NL-0360</x:v>
      </x:c>
      <x:c r="B361" s="28" t="str">
        <x:f>IF('Course_Master'!C361="","",'Course_Master'!C361)</x:f>
        <x:v>Golfvereniging De Woeste Kop — Watertoren</x:v>
      </x:c>
      <x:c r="C361" s="28" t="str">
        <x:f>IF('Course_Master'!D361="","",'Course_Master'!D361)</x:f>
        <x:v>Golfvereniging De Woeste Kop</x:v>
      </x:c>
      <x:c r="D361" s="28" t="str">
        <x:f>IF('Course_Master'!E361="","",'Course_Master'!E361)</x:f>
        <x:v>Watertoren</x:v>
      </x:c>
      <x:c r="E361" s="28" t="str">
        <x:f>IF('Course_Master'!F361="","",'Course_Master'!F361)</x:f>
        <x:v>Netherlands</x:v>
      </x:c>
      <x:c r="F361" s="28" t="str">
        <x:f>IF('Course_Master'!G361="","",'Course_Master'!G361)</x:f>
        <x:v>Zeeland</x:v>
      </x:c>
      <x:c r="G361" s="28" t="str">
        <x:f>IF('Course_Master'!H361="","",'Course_Master'!H361)</x:f>
        <x:v>Terneuzen</x:v>
      </x:c>
      <x:c r="H361" s="28" t="str">
        <x:f>IF('Course_Master'!I361="","",'Course_Master'!I361)</x:f>
        <x:v>Axel</x:v>
      </x:c>
      <x:c r="I361" s="28" t="str">
        <x:f>IF('Course_Master'!K361="","",'Course_Master'!K361)</x:f>
        <x:v>4571 NB</x:v>
      </x:c>
      <x:c r="J361" s="34" t="n">
        <x:f>IF('Course_Master'!L361="","",'Course_Master'!L361)</x:f>
        <x:v>51.25660807</x:v>
      </x:c>
      <x:c r="K361" s="34" t="n">
        <x:f>IF('Course_Master'!M361="","",'Course_Master'!M361)</x:f>
        <x:v>3.90051042</x:v>
      </x:c>
      <x:c r="L361" s="28" t="n">
        <x:f>IF('Course_Master'!S361="","",'Course_Master'!S361)</x:f>
        <x:v>9</x:v>
      </x:c>
      <x:c r="M361" s="28" t="n">
        <x:f>IF('Course_Master'!T361="","",'Course_Master'!T361)</x:f>
        <x:v>35</x:v>
      </x:c>
      <x:c r="N361" s="28" t="n">
        <x:f>IF('Course_Master'!Q361="","",'Course_Master'!Q361)</x:f>
        <x:v>3206</x:v>
      </x:c>
      <x:c r="O361" s="28" t="n">
        <x:f>IF('Course_Master'!R361="","",'Course_Master'!R361)</x:f>
        <x:v>2932</x:v>
      </x:c>
      <x:c r="P361" s="28" t="str">
        <x:f>IF('Course_Master'!U361="","",'Course_Master'!U361)</x:f>
        <x:v>Full-length course</x:v>
      </x:c>
      <x:c r="Q361" s="28" t="str">
        <x:f>IF('Course_Master'!AD361="","",'Course_Master'!AD361)</x:f>
        <x:v>Public — handicap 36 or lower</x:v>
      </x:c>
      <x:c r="R361" s="28" t="str">
        <x:f>IF('Course_Master'!AC361="","",'Course_Master'!AC361)</x:f>
        <x:v>Open</x:v>
      </x:c>
      <x:c r="S361" s="28" t="str">
        <x:f>IF('Course_Master'!Y361="","",'Course_Master'!Y361)</x:f>
        <x:v>https://www.dewoestekop.nl/</x:v>
      </x:c>
      <x:c r="T361" s="28" t="b">
        <x:f>IF('Course_Master'!Z361="","",'Course_Master'!Z361)</x:f>
        <x:v>1</x:v>
      </x:c>
      <x:c r="U361" s="28" t="b">
        <x:f>IF('Course_Master'!AA361="","",'Course_Master'!AA361)</x:f>
        <x:v>1</x:v>
      </x:c>
      <x:c r="V361" s="28" t="str">
        <x:f>IF('Course_Master'!AL361="","",'Course_Master'!AL361)</x:f>
        <x:v>Verified — national register and exact BAG address</x:v>
      </x:c>
    </x:row>
    <x:row r="362">
      <x:c r="A362" s="28" t="str">
        <x:f>IF('Course_Master'!B362="","",'Course_Master'!B362)</x:f>
        <x:v>NL-0361</x:v>
      </x:c>
      <x:c r="B362" s="28" t="str">
        <x:f>IF('Course_Master'!C362="","",'Course_Master'!C362)</x:f>
        <x:v>Crayestein Golf — Main Course</x:v>
      </x:c>
      <x:c r="C362" s="28" t="str">
        <x:f>IF('Course_Master'!D362="","",'Course_Master'!D362)</x:f>
        <x:v>Crayestein Golf</x:v>
      </x:c>
      <x:c r="D362" s="28" t="str">
        <x:f>IF('Course_Master'!E362="","",'Course_Master'!E362)</x:f>
        <x:v>Main Course</x:v>
      </x:c>
      <x:c r="E362" s="28" t="str">
        <x:f>IF('Course_Master'!F362="","",'Course_Master'!F362)</x:f>
        <x:v>Netherlands</x:v>
      </x:c>
      <x:c r="F362" s="28" t="str">
        <x:f>IF('Course_Master'!G362="","",'Course_Master'!G362)</x:f>
        <x:v>Zuid-Holland</x:v>
      </x:c>
      <x:c r="G362" s="28" t="str">
        <x:f>IF('Course_Master'!H362="","",'Course_Master'!H362)</x:f>
        <x:v>Dordrecht</x:v>
      </x:c>
      <x:c r="H362" s="28" t="str">
        <x:f>IF('Course_Master'!I362="","",'Course_Master'!I362)</x:f>
        <x:v>Dordrecht</x:v>
      </x:c>
      <x:c r="I362" s="28" t="str">
        <x:f>IF('Course_Master'!K362="","",'Course_Master'!K362)</x:f>
        <x:v>3313 LP</x:v>
      </x:c>
      <x:c r="J362" s="34" t="n">
        <x:f>IF('Course_Master'!L362="","",'Course_Master'!L362)</x:f>
        <x:v>51.81700748</x:v>
      </x:c>
      <x:c r="K362" s="34" t="n">
        <x:f>IF('Course_Master'!M362="","",'Course_Master'!M362)</x:f>
        <x:v>4.74574575</x:v>
      </x:c>
      <x:c r="L362" s="28" t="n">
        <x:f>IF('Course_Master'!S362="","",'Course_Master'!S362)</x:f>
        <x:v>18</x:v>
      </x:c>
      <x:c r="M362" s="28" t="n">
        <x:f>IF('Course_Master'!T362="","",'Course_Master'!T362)</x:f>
        <x:v>71</x:v>
      </x:c>
      <x:c r="N362" s="28" t="n">
        <x:f>IF('Course_Master'!Q362="","",'Course_Master'!Q362)</x:f>
        <x:v>6167</x:v>
      </x:c>
      <x:c r="O362" s="28" t="n">
        <x:f>IF('Course_Master'!R362="","",'Course_Master'!R362)</x:f>
        <x:v>5639</x:v>
      </x:c>
      <x:c r="P362" s="28" t="str">
        <x:f>IF('Course_Master'!U362="","",'Course_Master'!U362)</x:f>
        <x:v>Full-length course</x:v>
      </x:c>
      <x:c r="Q362" s="28" t="str">
        <x:f>IF('Course_Master'!AD362="","",'Course_Master'!AD362)</x:f>
        <x:v>Public — handicap 54 or lower</x:v>
      </x:c>
      <x:c r="R362" s="28" t="str">
        <x:f>IF('Course_Master'!AC362="","",'Course_Master'!AC362)</x:f>
        <x:v>Open</x:v>
      </x:c>
      <x:c r="S362" s="28" t="str">
        <x:f>IF('Course_Master'!Y362="","",'Course_Master'!Y362)</x:f>
        <x:v>https://crayesteingolf.nl/</x:v>
      </x:c>
      <x:c r="T362" s="28" t="b">
        <x:f>IF('Course_Master'!Z362="","",'Course_Master'!Z362)</x:f>
        <x:v>1</x:v>
      </x:c>
      <x:c r="U362" s="28" t="b">
        <x:f>IF('Course_Master'!AA362="","",'Course_Master'!AA362)</x:f>
        <x:v>1</x:v>
      </x:c>
      <x:c r="V362" s="28" t="str">
        <x:f>IF('Course_Master'!AL362="","",'Course_Master'!AL362)</x:f>
        <x:v>Verified — national register and exact BAG address</x:v>
      </x:c>
    </x:row>
    <x:row r="363">
      <x:c r="A363" s="28" t="str">
        <x:f>IF('Course_Master'!B363="","",'Course_Master'!B363)</x:f>
        <x:v>NL-0362</x:v>
      </x:c>
      <x:c r="B363" s="28" t="str">
        <x:f>IF('Course_Master'!C363="","",'Course_Master'!C363)</x:f>
        <x:v>Crayestein Golf — Pitch&amp;Putt baan</x:v>
      </x:c>
      <x:c r="C363" s="28" t="str">
        <x:f>IF('Course_Master'!D363="","",'Course_Master'!D363)</x:f>
        <x:v>Crayestein Golf</x:v>
      </x:c>
      <x:c r="D363" s="28" t="str">
        <x:f>IF('Course_Master'!E363="","",'Course_Master'!E363)</x:f>
        <x:v>Pitch&amp;Putt baan</x:v>
      </x:c>
      <x:c r="E363" s="28" t="str">
        <x:f>IF('Course_Master'!F363="","",'Course_Master'!F363)</x:f>
        <x:v>Netherlands</x:v>
      </x:c>
      <x:c r="F363" s="28" t="str">
        <x:f>IF('Course_Master'!G363="","",'Course_Master'!G363)</x:f>
        <x:v>Zuid-Holland</x:v>
      </x:c>
      <x:c r="G363" s="28" t="str">
        <x:f>IF('Course_Master'!H363="","",'Course_Master'!H363)</x:f>
        <x:v>Dordrecht</x:v>
      </x:c>
      <x:c r="H363" s="28" t="str">
        <x:f>IF('Course_Master'!I363="","",'Course_Master'!I363)</x:f>
        <x:v>Dordrecht</x:v>
      </x:c>
      <x:c r="I363" s="28" t="str">
        <x:f>IF('Course_Master'!K363="","",'Course_Master'!K363)</x:f>
        <x:v>3313 LP</x:v>
      </x:c>
      <x:c r="J363" s="34" t="n">
        <x:f>IF('Course_Master'!L363="","",'Course_Master'!L363)</x:f>
        <x:v>51.81700748</x:v>
      </x:c>
      <x:c r="K363" s="34" t="n">
        <x:f>IF('Course_Master'!M363="","",'Course_Master'!M363)</x:f>
        <x:v>4.74574575</x:v>
      </x:c>
      <x:c r="L363" s="28" t="n">
        <x:f>IF('Course_Master'!S363="","",'Course_Master'!S363)</x:f>
        <x:v>9</x:v>
      </x:c>
      <x:c r="M363" s="28" t="n">
        <x:f>IF('Course_Master'!T363="","",'Course_Master'!T363)</x:f>
        <x:v>27</x:v>
      </x:c>
      <x:c r="N363" s="28" t="n">
        <x:f>IF('Course_Master'!Q363="","",'Course_Master'!Q363)</x:f>
        <x:v>506</x:v>
      </x:c>
      <x:c r="O363" s="28" t="n">
        <x:f>IF('Course_Master'!R363="","",'Course_Master'!R363)</x:f>
        <x:v>463</x:v>
      </x:c>
      <x:c r="P363" s="28" t="str">
        <x:f>IF('Course_Master'!U363="","",'Course_Master'!U363)</x:f>
        <x:v>Shortgolf / Pitch &amp; Putt</x:v>
      </x:c>
      <x:c r="Q363" s="28" t="str">
        <x:f>IF('Course_Master'!AD363="","",'Course_Master'!AD363)</x:f>
        <x:v>Public — no playing requirement</x:v>
      </x:c>
      <x:c r="R363" s="28" t="str">
        <x:f>IF('Course_Master'!AC363="","",'Course_Master'!AC363)</x:f>
        <x:v>Open</x:v>
      </x:c>
      <x:c r="S363" s="28" t="str">
        <x:f>IF('Course_Master'!Y363="","",'Course_Master'!Y363)</x:f>
        <x:v>https://crayesteingolf.nl/</x:v>
      </x:c>
      <x:c r="T363" s="28" t="b">
        <x:f>IF('Course_Master'!Z363="","",'Course_Master'!Z363)</x:f>
        <x:v>1</x:v>
      </x:c>
      <x:c r="U363" s="28" t="b">
        <x:f>IF('Course_Master'!AA363="","",'Course_Master'!AA363)</x:f>
        <x:v>1</x:v>
      </x:c>
      <x:c r="V363" s="28" t="str">
        <x:f>IF('Course_Master'!AL363="","",'Course_Master'!AL363)</x:f>
        <x:v>Verified — national register and exact BAG address</x:v>
      </x:c>
    </x:row>
    <x:row r="364">
      <x:c r="A364" s="28" t="str">
        <x:f>IF('Course_Master'!B364="","",'Course_Master'!B364)</x:f>
        <x:v>NL-0363</x:v>
      </x:c>
      <x:c r="B364" s="28" t="str">
        <x:f>IF('Course_Master'!C364="","",'Course_Master'!C364)</x:f>
        <x:v>De Strijensche Golfclub</x:v>
      </x:c>
      <x:c r="C364" s="28" t="str">
        <x:f>IF('Course_Master'!D364="","",'Course_Master'!D364)</x:f>
        <x:v>De Strijensche Golfclub</x:v>
      </x:c>
      <x:c r="D364" s="28" t="str">
        <x:f>IF('Course_Master'!E364="","",'Course_Master'!E364)</x:f>
        <x:v>Course</x:v>
      </x:c>
      <x:c r="E364" s="28" t="str">
        <x:f>IF('Course_Master'!F364="","",'Course_Master'!F364)</x:f>
        <x:v>Netherlands</x:v>
      </x:c>
      <x:c r="F364" s="28" t="str">
        <x:f>IF('Course_Master'!G364="","",'Course_Master'!G364)</x:f>
        <x:v>Zuid-Holland</x:v>
      </x:c>
      <x:c r="G364" s="28" t="str">
        <x:f>IF('Course_Master'!H364="","",'Course_Master'!H364)</x:f>
        <x:v>Ermelo</x:v>
      </x:c>
      <x:c r="H364" s="28" t="str">
        <x:f>IF('Course_Master'!I364="","",'Course_Master'!I364)</x:f>
        <x:v>Ermelo</x:v>
      </x:c>
      <x:c r="I364" s="28" t="str">
        <x:f>IF('Course_Master'!K364="","",'Course_Master'!K364)</x:f>
        <x:v>3853 LB</x:v>
      </x:c>
      <x:c r="J364" s="34" t="n">
        <x:f>IF('Course_Master'!L364="","",'Course_Master'!L364)</x:f>
        <x:v>52.30227466</x:v>
      </x:c>
      <x:c r="K364" s="34" t="n">
        <x:f>IF('Course_Master'!M364="","",'Course_Master'!M364)</x:f>
        <x:v>5.55406021</x:v>
      </x:c>
      <x:c r="L364" s="28" t="n">
        <x:f>IF('Course_Master'!S364="","",'Course_Master'!S364)</x:f>
        <x:v>9</x:v>
      </x:c>
      <x:c r="M364" s="28" t="n">
        <x:f>IF('Course_Master'!T364="","",'Course_Master'!T364)</x:f>
        <x:v>35</x:v>
      </x:c>
      <x:c r="N364" s="28" t="n">
        <x:f>IF('Course_Master'!Q364="","",'Course_Master'!Q364)</x:f>
        <x:v>2993</x:v>
      </x:c>
      <x:c r="O364" s="28" t="n">
        <x:f>IF('Course_Master'!R364="","",'Course_Master'!R364)</x:f>
        <x:v>2737</x:v>
      </x:c>
      <x:c r="P364" s="28" t="str">
        <x:f>IF('Course_Master'!U364="","",'Course_Master'!U364)</x:f>
        <x:v>Full-length course</x:v>
      </x:c>
      <x:c r="Q364" s="28" t="str">
        <x:f>IF('Course_Master'!AD364="","",'Course_Master'!AD364)</x:f>
        <x:v>Public — NGF course permission</x:v>
      </x:c>
      <x:c r="R364" s="28" t="str">
        <x:f>IF('Course_Master'!AC364="","",'Course_Master'!AC364)</x:f>
        <x:v>Open</x:v>
      </x:c>
      <x:c r="S364" s="28" t="str">
        <x:f>IF('Course_Master'!Y364="","",'Course_Master'!Y364)</x:f>
        <x:v>https://destrijenschegolfclub.nl/</x:v>
      </x:c>
      <x:c r="T364" s="28" t="b">
        <x:f>IF('Course_Master'!Z364="","",'Course_Master'!Z364)</x:f>
        <x:v>1</x:v>
      </x:c>
      <x:c r="U364" s="28" t="b">
        <x:f>IF('Course_Master'!AA364="","",'Course_Master'!AA364)</x:f>
        <x:v>1</x:v>
      </x:c>
      <x:c r="V364" s="28" t="str">
        <x:f>IF('Course_Master'!AL364="","",'Course_Master'!AL364)</x:f>
        <x:v>Verified — national register and exact BAG address</x:v>
      </x:c>
    </x:row>
    <x:row r="365">
      <x:c r="A365" s="28" t="str">
        <x:f>IF('Course_Master'!B365="","",'Course_Master'!B365)</x:f>
        <x:v>NL-0364</x:v>
      </x:c>
      <x:c r="B365" s="28" t="str">
        <x:f>IF('Course_Master'!C365="","",'Course_Master'!C365)</x:f>
        <x:v>DSV Concordia Golf</x:v>
      </x:c>
      <x:c r="C365" s="28" t="str">
        <x:f>IF('Course_Master'!D365="","",'Course_Master'!D365)</x:f>
        <x:v>DSV Concordia Golf</x:v>
      </x:c>
      <x:c r="D365" s="28" t="str">
        <x:f>IF('Course_Master'!E365="","",'Course_Master'!E365)</x:f>
        <x:v>Course</x:v>
      </x:c>
      <x:c r="E365" s="28" t="str">
        <x:f>IF('Course_Master'!F365="","",'Course_Master'!F365)</x:f>
        <x:v>Netherlands</x:v>
      </x:c>
      <x:c r="F365" s="28" t="str">
        <x:f>IF('Course_Master'!G365="","",'Course_Master'!G365)</x:f>
        <x:v>Zuid-Holland</x:v>
      </x:c>
      <x:c r="G365" s="28" t="str">
        <x:f>IF('Course_Master'!H365="","",'Course_Master'!H365)</x:f>
        <x:v>Delft</x:v>
      </x:c>
      <x:c r="H365" s="28" t="str">
        <x:f>IF('Course_Master'!I365="","",'Course_Master'!I365)</x:f>
        <x:v>Delft</x:v>
      </x:c>
      <x:c r="I365" s="28" t="str">
        <x:f>IF('Course_Master'!K365="","",'Course_Master'!K365)</x:f>
        <x:v>2616 LA</x:v>
      </x:c>
      <x:c r="J365" s="34" t="n">
        <x:f>IF('Course_Master'!L365="","",'Course_Master'!L365)</x:f>
        <x:v>52.03058638</x:v>
      </x:c>
      <x:c r="K365" s="34" t="n">
        <x:f>IF('Course_Master'!M365="","",'Course_Master'!M365)</x:f>
        <x:v>4.37242973</x:v>
      </x:c>
      <x:c r="L365" s="28" t="n">
        <x:f>IF('Course_Master'!S365="","",'Course_Master'!S365)</x:f>
        <x:v>9</x:v>
      </x:c>
      <x:c r="M365" s="28" t="n">
        <x:f>IF('Course_Master'!T365="","",'Course_Master'!T365)</x:f>
        <x:v>27</x:v>
      </x:c>
      <x:c r="N365" s="28" t="n">
        <x:f>IF('Course_Master'!Q365="","",'Course_Master'!Q365)</x:f>
        <x:v>1084</x:v>
      </x:c>
      <x:c r="O365" s="28" t="n">
        <x:f>IF('Course_Master'!R365="","",'Course_Master'!R365)</x:f>
        <x:v>991</x:v>
      </x:c>
      <x:c r="P365" s="28" t="str">
        <x:f>IF('Course_Master'!U365="","",'Course_Master'!U365)</x:f>
        <x:v>Par-3 course</x:v>
      </x:c>
      <x:c r="Q365" s="28" t="str">
        <x:f>IF('Course_Master'!AD365="","",'Course_Master'!AD365)</x:f>
        <x:v>Public — NGF course permission</x:v>
      </x:c>
      <x:c r="R365" s="28" t="str">
        <x:f>IF('Course_Master'!AC365="","",'Course_Master'!AC365)</x:f>
        <x:v>Open</x:v>
      </x:c>
      <x:c r="S365" s="28" t="str">
        <x:f>IF('Course_Master'!Y365="","",'Course_Master'!Y365)</x:f>
        <x:v>https://www.concordiadelft.nl/</x:v>
      </x:c>
      <x:c r="T365" s="28" t="b">
        <x:f>IF('Course_Master'!Z365="","",'Course_Master'!Z365)</x:f>
        <x:v>1</x:v>
      </x:c>
      <x:c r="U365" s="28" t="b">
        <x:f>IF('Course_Master'!AA365="","",'Course_Master'!AA365)</x:f>
        <x:v>1</x:v>
      </x:c>
      <x:c r="V365" s="28" t="str">
        <x:f>IF('Course_Master'!AL365="","",'Course_Master'!AL365)</x:f>
        <x:v>Verified — national register and exact BAG address</x:v>
      </x:c>
    </x:row>
    <x:row r="366">
      <x:c r="A366" s="28" t="str">
        <x:f>IF('Course_Master'!B366="","",'Course_Master'!B366)</x:f>
        <x:v>NL-0365</x:v>
      </x:c>
      <x:c r="B366" s="28" t="str">
        <x:f>IF('Course_Master'!C366="","",'Course_Master'!C366)</x:f>
        <x:v>Estec Golf Club</x:v>
      </x:c>
      <x:c r="C366" s="28" t="str">
        <x:f>IF('Course_Master'!D366="","",'Course_Master'!D366)</x:f>
        <x:v>Estec Golf Club</x:v>
      </x:c>
      <x:c r="D366" s="28" t="str">
        <x:f>IF('Course_Master'!E366="","",'Course_Master'!E366)</x:f>
        <x:v>Course</x:v>
      </x:c>
      <x:c r="E366" s="28" t="str">
        <x:f>IF('Course_Master'!F366="","",'Course_Master'!F366)</x:f>
        <x:v>Netherlands</x:v>
      </x:c>
      <x:c r="F366" s="28" t="str">
        <x:f>IF('Course_Master'!G366="","",'Course_Master'!G366)</x:f>
        <x:v>Zuid-Holland</x:v>
      </x:c>
      <x:c r="G366" s="28" t="str">
        <x:f>IF('Course_Master'!H366="","",'Course_Master'!H366)</x:f>
        <x:v>Noordwijk</x:v>
      </x:c>
      <x:c r="H366" s="28" t="str">
        <x:f>IF('Course_Master'!I366="","",'Course_Master'!I366)</x:f>
        <x:v>Noordwijk</x:v>
      </x:c>
      <x:c r="I366" s="28" t="str">
        <x:f>IF('Course_Master'!K366="","",'Course_Master'!K366)</x:f>
        <x:v>2201 AZ</x:v>
      </x:c>
      <x:c r="J366" s="34" t="n">
        <x:f>IF('Course_Master'!L366="","",'Course_Master'!L366)</x:f>
        <x:v>52.21625467</x:v>
      </x:c>
      <x:c r="K366" s="34" t="n">
        <x:f>IF('Course_Master'!M366="","",'Course_Master'!M366)</x:f>
        <x:v>4.41604796</x:v>
      </x:c>
      <x:c r="L366" s="28" t="n">
        <x:f>IF('Course_Master'!S366="","",'Course_Master'!S366)</x:f>
        <x:v>9</x:v>
      </x:c>
      <x:c r="M366" s="28" t="n">
        <x:f>IF('Course_Master'!T366="","",'Course_Master'!T366)</x:f>
        <x:v>29</x:v>
      </x:c>
      <x:c r="N366" s="28" t="n">
        <x:f>IF('Course_Master'!Q366="","",'Course_Master'!Q366)</x:f>
        <x:v>1766</x:v>
      </x:c>
      <x:c r="O366" s="28" t="n">
        <x:f>IF('Course_Master'!R366="","",'Course_Master'!R366)</x:f>
        <x:v>1615</x:v>
      </x:c>
      <x:c r="P366" s="28" t="str">
        <x:f>IF('Course_Master'!U366="","",'Course_Master'!U366)</x:f>
        <x:v>Par-3/4 course</x:v>
      </x:c>
      <x:c r="Q366" s="28" t="str">
        <x:f>IF('Course_Master'!AD366="","",'Course_Master'!AD366)</x:f>
        <x:v>Public — handicap 54 or lower</x:v>
      </x:c>
      <x:c r="R366" s="28" t="str">
        <x:f>IF('Course_Master'!AC366="","",'Course_Master'!AC366)</x:f>
        <x:v>Open</x:v>
      </x:c>
      <x:c r="S366" s="28" t="str">
        <x:f>IF('Course_Master'!Y366="","",'Course_Master'!Y366)</x:f>
        <x:v>https://www.egcgolf.nl/</x:v>
      </x:c>
      <x:c r="T366" s="28" t="b">
        <x:f>IF('Course_Master'!Z366="","",'Course_Master'!Z366)</x:f>
        <x:v>1</x:v>
      </x:c>
      <x:c r="U366" s="28" t="b">
        <x:f>IF('Course_Master'!AA366="","",'Course_Master'!AA366)</x:f>
        <x:v>1</x:v>
      </x:c>
      <x:c r="V366" s="28" t="str">
        <x:f>IF('Course_Master'!AL366="","",'Course_Master'!AL366)</x:f>
        <x:v>Verified — national register and exact BAG address</x:v>
      </x:c>
    </x:row>
    <x:row r="367">
      <x:c r="A367" s="28" t="str">
        <x:f>IF('Course_Master'!B367="","",'Course_Master'!B367)</x:f>
        <x:v>NL-0366</x:v>
      </x:c>
      <x:c r="B367" s="28" t="str">
        <x:f>IF('Course_Master'!C367="","",'Course_Master'!C367)</x:f>
        <x:v>Golf &amp; Country Club Liemeer — Bovenlandenbaan</x:v>
      </x:c>
      <x:c r="C367" s="28" t="str">
        <x:f>IF('Course_Master'!D367="","",'Course_Master'!D367)</x:f>
        <x:v>Golf &amp; Country Club Liemeer</x:v>
      </x:c>
      <x:c r="D367" s="28" t="str">
        <x:f>IF('Course_Master'!E367="","",'Course_Master'!E367)</x:f>
        <x:v>Bovenlandenbaan</x:v>
      </x:c>
      <x:c r="E367" s="28" t="str">
        <x:f>IF('Course_Master'!F367="","",'Course_Master'!F367)</x:f>
        <x:v>Netherlands</x:v>
      </x:c>
      <x:c r="F367" s="28" t="str">
        <x:f>IF('Course_Master'!G367="","",'Course_Master'!G367)</x:f>
        <x:v>Zuid-Holland</x:v>
      </x:c>
      <x:c r="G367" s="28" t="str">
        <x:f>IF('Course_Master'!H367="","",'Course_Master'!H367)</x:f>
        <x:v>Nieuwkoop</x:v>
      </x:c>
      <x:c r="H367" s="28" t="str">
        <x:f>IF('Course_Master'!I367="","",'Course_Master'!I367)</x:f>
        <x:v>Nieuwveen</x:v>
      </x:c>
      <x:c r="I367" s="28" t="str">
        <x:f>IF('Course_Master'!K367="","",'Course_Master'!K367)</x:f>
        <x:v>2441 EW</x:v>
      </x:c>
      <x:c r="J367" s="34" t="n">
        <x:f>IF('Course_Master'!L367="","",'Course_Master'!L367)</x:f>
        <x:v>52.18960374</x:v>
      </x:c>
      <x:c r="K367" s="34" t="n">
        <x:f>IF('Course_Master'!M367="","",'Course_Master'!M367)</x:f>
        <x:v>4.7436161</x:v>
      </x:c>
      <x:c r="L367" s="28" t="n">
        <x:f>IF('Course_Master'!S367="","",'Course_Master'!S367)</x:f>
        <x:v>9</x:v>
      </x:c>
      <x:c r="M367" s="28" t="n">
        <x:f>IF('Course_Master'!T367="","",'Course_Master'!T367)</x:f>
        <x:v>31</x:v>
      </x:c>
      <x:c r="N367" s="28" t="n">
        <x:f>IF('Course_Master'!Q367="","",'Course_Master'!Q367)</x:f>
        <x:v>1772</x:v>
      </x:c>
      <x:c r="O367" s="28" t="n">
        <x:f>IF('Course_Master'!R367="","",'Course_Master'!R367)</x:f>
        <x:v>1620</x:v>
      </x:c>
      <x:c r="P367" s="28" t="str">
        <x:f>IF('Course_Master'!U367="","",'Course_Master'!U367)</x:f>
        <x:v>Par-3/4 course</x:v>
      </x:c>
      <x:c r="Q367" s="28" t="str">
        <x:f>IF('Course_Master'!AD367="","",'Course_Master'!AD367)</x:f>
        <x:v>Public — NGF course permission</x:v>
      </x:c>
      <x:c r="R367" s="28" t="str">
        <x:f>IF('Course_Master'!AC367="","",'Course_Master'!AC367)</x:f>
        <x:v>Open</x:v>
      </x:c>
      <x:c r="S367" s="28" t="str">
        <x:f>IF('Course_Master'!Y367="","",'Course_Master'!Y367)</x:f>
        <x:v>https://www.golfclubliemeer.nl/nl/</x:v>
      </x:c>
      <x:c r="T367" s="28" t="b">
        <x:f>IF('Course_Master'!Z367="","",'Course_Master'!Z367)</x:f>
        <x:v>1</x:v>
      </x:c>
      <x:c r="U367" s="28" t="b">
        <x:f>IF('Course_Master'!AA367="","",'Course_Master'!AA367)</x:f>
        <x:v>1</x:v>
      </x:c>
      <x:c r="V367" s="28" t="str">
        <x:f>IF('Course_Master'!AL367="","",'Course_Master'!AL367)</x:f>
        <x:v>Verified — national register and exact BAG address</x:v>
      </x:c>
    </x:row>
    <x:row r="368">
      <x:c r="A368" s="28" t="str">
        <x:f>IF('Course_Master'!B368="","",'Course_Master'!B368)</x:f>
        <x:v>NL-0367</x:v>
      </x:c>
      <x:c r="B368" s="28" t="str">
        <x:f>IF('Course_Master'!C368="","",'Course_Master'!C368)</x:f>
        <x:v>Golf &amp; Country Club Liemeer — Torenbaan</x:v>
      </x:c>
      <x:c r="C368" s="28" t="str">
        <x:f>IF('Course_Master'!D368="","",'Course_Master'!D368)</x:f>
        <x:v>Golf &amp; Country Club Liemeer</x:v>
      </x:c>
      <x:c r="D368" s="28" t="str">
        <x:f>IF('Course_Master'!E368="","",'Course_Master'!E368)</x:f>
        <x:v>Torenbaan</x:v>
      </x:c>
      <x:c r="E368" s="28" t="str">
        <x:f>IF('Course_Master'!F368="","",'Course_Master'!F368)</x:f>
        <x:v>Netherlands</x:v>
      </x:c>
      <x:c r="F368" s="28" t="str">
        <x:f>IF('Course_Master'!G368="","",'Course_Master'!G368)</x:f>
        <x:v>Zuid-Holland</x:v>
      </x:c>
      <x:c r="G368" s="28" t="str">
        <x:f>IF('Course_Master'!H368="","",'Course_Master'!H368)</x:f>
        <x:v>Nieuwkoop</x:v>
      </x:c>
      <x:c r="H368" s="28" t="str">
        <x:f>IF('Course_Master'!I368="","",'Course_Master'!I368)</x:f>
        <x:v>Nieuwveen</x:v>
      </x:c>
      <x:c r="I368" s="28" t="str">
        <x:f>IF('Course_Master'!K368="","",'Course_Master'!K368)</x:f>
        <x:v>2441 EW</x:v>
      </x:c>
      <x:c r="J368" s="34" t="n">
        <x:f>IF('Course_Master'!L368="","",'Course_Master'!L368)</x:f>
        <x:v>52.18960374</x:v>
      </x:c>
      <x:c r="K368" s="34" t="n">
        <x:f>IF('Course_Master'!M368="","",'Course_Master'!M368)</x:f>
        <x:v>4.7436161</x:v>
      </x:c>
      <x:c r="L368" s="28" t="n">
        <x:f>IF('Course_Master'!S368="","",'Course_Master'!S368)</x:f>
        <x:v>18</x:v>
      </x:c>
      <x:c r="M368" s="28" t="n">
        <x:f>IF('Course_Master'!T368="","",'Course_Master'!T368)</x:f>
        <x:v>72</x:v>
      </x:c>
      <x:c r="N368" s="28" t="n">
        <x:f>IF('Course_Master'!Q368="","",'Course_Master'!Q368)</x:f>
        <x:v>6584</x:v>
      </x:c>
      <x:c r="O368" s="28" t="n">
        <x:f>IF('Course_Master'!R368="","",'Course_Master'!R368)</x:f>
        <x:v>6020</x:v>
      </x:c>
      <x:c r="P368" s="28" t="str">
        <x:f>IF('Course_Master'!U368="","",'Course_Master'!U368)</x:f>
        <x:v>Full-length course</x:v>
      </x:c>
      <x:c r="Q368" s="28" t="str">
        <x:f>IF('Course_Master'!AD368="","",'Course_Master'!AD368)</x:f>
        <x:v>Public — handicap 54 or lower</x:v>
      </x:c>
      <x:c r="R368" s="28" t="str">
        <x:f>IF('Course_Master'!AC368="","",'Course_Master'!AC368)</x:f>
        <x:v>Open</x:v>
      </x:c>
      <x:c r="S368" s="28" t="str">
        <x:f>IF('Course_Master'!Y368="","",'Course_Master'!Y368)</x:f>
        <x:v>https://www.golfclubliemeer.nl/nl/</x:v>
      </x:c>
      <x:c r="T368" s="28" t="b">
        <x:f>IF('Course_Master'!Z368="","",'Course_Master'!Z368)</x:f>
        <x:v>1</x:v>
      </x:c>
      <x:c r="U368" s="28" t="b">
        <x:f>IF('Course_Master'!AA368="","",'Course_Master'!AA368)</x:f>
        <x:v>1</x:v>
      </x:c>
      <x:c r="V368" s="28" t="str">
        <x:f>IF('Course_Master'!AL368="","",'Course_Master'!AL368)</x:f>
        <x:v>Verified — national register and exact BAG address</x:v>
      </x:c>
    </x:row>
    <x:row r="369">
      <x:c r="A369" s="28" t="str">
        <x:f>IF('Course_Master'!B369="","",'Course_Master'!B369)</x:f>
        <x:v>NL-0368</x:v>
      </x:c>
      <x:c r="B369" s="28" t="str">
        <x:f>IF('Course_Master'!C369="","",'Course_Master'!C369)</x:f>
        <x:v>Golf Centrum Noordwijk</x:v>
      </x:c>
      <x:c r="C369" s="28" t="str">
        <x:f>IF('Course_Master'!D369="","",'Course_Master'!D369)</x:f>
        <x:v>Golf Centrum Noordwijk</x:v>
      </x:c>
      <x:c r="D369" s="28" t="str">
        <x:f>IF('Course_Master'!E369="","",'Course_Master'!E369)</x:f>
        <x:v>Course</x:v>
      </x:c>
      <x:c r="E369" s="28" t="str">
        <x:f>IF('Course_Master'!F369="","",'Course_Master'!F369)</x:f>
        <x:v>Netherlands</x:v>
      </x:c>
      <x:c r="F369" s="28" t="str">
        <x:f>IF('Course_Master'!G369="","",'Course_Master'!G369)</x:f>
        <x:v>Zuid-Holland</x:v>
      </x:c>
      <x:c r="G369" s="28" t="str">
        <x:f>IF('Course_Master'!H369="","",'Course_Master'!H369)</x:f>
        <x:v>Noordwijk</x:v>
      </x:c>
      <x:c r="H369" s="28" t="str">
        <x:f>IF('Course_Master'!I369="","",'Course_Master'!I369)</x:f>
        <x:v>Noordwijk</x:v>
      </x:c>
      <x:c r="I369" s="28" t="str">
        <x:f>IF('Course_Master'!K369="","",'Course_Master'!K369)</x:f>
        <x:v>2203 LB</x:v>
      </x:c>
      <x:c r="J369" s="34" t="n">
        <x:f>IF('Course_Master'!L369="","",'Course_Master'!L369)</x:f>
        <x:v>52.22791268</x:v>
      </x:c>
      <x:c r="K369" s="34" t="n">
        <x:f>IF('Course_Master'!M369="","",'Course_Master'!M369)</x:f>
        <x:v>4.46574921</x:v>
      </x:c>
      <x:c r="L369" s="28" t="n">
        <x:f>IF('Course_Master'!S369="","",'Course_Master'!S369)</x:f>
        <x:v>9</x:v>
      </x:c>
      <x:c r="M369" s="28" t="n">
        <x:f>IF('Course_Master'!T369="","",'Course_Master'!T369)</x:f>
        <x:v>27</x:v>
      </x:c>
      <x:c r="N369" s="28" t="n">
        <x:f>IF('Course_Master'!Q369="","",'Course_Master'!Q369)</x:f>
        <x:v>868</x:v>
      </x:c>
      <x:c r="O369" s="28" t="n">
        <x:f>IF('Course_Master'!R369="","",'Course_Master'!R369)</x:f>
        <x:v>794</x:v>
      </x:c>
      <x:c r="P369" s="28" t="str">
        <x:f>IF('Course_Master'!U369="","",'Course_Master'!U369)</x:f>
        <x:v>Par-3 course</x:v>
      </x:c>
      <x:c r="Q369" s="28" t="str">
        <x:f>IF('Course_Master'!AD369="","",'Course_Master'!AD369)</x:f>
        <x:v>Public — NGF course permission</x:v>
      </x:c>
      <x:c r="R369" s="28" t="str">
        <x:f>IF('Course_Master'!AC369="","",'Course_Master'!AC369)</x:f>
        <x:v>Open</x:v>
      </x:c>
      <x:c r="S369" s="28" t="str">
        <x:f>IF('Course_Master'!Y369="","",'Course_Master'!Y369)</x:f>
        <x:v>https://golfcentrumnoordwijk.nl/</x:v>
      </x:c>
      <x:c r="T369" s="28" t="b">
        <x:f>IF('Course_Master'!Z369="","",'Course_Master'!Z369)</x:f>
        <x:v>1</x:v>
      </x:c>
      <x:c r="U369" s="28" t="b">
        <x:f>IF('Course_Master'!AA369="","",'Course_Master'!AA369)</x:f>
        <x:v>1</x:v>
      </x:c>
      <x:c r="V369" s="28" t="str">
        <x:f>IF('Course_Master'!AL369="","",'Course_Master'!AL369)</x:f>
        <x:v>Verified — national register and exact BAG address</x:v>
      </x:c>
    </x:row>
    <x:row r="370">
      <x:c r="A370" s="28" t="str">
        <x:f>IF('Course_Master'!B370="","",'Course_Master'!B370)</x:f>
        <x:v>NL-0369</x:v>
      </x:c>
      <x:c r="B370" s="28" t="str">
        <x:f>IF('Course_Master'!C370="","",'Course_Master'!C370)</x:f>
        <x:v>Golf Duinzicht</x:v>
      </x:c>
      <x:c r="C370" s="28" t="str">
        <x:f>IF('Course_Master'!D370="","",'Course_Master'!D370)</x:f>
        <x:v>Golf Duinzicht</x:v>
      </x:c>
      <x:c r="D370" s="28" t="str">
        <x:f>IF('Course_Master'!E370="","",'Course_Master'!E370)</x:f>
        <x:v>Course</x:v>
      </x:c>
      <x:c r="E370" s="28" t="str">
        <x:f>IF('Course_Master'!F370="","",'Course_Master'!F370)</x:f>
        <x:v>Netherlands</x:v>
      </x:c>
      <x:c r="F370" s="28" t="str">
        <x:f>IF('Course_Master'!G370="","",'Course_Master'!G370)</x:f>
        <x:v>Zuid-Holland</x:v>
      </x:c>
      <x:c r="G370" s="28" t="str">
        <x:f>IF('Course_Master'!H370="","",'Course_Master'!H370)</x:f>
        <x:v>Wassenaar</x:v>
      </x:c>
      <x:c r="H370" s="28" t="str">
        <x:f>IF('Course_Master'!I370="","",'Course_Master'!I370)</x:f>
        <x:v>Wassenaar</x:v>
      </x:c>
      <x:c r="I370" s="28" t="str">
        <x:f>IF('Course_Master'!K370="","",'Course_Master'!K370)</x:f>
        <x:v>2244 BN</x:v>
      </x:c>
      <x:c r="J370" s="34" t="n">
        <x:f>IF('Course_Master'!L370="","",'Course_Master'!L370)</x:f>
        <x:v>52.10897623</x:v>
      </x:c>
      <x:c r="K370" s="34" t="n">
        <x:f>IF('Course_Master'!M370="","",'Course_Master'!M370)</x:f>
        <x:v>4.34177814</x:v>
      </x:c>
      <x:c r="L370" s="28" t="n">
        <x:f>IF('Course_Master'!S370="","",'Course_Master'!S370)</x:f>
        <x:v>9</x:v>
      </x:c>
      <x:c r="M370" s="28" t="n">
        <x:f>IF('Course_Master'!T370="","",'Course_Master'!T370)</x:f>
        <x:v>29</x:v>
      </x:c>
      <x:c r="N370" s="28" t="n">
        <x:f>IF('Course_Master'!Q370="","",'Course_Master'!Q370)</x:f>
        <x:v>1561</x:v>
      </x:c>
      <x:c r="O370" s="28" t="n">
        <x:f>IF('Course_Master'!R370="","",'Course_Master'!R370)</x:f>
        <x:v>1427</x:v>
      </x:c>
      <x:c r="P370" s="28" t="str">
        <x:f>IF('Course_Master'!U370="","",'Course_Master'!U370)</x:f>
        <x:v>Par-3/4 course</x:v>
      </x:c>
      <x:c r="Q370" s="28" t="str">
        <x:f>IF('Course_Master'!AD370="","",'Course_Master'!AD370)</x:f>
        <x:v>Public — handicap 54 or lower</x:v>
      </x:c>
      <x:c r="R370" s="28" t="str">
        <x:f>IF('Course_Master'!AC370="","",'Course_Master'!AC370)</x:f>
        <x:v>Open</x:v>
      </x:c>
      <x:c r="S370" s="28" t="str">
        <x:f>IF('Course_Master'!Y370="","",'Course_Master'!Y370)</x:f>
        <x:v>https://golfduinzicht.nl/</x:v>
      </x:c>
      <x:c r="T370" s="28" t="b">
        <x:f>IF('Course_Master'!Z370="","",'Course_Master'!Z370)</x:f>
        <x:v>1</x:v>
      </x:c>
      <x:c r="U370" s="28" t="b">
        <x:f>IF('Course_Master'!AA370="","",'Course_Master'!AA370)</x:f>
        <x:v>1</x:v>
      </x:c>
      <x:c r="V370" s="28" t="str">
        <x:f>IF('Course_Master'!AL370="","",'Course_Master'!AL370)</x:f>
        <x:v>Verified — national register and exact BAG address</x:v>
      </x:c>
    </x:row>
    <x:row r="371">
      <x:c r="A371" s="28" t="str">
        <x:f>IF('Course_Master'!B371="","",'Course_Master'!B371)</x:f>
        <x:v>NL-0370</x:v>
      </x:c>
      <x:c r="B371" s="28" t="str">
        <x:f>IF('Course_Master'!C371="","",'Course_Master'!C371)</x:f>
        <x:v>Golf Ockenburgh</x:v>
      </x:c>
      <x:c r="C371" s="28" t="str">
        <x:f>IF('Course_Master'!D371="","",'Course_Master'!D371)</x:f>
        <x:v>Golf Ockenburgh</x:v>
      </x:c>
      <x:c r="D371" s="28" t="str">
        <x:f>IF('Course_Master'!E371="","",'Course_Master'!E371)</x:f>
        <x:v>Course</x:v>
      </x:c>
      <x:c r="E371" s="28" t="str">
        <x:f>IF('Course_Master'!F371="","",'Course_Master'!F371)</x:f>
        <x:v>Netherlands</x:v>
      </x:c>
      <x:c r="F371" s="28" t="str">
        <x:f>IF('Course_Master'!G371="","",'Course_Master'!G371)</x:f>
        <x:v>Zuid-Holland</x:v>
      </x:c>
      <x:c r="G371" s="28" t="str">
        <x:f>IF('Course_Master'!H371="","",'Course_Master'!H371)</x:f>
        <x:v>'s-Gravenhage</x:v>
      </x:c>
      <x:c r="H371" s="28" t="str">
        <x:f>IF('Course_Master'!I371="","",'Course_Master'!I371)</x:f>
        <x:v>'s-Gravenhage</x:v>
      </x:c>
      <x:c r="I371" s="28" t="str">
        <x:f>IF('Course_Master'!K371="","",'Course_Master'!K371)</x:f>
        <x:v>2554 CA</x:v>
      </x:c>
      <x:c r="J371" s="34" t="n">
        <x:f>IF('Course_Master'!L371="","",'Course_Master'!L371)</x:f>
        <x:v>52.05642957</x:v>
      </x:c>
      <x:c r="K371" s="34" t="n">
        <x:f>IF('Course_Master'!M371="","",'Course_Master'!M371)</x:f>
        <x:v>4.21719054</x:v>
      </x:c>
      <x:c r="L371" s="28" t="n">
        <x:f>IF('Course_Master'!S371="","",'Course_Master'!S371)</x:f>
        <x:v>9</x:v>
      </x:c>
      <x:c r="M371" s="28" t="n">
        <x:f>IF('Course_Master'!T371="","",'Course_Master'!T371)</x:f>
        <x:v>29</x:v>
      </x:c>
      <x:c r="N371" s="28" t="n">
        <x:f>IF('Course_Master'!Q371="","",'Course_Master'!Q371)</x:f>
        <x:v>1586</x:v>
      </x:c>
      <x:c r="O371" s="28" t="n">
        <x:f>IF('Course_Master'!R371="","",'Course_Master'!R371)</x:f>
        <x:v>1450</x:v>
      </x:c>
      <x:c r="P371" s="28" t="str">
        <x:f>IF('Course_Master'!U371="","",'Course_Master'!U371)</x:f>
        <x:v>Par-3/4 course</x:v>
      </x:c>
      <x:c r="Q371" s="28" t="str">
        <x:f>IF('Course_Master'!AD371="","",'Course_Master'!AD371)</x:f>
        <x:v>Public — handicap 54 or lower</x:v>
      </x:c>
      <x:c r="R371" s="28" t="str">
        <x:f>IF('Course_Master'!AC371="","",'Course_Master'!AC371)</x:f>
        <x:v>Open</x:v>
      </x:c>
      <x:c r="S371" s="28" t="str">
        <x:f>IF('Course_Master'!Y371="","",'Course_Master'!Y371)</x:f>
        <x:v>https://golfockenburgh.nl/</x:v>
      </x:c>
      <x:c r="T371" s="28" t="b">
        <x:f>IF('Course_Master'!Z371="","",'Course_Master'!Z371)</x:f>
        <x:v>1</x:v>
      </x:c>
      <x:c r="U371" s="28" t="b">
        <x:f>IF('Course_Master'!AA371="","",'Course_Master'!AA371)</x:f>
        <x:v>1</x:v>
      </x:c>
      <x:c r="V371" s="28" t="str">
        <x:f>IF('Course_Master'!AL371="","",'Course_Master'!AL371)</x:f>
        <x:v>Verified — national register and exact BAG address</x:v>
      </x:c>
    </x:row>
    <x:row r="372">
      <x:c r="A372" s="28" t="str">
        <x:f>IF('Course_Master'!B372="","",'Course_Master'!B372)</x:f>
        <x:v>NL-0371</x:v>
      </x:c>
      <x:c r="B372" s="28" t="str">
        <x:f>IF('Course_Master'!C372="","",'Course_Master'!C372)</x:f>
        <x:v>Golfbaan Bentwoud — Noordwoud</x:v>
      </x:c>
      <x:c r="C372" s="28" t="str">
        <x:f>IF('Course_Master'!D372="","",'Course_Master'!D372)</x:f>
        <x:v>Golfbaan Bentwoud</x:v>
      </x:c>
      <x:c r="D372" s="28" t="str">
        <x:f>IF('Course_Master'!E372="","",'Course_Master'!E372)</x:f>
        <x:v>Noordwoud</x:v>
      </x:c>
      <x:c r="E372" s="28" t="str">
        <x:f>IF('Course_Master'!F372="","",'Course_Master'!F372)</x:f>
        <x:v>Netherlands</x:v>
      </x:c>
      <x:c r="F372" s="28" t="str">
        <x:f>IF('Course_Master'!G372="","",'Course_Master'!G372)</x:f>
        <x:v>Zuid-Holland</x:v>
      </x:c>
      <x:c r="G372" s="28" t="str">
        <x:f>IF('Course_Master'!H372="","",'Course_Master'!H372)</x:f>
        <x:v>Alphen aan den Rijn</x:v>
      </x:c>
      <x:c r="H372" s="28" t="str">
        <x:f>IF('Course_Master'!I372="","",'Course_Master'!I372)</x:f>
        <x:v>Benthuizen</x:v>
      </x:c>
      <x:c r="I372" s="28" t="str">
        <x:f>IF('Course_Master'!K372="","",'Course_Master'!K372)</x:f>
        <x:v>2731 LD</x:v>
      </x:c>
      <x:c r="J372" s="34" t="n">
        <x:f>IF('Course_Master'!L372="","",'Course_Master'!L372)</x:f>
        <x:v>52.07329494</x:v>
      </x:c>
      <x:c r="K372" s="34" t="n">
        <x:f>IF('Course_Master'!M372="","",'Course_Master'!M372)</x:f>
        <x:v>4.57204773</x:v>
      </x:c>
      <x:c r="L372" s="28" t="n">
        <x:f>IF('Course_Master'!S372="","",'Course_Master'!S372)</x:f>
        <x:v>9</x:v>
      </x:c>
      <x:c r="M372" s="28" t="n">
        <x:f>IF('Course_Master'!T372="","",'Course_Master'!T372)</x:f>
        <x:v>29</x:v>
      </x:c>
      <x:c r="N372" s="28" t="n">
        <x:f>IF('Course_Master'!Q372="","",'Course_Master'!Q372)</x:f>
        <x:v>1472</x:v>
      </x:c>
      <x:c r="O372" s="28" t="n">
        <x:f>IF('Course_Master'!R372="","",'Course_Master'!R372)</x:f>
        <x:v>1346</x:v>
      </x:c>
      <x:c r="P372" s="28" t="str">
        <x:f>IF('Course_Master'!U372="","",'Course_Master'!U372)</x:f>
        <x:v>Par-3/4 course</x:v>
      </x:c>
      <x:c r="Q372" s="28" t="str">
        <x:f>IF('Course_Master'!AD372="","",'Course_Master'!AD372)</x:f>
        <x:v>Public — no playing requirement</x:v>
      </x:c>
      <x:c r="R372" s="28" t="str">
        <x:f>IF('Course_Master'!AC372="","",'Course_Master'!AC372)</x:f>
        <x:v>Open</x:v>
      </x:c>
      <x:c r="S372" s="28" t="str">
        <x:f>IF('Course_Master'!Y372="","",'Course_Master'!Y372)</x:f>
        <x:v>https://www.golfbaanbentwoud.nl/</x:v>
      </x:c>
      <x:c r="T372" s="28" t="b">
        <x:f>IF('Course_Master'!Z372="","",'Course_Master'!Z372)</x:f>
        <x:v>1</x:v>
      </x:c>
      <x:c r="U372" s="28" t="b">
        <x:f>IF('Course_Master'!AA372="","",'Course_Master'!AA372)</x:f>
        <x:v>1</x:v>
      </x:c>
      <x:c r="V372" s="28" t="str">
        <x:f>IF('Course_Master'!AL372="","",'Course_Master'!AL372)</x:f>
        <x:v>Verified — national register and exact BAG address</x:v>
      </x:c>
    </x:row>
    <x:row r="373">
      <x:c r="A373" s="28" t="str">
        <x:f>IF('Course_Master'!B373="","",'Course_Master'!B373)</x:f>
        <x:v>NL-0372</x:v>
      </x:c>
      <x:c r="B373" s="28" t="str">
        <x:f>IF('Course_Master'!C373="","",'Course_Master'!C373)</x:f>
        <x:v>Golfbaan Bentwoud — Oostwoud</x:v>
      </x:c>
      <x:c r="C373" s="28" t="str">
        <x:f>IF('Course_Master'!D373="","",'Course_Master'!D373)</x:f>
        <x:v>Golfbaan Bentwoud</x:v>
      </x:c>
      <x:c r="D373" s="28" t="str">
        <x:f>IF('Course_Master'!E373="","",'Course_Master'!E373)</x:f>
        <x:v>Oostwoud</x:v>
      </x:c>
      <x:c r="E373" s="28" t="str">
        <x:f>IF('Course_Master'!F373="","",'Course_Master'!F373)</x:f>
        <x:v>Netherlands</x:v>
      </x:c>
      <x:c r="F373" s="28" t="str">
        <x:f>IF('Course_Master'!G373="","",'Course_Master'!G373)</x:f>
        <x:v>Zuid-Holland</x:v>
      </x:c>
      <x:c r="G373" s="28" t="str">
        <x:f>IF('Course_Master'!H373="","",'Course_Master'!H373)</x:f>
        <x:v>Alphen aan den Rijn</x:v>
      </x:c>
      <x:c r="H373" s="28" t="str">
        <x:f>IF('Course_Master'!I373="","",'Course_Master'!I373)</x:f>
        <x:v>Benthuizen</x:v>
      </x:c>
      <x:c r="I373" s="28" t="str">
        <x:f>IF('Course_Master'!K373="","",'Course_Master'!K373)</x:f>
        <x:v>2731 LD</x:v>
      </x:c>
      <x:c r="J373" s="34" t="n">
        <x:f>IF('Course_Master'!L373="","",'Course_Master'!L373)</x:f>
        <x:v>52.07329494</x:v>
      </x:c>
      <x:c r="K373" s="34" t="n">
        <x:f>IF('Course_Master'!M373="","",'Course_Master'!M373)</x:f>
        <x:v>4.57204773</x:v>
      </x:c>
      <x:c r="L373" s="28" t="n">
        <x:f>IF('Course_Master'!S373="","",'Course_Master'!S373)</x:f>
        <x:v>9</x:v>
      </x:c>
      <x:c r="M373" s="28" t="n">
        <x:f>IF('Course_Master'!T373="","",'Course_Master'!T373)</x:f>
        <x:v>35</x:v>
      </x:c>
      <x:c r="N373" s="28" t="n">
        <x:f>IF('Course_Master'!Q373="","",'Course_Master'!Q373)</x:f>
        <x:v>3073</x:v>
      </x:c>
      <x:c r="O373" s="28" t="n">
        <x:f>IF('Course_Master'!R373="","",'Course_Master'!R373)</x:f>
        <x:v>2810</x:v>
      </x:c>
      <x:c r="P373" s="28" t="str">
        <x:f>IF('Course_Master'!U373="","",'Course_Master'!U373)</x:f>
        <x:v>Full-length course</x:v>
      </x:c>
      <x:c r="Q373" s="28" t="str">
        <x:f>IF('Course_Master'!AD373="","",'Course_Master'!AD373)</x:f>
        <x:v>Public — handicap 54 or lower</x:v>
      </x:c>
      <x:c r="R373" s="28" t="str">
        <x:f>IF('Course_Master'!AC373="","",'Course_Master'!AC373)</x:f>
        <x:v>Open</x:v>
      </x:c>
      <x:c r="S373" s="28" t="str">
        <x:f>IF('Course_Master'!Y373="","",'Course_Master'!Y373)</x:f>
        <x:v>https://www.golfbaanbentwoud.nl/</x:v>
      </x:c>
      <x:c r="T373" s="28" t="b">
        <x:f>IF('Course_Master'!Z373="","",'Course_Master'!Z373)</x:f>
        <x:v>1</x:v>
      </x:c>
      <x:c r="U373" s="28" t="b">
        <x:f>IF('Course_Master'!AA373="","",'Course_Master'!AA373)</x:f>
        <x:v>1</x:v>
      </x:c>
      <x:c r="V373" s="28" t="str">
        <x:f>IF('Course_Master'!AL373="","",'Course_Master'!AL373)</x:f>
        <x:v>Verified — national register and exact BAG address</x:v>
      </x:c>
    </x:row>
    <x:row r="374">
      <x:c r="A374" s="28" t="str">
        <x:f>IF('Course_Master'!B374="","",'Course_Master'!B374)</x:f>
        <x:v>NL-0373</x:v>
      </x:c>
      <x:c r="B374" s="28" t="str">
        <x:f>IF('Course_Master'!C374="","",'Course_Master'!C374)</x:f>
        <x:v>Golfbaan Bentwoud — Westwoud</x:v>
      </x:c>
      <x:c r="C374" s="28" t="str">
        <x:f>IF('Course_Master'!D374="","",'Course_Master'!D374)</x:f>
        <x:v>Golfbaan Bentwoud</x:v>
      </x:c>
      <x:c r="D374" s="28" t="str">
        <x:f>IF('Course_Master'!E374="","",'Course_Master'!E374)</x:f>
        <x:v>Westwoud</x:v>
      </x:c>
      <x:c r="E374" s="28" t="str">
        <x:f>IF('Course_Master'!F374="","",'Course_Master'!F374)</x:f>
        <x:v>Netherlands</x:v>
      </x:c>
      <x:c r="F374" s="28" t="str">
        <x:f>IF('Course_Master'!G374="","",'Course_Master'!G374)</x:f>
        <x:v>Zuid-Holland</x:v>
      </x:c>
      <x:c r="G374" s="28" t="str">
        <x:f>IF('Course_Master'!H374="","",'Course_Master'!H374)</x:f>
        <x:v>Alphen aan den Rijn</x:v>
      </x:c>
      <x:c r="H374" s="28" t="str">
        <x:f>IF('Course_Master'!I374="","",'Course_Master'!I374)</x:f>
        <x:v>Benthuizen</x:v>
      </x:c>
      <x:c r="I374" s="28" t="str">
        <x:f>IF('Course_Master'!K374="","",'Course_Master'!K374)</x:f>
        <x:v>2731 LD</x:v>
      </x:c>
      <x:c r="J374" s="34" t="n">
        <x:f>IF('Course_Master'!L374="","",'Course_Master'!L374)</x:f>
        <x:v>52.07329494</x:v>
      </x:c>
      <x:c r="K374" s="34" t="n">
        <x:f>IF('Course_Master'!M374="","",'Course_Master'!M374)</x:f>
        <x:v>4.57204773</x:v>
      </x:c>
      <x:c r="L374" s="28" t="n">
        <x:f>IF('Course_Master'!S374="","",'Course_Master'!S374)</x:f>
        <x:v>9</x:v>
      </x:c>
      <x:c r="M374" s="28" t="n">
        <x:f>IF('Course_Master'!T374="","",'Course_Master'!T374)</x:f>
        <x:v>35</x:v>
      </x:c>
      <x:c r="N374" s="28" t="n">
        <x:f>IF('Course_Master'!Q374="","",'Course_Master'!Q374)</x:f>
        <x:v>3159</x:v>
      </x:c>
      <x:c r="O374" s="28" t="n">
        <x:f>IF('Course_Master'!R374="","",'Course_Master'!R374)</x:f>
        <x:v>2889</x:v>
      </x:c>
      <x:c r="P374" s="28" t="str">
        <x:f>IF('Course_Master'!U374="","",'Course_Master'!U374)</x:f>
        <x:v>Full-length course</x:v>
      </x:c>
      <x:c r="Q374" s="28" t="str">
        <x:f>IF('Course_Master'!AD374="","",'Course_Master'!AD374)</x:f>
        <x:v>Public — handicap 54 or lower</x:v>
      </x:c>
      <x:c r="R374" s="28" t="str">
        <x:f>IF('Course_Master'!AC374="","",'Course_Master'!AC374)</x:f>
        <x:v>Open</x:v>
      </x:c>
      <x:c r="S374" s="28" t="str">
        <x:f>IF('Course_Master'!Y374="","",'Course_Master'!Y374)</x:f>
        <x:v>https://www.golfbaanbentwoud.nl/</x:v>
      </x:c>
      <x:c r="T374" s="28" t="b">
        <x:f>IF('Course_Master'!Z374="","",'Course_Master'!Z374)</x:f>
        <x:v>1</x:v>
      </x:c>
      <x:c r="U374" s="28" t="b">
        <x:f>IF('Course_Master'!AA374="","",'Course_Master'!AA374)</x:f>
        <x:v>1</x:v>
      </x:c>
      <x:c r="V374" s="28" t="str">
        <x:f>IF('Course_Master'!AL374="","",'Course_Master'!AL374)</x:f>
        <x:v>Verified — national register and exact BAG address</x:v>
      </x:c>
    </x:row>
    <x:row r="375">
      <x:c r="A375" s="28" t="str">
        <x:f>IF('Course_Master'!B375="","",'Course_Master'!B375)</x:f>
        <x:v>NL-0374</x:v>
      </x:c>
      <x:c r="B375" s="28" t="str">
        <x:f>IF('Course_Master'!C375="","",'Course_Master'!C375)</x:f>
        <x:v>Golfbaan Bentwoud — Zuidwoud</x:v>
      </x:c>
      <x:c r="C375" s="28" t="str">
        <x:f>IF('Course_Master'!D375="","",'Course_Master'!D375)</x:f>
        <x:v>Golfbaan Bentwoud</x:v>
      </x:c>
      <x:c r="D375" s="28" t="str">
        <x:f>IF('Course_Master'!E375="","",'Course_Master'!E375)</x:f>
        <x:v>Zuidwoud</x:v>
      </x:c>
      <x:c r="E375" s="28" t="str">
        <x:f>IF('Course_Master'!F375="","",'Course_Master'!F375)</x:f>
        <x:v>Netherlands</x:v>
      </x:c>
      <x:c r="F375" s="28" t="str">
        <x:f>IF('Course_Master'!G375="","",'Course_Master'!G375)</x:f>
        <x:v>Zuid-Holland</x:v>
      </x:c>
      <x:c r="G375" s="28" t="str">
        <x:f>IF('Course_Master'!H375="","",'Course_Master'!H375)</x:f>
        <x:v>Alphen aan den Rijn</x:v>
      </x:c>
      <x:c r="H375" s="28" t="str">
        <x:f>IF('Course_Master'!I375="","",'Course_Master'!I375)</x:f>
        <x:v>Benthuizen</x:v>
      </x:c>
      <x:c r="I375" s="28" t="str">
        <x:f>IF('Course_Master'!K375="","",'Course_Master'!K375)</x:f>
        <x:v>2731 LD</x:v>
      </x:c>
      <x:c r="J375" s="34" t="n">
        <x:f>IF('Course_Master'!L375="","",'Course_Master'!L375)</x:f>
        <x:v>52.07329494</x:v>
      </x:c>
      <x:c r="K375" s="34" t="n">
        <x:f>IF('Course_Master'!M375="","",'Course_Master'!M375)</x:f>
        <x:v>4.57204773</x:v>
      </x:c>
      <x:c r="L375" s="28" t="n">
        <x:f>IF('Course_Master'!S375="","",'Course_Master'!S375)</x:f>
        <x:v>9</x:v>
      </x:c>
      <x:c r="M375" s="28" t="n">
        <x:f>IF('Course_Master'!T375="","",'Course_Master'!T375)</x:f>
        <x:v>36</x:v>
      </x:c>
      <x:c r="N375" s="28" t="n">
        <x:f>IF('Course_Master'!Q375="","",'Course_Master'!Q375)</x:f>
        <x:v>3498</x:v>
      </x:c>
      <x:c r="O375" s="28" t="n">
        <x:f>IF('Course_Master'!R375="","",'Course_Master'!R375)</x:f>
        <x:v>3199</x:v>
      </x:c>
      <x:c r="P375" s="28" t="str">
        <x:f>IF('Course_Master'!U375="","",'Course_Master'!U375)</x:f>
        <x:v>Full-length course</x:v>
      </x:c>
      <x:c r="Q375" s="28" t="str">
        <x:f>IF('Course_Master'!AD375="","",'Course_Master'!AD375)</x:f>
        <x:v>Public — handicap 54 or lower</x:v>
      </x:c>
      <x:c r="R375" s="28" t="str">
        <x:f>IF('Course_Master'!AC375="","",'Course_Master'!AC375)</x:f>
        <x:v>Open</x:v>
      </x:c>
      <x:c r="S375" s="28" t="str">
        <x:f>IF('Course_Master'!Y375="","",'Course_Master'!Y375)</x:f>
        <x:v>https://www.golfbaanbentwoud.nl/</x:v>
      </x:c>
      <x:c r="T375" s="28" t="b">
        <x:f>IF('Course_Master'!Z375="","",'Course_Master'!Z375)</x:f>
        <x:v>1</x:v>
      </x:c>
      <x:c r="U375" s="28" t="b">
        <x:f>IF('Course_Master'!AA375="","",'Course_Master'!AA375)</x:f>
        <x:v>1</x:v>
      </x:c>
      <x:c r="V375" s="28" t="str">
        <x:f>IF('Course_Master'!AL375="","",'Course_Master'!AL375)</x:f>
        <x:v>Verified — national register and exact BAG address</x:v>
      </x:c>
    </x:row>
    <x:row r="376">
      <x:c r="A376" s="28" t="str">
        <x:f>IF('Course_Master'!B376="","",'Course_Master'!B376)</x:f>
        <x:v>NL-0375</x:v>
      </x:c>
      <x:c r="B376" s="28" t="str">
        <x:f>IF('Course_Master'!C376="","",'Course_Master'!C376)</x:f>
        <x:v>Golfbaan Catharinenburg — Main Course</x:v>
      </x:c>
      <x:c r="C376" s="28" t="str">
        <x:f>IF('Course_Master'!D376="","",'Course_Master'!D376)</x:f>
        <x:v>Golfbaan Catharinenburg</x:v>
      </x:c>
      <x:c r="D376" s="28" t="str">
        <x:f>IF('Course_Master'!E376="","",'Course_Master'!E376)</x:f>
        <x:v>Main Course</x:v>
      </x:c>
      <x:c r="E376" s="28" t="str">
        <x:f>IF('Course_Master'!F376="","",'Course_Master'!F376)</x:f>
        <x:v>Netherlands</x:v>
      </x:c>
      <x:c r="F376" s="28" t="str">
        <x:f>IF('Course_Master'!G376="","",'Course_Master'!G376)</x:f>
        <x:v>Zuid-Holland</x:v>
      </x:c>
      <x:c r="G376" s="28" t="str">
        <x:f>IF('Course_Master'!H376="","",'Course_Master'!H376)</x:f>
        <x:v>Goeree-Overflakkee</x:v>
      </x:c>
      <x:c r="H376" s="28" t="str">
        <x:f>IF('Course_Master'!I376="","",'Course_Master'!I376)</x:f>
        <x:v>Melissant</x:v>
      </x:c>
      <x:c r="I376" s="28" t="str">
        <x:f>IF('Course_Master'!K376="","",'Course_Master'!K376)</x:f>
        <x:v>3248 LA</x:v>
      </x:c>
      <x:c r="J376" s="34" t="n">
        <x:f>IF('Course_Master'!L376="","",'Course_Master'!L376)</x:f>
        <x:v>51.7731428</x:v>
      </x:c>
      <x:c r="K376" s="34" t="n">
        <x:f>IF('Course_Master'!M376="","",'Course_Master'!M376)</x:f>
        <x:v>4.05748231</x:v>
      </x:c>
      <x:c r="L376" s="28" t="n">
        <x:f>IF('Course_Master'!S376="","",'Course_Master'!S376)</x:f>
        <x:v>18</x:v>
      </x:c>
      <x:c r="M376" s="28" t="n">
        <x:f>IF('Course_Master'!T376="","",'Course_Master'!T376)</x:f>
        <x:v>72</x:v>
      </x:c>
      <x:c r="N376" s="28" t="n">
        <x:f>IF('Course_Master'!Q376="","",'Course_Master'!Q376)</x:f>
        <x:v>6075</x:v>
      </x:c>
      <x:c r="O376" s="28" t="n">
        <x:f>IF('Course_Master'!R376="","",'Course_Master'!R376)</x:f>
        <x:v>5555</x:v>
      </x:c>
      <x:c r="P376" s="28" t="str">
        <x:f>IF('Course_Master'!U376="","",'Course_Master'!U376)</x:f>
        <x:v>Full-length course</x:v>
      </x:c>
      <x:c r="Q376" s="28" t="str">
        <x:f>IF('Course_Master'!AD376="","",'Course_Master'!AD376)</x:f>
        <x:v>Public — handicap 54 or lower</x:v>
      </x:c>
      <x:c r="R376" s="28" t="str">
        <x:f>IF('Course_Master'!AC376="","",'Course_Master'!AC376)</x:f>
        <x:v>Open</x:v>
      </x:c>
      <x:c r="S376" s="28" t="str">
        <x:f>IF('Course_Master'!Y376="","",'Course_Master'!Y376)</x:f>
        <x:v>https://www.catharinenburg.nl/</x:v>
      </x:c>
      <x:c r="T376" s="28" t="b">
        <x:f>IF('Course_Master'!Z376="","",'Course_Master'!Z376)</x:f>
        <x:v>1</x:v>
      </x:c>
      <x:c r="U376" s="28" t="b">
        <x:f>IF('Course_Master'!AA376="","",'Course_Master'!AA376)</x:f>
        <x:v>1</x:v>
      </x:c>
      <x:c r="V376" s="28" t="str">
        <x:f>IF('Course_Master'!AL376="","",'Course_Master'!AL376)</x:f>
        <x:v>Verified — national register and exact BAG address</x:v>
      </x:c>
    </x:row>
    <x:row r="377">
      <x:c r="A377" s="28" t="str">
        <x:f>IF('Course_Master'!B377="","",'Course_Master'!B377)</x:f>
        <x:v>NL-0376</x:v>
      </x:c>
      <x:c r="B377" s="28" t="str">
        <x:f>IF('Course_Master'!C377="","",'Course_Master'!C377)</x:f>
        <x:v>Golfbaan Catharinenburg — Par-3 Course</x:v>
      </x:c>
      <x:c r="C377" s="28" t="str">
        <x:f>IF('Course_Master'!D377="","",'Course_Master'!D377)</x:f>
        <x:v>Golfbaan Catharinenburg</x:v>
      </x:c>
      <x:c r="D377" s="28" t="str">
        <x:f>IF('Course_Master'!E377="","",'Course_Master'!E377)</x:f>
        <x:v>Par-3 Course</x:v>
      </x:c>
      <x:c r="E377" s="28" t="str">
        <x:f>IF('Course_Master'!F377="","",'Course_Master'!F377)</x:f>
        <x:v>Netherlands</x:v>
      </x:c>
      <x:c r="F377" s="28" t="str">
        <x:f>IF('Course_Master'!G377="","",'Course_Master'!G377)</x:f>
        <x:v>Zuid-Holland</x:v>
      </x:c>
      <x:c r="G377" s="28" t="str">
        <x:f>IF('Course_Master'!H377="","",'Course_Master'!H377)</x:f>
        <x:v>Goeree-Overflakkee</x:v>
      </x:c>
      <x:c r="H377" s="28" t="str">
        <x:f>IF('Course_Master'!I377="","",'Course_Master'!I377)</x:f>
        <x:v>Melissant</x:v>
      </x:c>
      <x:c r="I377" s="28" t="str">
        <x:f>IF('Course_Master'!K377="","",'Course_Master'!K377)</x:f>
        <x:v>3248 LA</x:v>
      </x:c>
      <x:c r="J377" s="34" t="n">
        <x:f>IF('Course_Master'!L377="","",'Course_Master'!L377)</x:f>
        <x:v>51.7731428</x:v>
      </x:c>
      <x:c r="K377" s="34" t="n">
        <x:f>IF('Course_Master'!M377="","",'Course_Master'!M377)</x:f>
        <x:v>4.05748231</x:v>
      </x:c>
      <x:c r="L377" s="28" t="n">
        <x:f>IF('Course_Master'!S377="","",'Course_Master'!S377)</x:f>
        <x:v>18</x:v>
      </x:c>
      <x:c r="M377" s="28" t="n">
        <x:f>IF('Course_Master'!T377="","",'Course_Master'!T377)</x:f>
        <x:v>54</x:v>
      </x:c>
      <x:c r="N377" s="28" t="n">
        <x:f>IF('Course_Master'!Q377="","",'Course_Master'!Q377)</x:f>
        <x:v>2558</x:v>
      </x:c>
      <x:c r="O377" s="28" t="n">
        <x:f>IF('Course_Master'!R377="","",'Course_Master'!R377)</x:f>
        <x:v>2339</x:v>
      </x:c>
      <x:c r="P377" s="28" t="str">
        <x:f>IF('Course_Master'!U377="","",'Course_Master'!U377)</x:f>
        <x:v>Par-3 course</x:v>
      </x:c>
      <x:c r="Q377" s="28" t="str">
        <x:f>IF('Course_Master'!AD377="","",'Course_Master'!AD377)</x:f>
        <x:v>Public — NGF course permission</x:v>
      </x:c>
      <x:c r="R377" s="28" t="str">
        <x:f>IF('Course_Master'!AC377="","",'Course_Master'!AC377)</x:f>
        <x:v>Open</x:v>
      </x:c>
      <x:c r="S377" s="28" t="str">
        <x:f>IF('Course_Master'!Y377="","",'Course_Master'!Y377)</x:f>
        <x:v>https://www.catharinenburg.nl/</x:v>
      </x:c>
      <x:c r="T377" s="28" t="b">
        <x:f>IF('Course_Master'!Z377="","",'Course_Master'!Z377)</x:f>
        <x:v>1</x:v>
      </x:c>
      <x:c r="U377" s="28" t="b">
        <x:f>IF('Course_Master'!AA377="","",'Course_Master'!AA377)</x:f>
        <x:v>1</x:v>
      </x:c>
      <x:c r="V377" s="28" t="str">
        <x:f>IF('Course_Master'!AL377="","",'Course_Master'!AL377)</x:f>
        <x:v>Verified — national register and exact BAG address</x:v>
      </x:c>
    </x:row>
    <x:row r="378">
      <x:c r="A378" s="28" t="str">
        <x:f>IF('Course_Master'!B378="","",'Course_Master'!B378)</x:f>
        <x:v>NL-0377</x:v>
      </x:c>
      <x:c r="B378" s="28" t="str">
        <x:f>IF('Course_Master'!C378="","",'Course_Master'!C378)</x:f>
        <x:v>Golfbaan Crimpenerhout</x:v>
      </x:c>
      <x:c r="C378" s="28" t="str">
        <x:f>IF('Course_Master'!D378="","",'Course_Master'!D378)</x:f>
        <x:v>Golfbaan Crimpenerhout</x:v>
      </x:c>
      <x:c r="D378" s="28" t="str">
        <x:f>IF('Course_Master'!E378="","",'Course_Master'!E378)</x:f>
        <x:v>Course</x:v>
      </x:c>
      <x:c r="E378" s="28" t="str">
        <x:f>IF('Course_Master'!F378="","",'Course_Master'!F378)</x:f>
        <x:v>Netherlands</x:v>
      </x:c>
      <x:c r="F378" s="28" t="str">
        <x:f>IF('Course_Master'!G378="","",'Course_Master'!G378)</x:f>
        <x:v>Zuid-Holland</x:v>
      </x:c>
      <x:c r="G378" s="28" t="str">
        <x:f>IF('Course_Master'!H378="","",'Course_Master'!H378)</x:f>
        <x:v>Krimpenerwaard</x:v>
      </x:c>
      <x:c r="H378" s="28" t="str">
        <x:f>IF('Course_Master'!I378="","",'Course_Master'!I378)</x:f>
        <x:v>Krimpen aan de Lek</x:v>
      </x:c>
      <x:c r="I378" s="28" t="str">
        <x:f>IF('Course_Master'!K378="","",'Course_Master'!K378)</x:f>
        <x:v>2931 LK</x:v>
      </x:c>
      <x:c r="J378" s="34" t="n">
        <x:f>IF('Course_Master'!L378="","",'Course_Master'!L378)</x:f>
        <x:v>51.90572567</x:v>
      </x:c>
      <x:c r="K378" s="34" t="n">
        <x:f>IF('Course_Master'!M378="","",'Course_Master'!M378)</x:f>
        <x:v>4.62097265</x:v>
      </x:c>
      <x:c r="L378" s="28" t="n">
        <x:f>IF('Course_Master'!S378="","",'Course_Master'!S378)</x:f>
        <x:v>9</x:v>
      </x:c>
      <x:c r="M378" s="28" t="n">
        <x:f>IF('Course_Master'!T378="","",'Course_Master'!T378)</x:f>
        <x:v>33</x:v>
      </x:c>
      <x:c r="N378" s="28" t="n">
        <x:f>IF('Course_Master'!Q378="","",'Course_Master'!Q378)</x:f>
        <x:v>2479</x:v>
      </x:c>
      <x:c r="O378" s="28" t="n">
        <x:f>IF('Course_Master'!R378="","",'Course_Master'!R378)</x:f>
        <x:v>2267</x:v>
      </x:c>
      <x:c r="P378" s="28" t="str">
        <x:f>IF('Course_Master'!U378="","",'Course_Master'!U378)</x:f>
        <x:v>Full-length course</x:v>
      </x:c>
      <x:c r="Q378" s="28" t="str">
        <x:f>IF('Course_Master'!AD378="","",'Course_Master'!AD378)</x:f>
        <x:v>Public — NGF course permission</x:v>
      </x:c>
      <x:c r="R378" s="28" t="str">
        <x:f>IF('Course_Master'!AC378="","",'Course_Master'!AC378)</x:f>
        <x:v>Open</x:v>
      </x:c>
      <x:c r="S378" s="28" t="str">
        <x:f>IF('Course_Master'!Y378="","",'Course_Master'!Y378)</x:f>
        <x:v>https://www.golfbaancrimpenerhout.nl/</x:v>
      </x:c>
      <x:c r="T378" s="28" t="b">
        <x:f>IF('Course_Master'!Z378="","",'Course_Master'!Z378)</x:f>
        <x:v>1</x:v>
      </x:c>
      <x:c r="U378" s="28" t="b">
        <x:f>IF('Course_Master'!AA378="","",'Course_Master'!AA378)</x:f>
        <x:v>1</x:v>
      </x:c>
      <x:c r="V378" s="28" t="str">
        <x:f>IF('Course_Master'!AL378="","",'Course_Master'!AL378)</x:f>
        <x:v>Verified — national register and exact BAG address</x:v>
      </x:c>
    </x:row>
    <x:row r="379">
      <x:c r="A379" s="28" t="str">
        <x:f>IF('Course_Master'!B379="","",'Course_Master'!B379)</x:f>
        <x:v>NL-0378</x:v>
      </x:c>
      <x:c r="B379" s="28" t="str">
        <x:f>IF('Course_Master'!C379="","",'Course_Master'!C379)</x:f>
        <x:v>Golfbaan De Hooge Rotterdamsche — Main Course</x:v>
      </x:c>
      <x:c r="C379" s="28" t="str">
        <x:f>IF('Course_Master'!D379="","",'Course_Master'!D379)</x:f>
        <x:v>Golfbaan De Hooge Rotterdamsche</x:v>
      </x:c>
      <x:c r="D379" s="28" t="str">
        <x:f>IF('Course_Master'!E379="","",'Course_Master'!E379)</x:f>
        <x:v>Main Course</x:v>
      </x:c>
      <x:c r="E379" s="28" t="str">
        <x:f>IF('Course_Master'!F379="","",'Course_Master'!F379)</x:f>
        <x:v>Netherlands</x:v>
      </x:c>
      <x:c r="F379" s="28" t="str">
        <x:f>IF('Course_Master'!G379="","",'Course_Master'!G379)</x:f>
        <x:v>Zuid-Holland</x:v>
      </x:c>
      <x:c r="G379" s="28" t="str">
        <x:f>IF('Course_Master'!H379="","",'Course_Master'!H379)</x:f>
        <x:v>Lansingerland</x:v>
      </x:c>
      <x:c r="H379" s="28" t="str">
        <x:f>IF('Course_Master'!I379="","",'Course_Master'!I379)</x:f>
        <x:v>Bergschenhoek</x:v>
      </x:c>
      <x:c r="I379" s="28" t="str">
        <x:f>IF('Course_Master'!K379="","",'Course_Master'!K379)</x:f>
        <x:v>2661 JK</x:v>
      </x:c>
      <x:c r="J379" s="34" t="n">
        <x:f>IF('Course_Master'!L379="","",'Course_Master'!L379)</x:f>
        <x:v>51.97062637</x:v>
      </x:c>
      <x:c r="K379" s="34" t="n">
        <x:f>IF('Course_Master'!M379="","",'Course_Master'!M379)</x:f>
        <x:v>4.52514584</x:v>
      </x:c>
      <x:c r="L379" s="28" t="n">
        <x:f>IF('Course_Master'!S379="","",'Course_Master'!S379)</x:f>
        <x:v>18</x:v>
      </x:c>
      <x:c r="M379" s="28" t="n">
        <x:f>IF('Course_Master'!T379="","",'Course_Master'!T379)</x:f>
        <x:v>71</x:v>
      </x:c>
      <x:c r="N379" s="28" t="n">
        <x:f>IF('Course_Master'!Q379="","",'Course_Master'!Q379)</x:f>
        <x:v>6185</x:v>
      </x:c>
      <x:c r="O379" s="28" t="n">
        <x:f>IF('Course_Master'!R379="","",'Course_Master'!R379)</x:f>
        <x:v>5656</x:v>
      </x:c>
      <x:c r="P379" s="28" t="str">
        <x:f>IF('Course_Master'!U379="","",'Course_Master'!U379)</x:f>
        <x:v>Full-length course</x:v>
      </x:c>
      <x:c r="Q379" s="28" t="str">
        <x:f>IF('Course_Master'!AD379="","",'Course_Master'!AD379)</x:f>
        <x:v>Public — handicap 54 or lower</x:v>
      </x:c>
      <x:c r="R379" s="28" t="str">
        <x:f>IF('Course_Master'!AC379="","",'Course_Master'!AC379)</x:f>
        <x:v>Open</x:v>
      </x:c>
      <x:c r="S379" s="28" t="str">
        <x:f>IF('Course_Master'!Y379="","",'Course_Master'!Y379)</x:f>
        <x:v>https://www.dehoogerotterdamsche.nl/</x:v>
      </x:c>
      <x:c r="T379" s="28" t="b">
        <x:f>IF('Course_Master'!Z379="","",'Course_Master'!Z379)</x:f>
        <x:v>1</x:v>
      </x:c>
      <x:c r="U379" s="28" t="b">
        <x:f>IF('Course_Master'!AA379="","",'Course_Master'!AA379)</x:f>
        <x:v>1</x:v>
      </x:c>
      <x:c r="V379" s="28" t="str">
        <x:f>IF('Course_Master'!AL379="","",'Course_Master'!AL379)</x:f>
        <x:v>Verified — national register and exact BAG address</x:v>
      </x:c>
    </x:row>
    <x:row r="380">
      <x:c r="A380" s="28" t="str">
        <x:f>IF('Course_Master'!B380="","",'Course_Master'!B380)</x:f>
        <x:v>NL-0379</x:v>
      </x:c>
      <x:c r="B380" s="28" t="str">
        <x:f>IF('Course_Master'!C380="","",'Course_Master'!C380)</x:f>
        <x:v>Golfbaan Delfland — Blauw</x:v>
      </x:c>
      <x:c r="C380" s="28" t="str">
        <x:f>IF('Course_Master'!D380="","",'Course_Master'!D380)</x:f>
        <x:v>Golfbaan Delfland</x:v>
      </x:c>
      <x:c r="D380" s="28" t="str">
        <x:f>IF('Course_Master'!E380="","",'Course_Master'!E380)</x:f>
        <x:v>Blauw</x:v>
      </x:c>
      <x:c r="E380" s="28" t="str">
        <x:f>IF('Course_Master'!F380="","",'Course_Master'!F380)</x:f>
        <x:v>Netherlands</x:v>
      </x:c>
      <x:c r="F380" s="28" t="str">
        <x:f>IF('Course_Master'!G380="","",'Course_Master'!G380)</x:f>
        <x:v>Zuid-Holland</x:v>
      </x:c>
      <x:c r="G380" s="28" t="str">
        <x:f>IF('Course_Master'!H380="","",'Course_Master'!H380)</x:f>
        <x:v>Midden-Delfland</x:v>
      </x:c>
      <x:c r="H380" s="28" t="str">
        <x:f>IF('Course_Master'!I380="","",'Course_Master'!I380)</x:f>
        <x:v>Schipluiden</x:v>
      </x:c>
      <x:c r="I380" s="28" t="str">
        <x:f>IF('Course_Master'!K380="","",'Course_Master'!K380)</x:f>
        <x:v>2636 HZ</x:v>
      </x:c>
      <x:c r="J380" s="34" t="n">
        <x:f>IF('Course_Master'!L380="","",'Course_Master'!L380)</x:f>
        <x:v>51.97914833</x:v>
      </x:c>
      <x:c r="K380" s="34" t="n">
        <x:f>IF('Course_Master'!M380="","",'Course_Master'!M380)</x:f>
        <x:v>4.32816793</x:v>
      </x:c>
      <x:c r="L380" s="28" t="n">
        <x:f>IF('Course_Master'!S380="","",'Course_Master'!S380)</x:f>
        <x:v>9</x:v>
      </x:c>
      <x:c r="M380" s="28" t="n">
        <x:f>IF('Course_Master'!T380="","",'Course_Master'!T380)</x:f>
        <x:v>37</x:v>
      </x:c>
      <x:c r="N380" s="28" t="n">
        <x:f>IF('Course_Master'!Q380="","",'Course_Master'!Q380)</x:f>
        <x:v>3407</x:v>
      </x:c>
      <x:c r="O380" s="28" t="n">
        <x:f>IF('Course_Master'!R380="","",'Course_Master'!R380)</x:f>
        <x:v>3115</x:v>
      </x:c>
      <x:c r="P380" s="28" t="str">
        <x:f>IF('Course_Master'!U380="","",'Course_Master'!U380)</x:f>
        <x:v>Full-length course</x:v>
      </x:c>
      <x:c r="Q380" s="28" t="str">
        <x:f>IF('Course_Master'!AD380="","",'Course_Master'!AD380)</x:f>
        <x:v>Public — handicap 54 or lower</x:v>
      </x:c>
      <x:c r="R380" s="28" t="str">
        <x:f>IF('Course_Master'!AC380="","",'Course_Master'!AC380)</x:f>
        <x:v>Open</x:v>
      </x:c>
      <x:c r="S380" s="28" t="str">
        <x:f>IF('Course_Master'!Y380="","",'Course_Master'!Y380)</x:f>
        <x:v>https://delflandgolf.nl/</x:v>
      </x:c>
      <x:c r="T380" s="28" t="b">
        <x:f>IF('Course_Master'!Z380="","",'Course_Master'!Z380)</x:f>
        <x:v>1</x:v>
      </x:c>
      <x:c r="U380" s="28" t="b">
        <x:f>IF('Course_Master'!AA380="","",'Course_Master'!AA380)</x:f>
        <x:v>1</x:v>
      </x:c>
      <x:c r="V380" s="28" t="str">
        <x:f>IF('Course_Master'!AL380="","",'Course_Master'!AL380)</x:f>
        <x:v>Verified — national register and exact BAG address</x:v>
      </x:c>
    </x:row>
    <x:row r="381">
      <x:c r="A381" s="28" t="str">
        <x:f>IF('Course_Master'!B381="","",'Course_Master'!B381)</x:f>
        <x:v>NL-0380</x:v>
      </x:c>
      <x:c r="B381" s="28" t="str">
        <x:f>IF('Course_Master'!C381="","",'Course_Master'!C381)</x:f>
        <x:v>Golfbaan Delfland — Geel</x:v>
      </x:c>
      <x:c r="C381" s="28" t="str">
        <x:f>IF('Course_Master'!D381="","",'Course_Master'!D381)</x:f>
        <x:v>Golfbaan Delfland</x:v>
      </x:c>
      <x:c r="D381" s="28" t="str">
        <x:f>IF('Course_Master'!E381="","",'Course_Master'!E381)</x:f>
        <x:v>Geel</x:v>
      </x:c>
      <x:c r="E381" s="28" t="str">
        <x:f>IF('Course_Master'!F381="","",'Course_Master'!F381)</x:f>
        <x:v>Netherlands</x:v>
      </x:c>
      <x:c r="F381" s="28" t="str">
        <x:f>IF('Course_Master'!G381="","",'Course_Master'!G381)</x:f>
        <x:v>Zuid-Holland</x:v>
      </x:c>
      <x:c r="G381" s="28" t="str">
        <x:f>IF('Course_Master'!H381="","",'Course_Master'!H381)</x:f>
        <x:v>Midden-Delfland</x:v>
      </x:c>
      <x:c r="H381" s="28" t="str">
        <x:f>IF('Course_Master'!I381="","",'Course_Master'!I381)</x:f>
        <x:v>Schipluiden</x:v>
      </x:c>
      <x:c r="I381" s="28" t="str">
        <x:f>IF('Course_Master'!K381="","",'Course_Master'!K381)</x:f>
        <x:v>2636 HZ</x:v>
      </x:c>
      <x:c r="J381" s="34" t="n">
        <x:f>IF('Course_Master'!L381="","",'Course_Master'!L381)</x:f>
        <x:v>51.97914833</x:v>
      </x:c>
      <x:c r="K381" s="34" t="n">
        <x:f>IF('Course_Master'!M381="","",'Course_Master'!M381)</x:f>
        <x:v>4.32816793</x:v>
      </x:c>
      <x:c r="L381" s="28" t="n">
        <x:f>IF('Course_Master'!S381="","",'Course_Master'!S381)</x:f>
        <x:v>9</x:v>
      </x:c>
      <x:c r="M381" s="28" t="n">
        <x:f>IF('Course_Master'!T381="","",'Course_Master'!T381)</x:f>
        <x:v>36</x:v>
      </x:c>
      <x:c r="N381" s="28" t="n">
        <x:f>IF('Course_Master'!Q381="","",'Course_Master'!Q381)</x:f>
        <x:v>3253</x:v>
      </x:c>
      <x:c r="O381" s="28" t="n">
        <x:f>IF('Course_Master'!R381="","",'Course_Master'!R381)</x:f>
        <x:v>2975</x:v>
      </x:c>
      <x:c r="P381" s="28" t="str">
        <x:f>IF('Course_Master'!U381="","",'Course_Master'!U381)</x:f>
        <x:v>Full-length course</x:v>
      </x:c>
      <x:c r="Q381" s="28" t="str">
        <x:f>IF('Course_Master'!AD381="","",'Course_Master'!AD381)</x:f>
        <x:v>Public — handicap 54 or lower</x:v>
      </x:c>
      <x:c r="R381" s="28" t="str">
        <x:f>IF('Course_Master'!AC381="","",'Course_Master'!AC381)</x:f>
        <x:v>Open</x:v>
      </x:c>
      <x:c r="S381" s="28" t="str">
        <x:f>IF('Course_Master'!Y381="","",'Course_Master'!Y381)</x:f>
        <x:v>https://delflandgolf.nl/</x:v>
      </x:c>
      <x:c r="T381" s="28" t="b">
        <x:f>IF('Course_Master'!Z381="","",'Course_Master'!Z381)</x:f>
        <x:v>1</x:v>
      </x:c>
      <x:c r="U381" s="28" t="b">
        <x:f>IF('Course_Master'!AA381="","",'Course_Master'!AA381)</x:f>
        <x:v>1</x:v>
      </x:c>
      <x:c r="V381" s="28" t="str">
        <x:f>IF('Course_Master'!AL381="","",'Course_Master'!AL381)</x:f>
        <x:v>Verified — national register and exact BAG address</x:v>
      </x:c>
    </x:row>
    <x:row r="382">
      <x:c r="A382" s="28" t="str">
        <x:f>IF('Course_Master'!B382="","",'Course_Master'!B382)</x:f>
        <x:v>NL-0381</x:v>
      </x:c>
      <x:c r="B382" s="28" t="str">
        <x:f>IF('Course_Master'!C382="","",'Course_Master'!C382)</x:f>
        <x:v>Golfbaan Delfland — Par-3 Course</x:v>
      </x:c>
      <x:c r="C382" s="28" t="str">
        <x:f>IF('Course_Master'!D382="","",'Course_Master'!D382)</x:f>
        <x:v>Golfbaan Delfland</x:v>
      </x:c>
      <x:c r="D382" s="28" t="str">
        <x:f>IF('Course_Master'!E382="","",'Course_Master'!E382)</x:f>
        <x:v>Par-3 Course</x:v>
      </x:c>
      <x:c r="E382" s="28" t="str">
        <x:f>IF('Course_Master'!F382="","",'Course_Master'!F382)</x:f>
        <x:v>Netherlands</x:v>
      </x:c>
      <x:c r="F382" s="28" t="str">
        <x:f>IF('Course_Master'!G382="","",'Course_Master'!G382)</x:f>
        <x:v>Zuid-Holland</x:v>
      </x:c>
      <x:c r="G382" s="28" t="str">
        <x:f>IF('Course_Master'!H382="","",'Course_Master'!H382)</x:f>
        <x:v>Midden-Delfland</x:v>
      </x:c>
      <x:c r="H382" s="28" t="str">
        <x:f>IF('Course_Master'!I382="","",'Course_Master'!I382)</x:f>
        <x:v>Schipluiden</x:v>
      </x:c>
      <x:c r="I382" s="28" t="str">
        <x:f>IF('Course_Master'!K382="","",'Course_Master'!K382)</x:f>
        <x:v>2636 HZ</x:v>
      </x:c>
      <x:c r="J382" s="34" t="n">
        <x:f>IF('Course_Master'!L382="","",'Course_Master'!L382)</x:f>
        <x:v>51.97914833</x:v>
      </x:c>
      <x:c r="K382" s="34" t="n">
        <x:f>IF('Course_Master'!M382="","",'Course_Master'!M382)</x:f>
        <x:v>4.32816793</x:v>
      </x:c>
      <x:c r="L382" s="28" t="n">
        <x:f>IF('Course_Master'!S382="","",'Course_Master'!S382)</x:f>
        <x:v>9</x:v>
      </x:c>
      <x:c r="M382" s="28" t="n">
        <x:f>IF('Course_Master'!T382="","",'Course_Master'!T382)</x:f>
        <x:v>27</x:v>
      </x:c>
      <x:c r="N382" s="28" t="n">
        <x:f>IF('Course_Master'!Q382="","",'Course_Master'!Q382)</x:f>
        <x:v>1024</x:v>
      </x:c>
      <x:c r="O382" s="28" t="n">
        <x:f>IF('Course_Master'!R382="","",'Course_Master'!R382)</x:f>
        <x:v>936</x:v>
      </x:c>
      <x:c r="P382" s="28" t="str">
        <x:f>IF('Course_Master'!U382="","",'Course_Master'!U382)</x:f>
        <x:v>Par-3 course</x:v>
      </x:c>
      <x:c r="Q382" s="28" t="str">
        <x:f>IF('Course_Master'!AD382="","",'Course_Master'!AD382)</x:f>
        <x:v>Public — NGF course permission</x:v>
      </x:c>
      <x:c r="R382" s="28" t="str">
        <x:f>IF('Course_Master'!AC382="","",'Course_Master'!AC382)</x:f>
        <x:v>Open</x:v>
      </x:c>
      <x:c r="S382" s="28" t="str">
        <x:f>IF('Course_Master'!Y382="","",'Course_Master'!Y382)</x:f>
        <x:v>https://delflandgolf.nl/</x:v>
      </x:c>
      <x:c r="T382" s="28" t="b">
        <x:f>IF('Course_Master'!Z382="","",'Course_Master'!Z382)</x:f>
        <x:v>1</x:v>
      </x:c>
      <x:c r="U382" s="28" t="b">
        <x:f>IF('Course_Master'!AA382="","",'Course_Master'!AA382)</x:f>
        <x:v>1</x:v>
      </x:c>
      <x:c r="V382" s="28" t="str">
        <x:f>IF('Course_Master'!AL382="","",'Course_Master'!AL382)</x:f>
        <x:v>Verified — national register and exact BAG address</x:v>
      </x:c>
    </x:row>
    <x:row r="383">
      <x:c r="A383" s="28" t="str">
        <x:f>IF('Course_Master'!B383="","",'Course_Master'!B383)</x:f>
        <x:v>NL-0382</x:v>
      </x:c>
      <x:c r="B383" s="28" t="str">
        <x:f>IF('Course_Master'!C383="","",'Course_Master'!C383)</x:f>
        <x:v>Golfbaan Delfland — Rood</x:v>
      </x:c>
      <x:c r="C383" s="28" t="str">
        <x:f>IF('Course_Master'!D383="","",'Course_Master'!D383)</x:f>
        <x:v>Golfbaan Delfland</x:v>
      </x:c>
      <x:c r="D383" s="28" t="str">
        <x:f>IF('Course_Master'!E383="","",'Course_Master'!E383)</x:f>
        <x:v>Rood</x:v>
      </x:c>
      <x:c r="E383" s="28" t="str">
        <x:f>IF('Course_Master'!F383="","",'Course_Master'!F383)</x:f>
        <x:v>Netherlands</x:v>
      </x:c>
      <x:c r="F383" s="28" t="str">
        <x:f>IF('Course_Master'!G383="","",'Course_Master'!G383)</x:f>
        <x:v>Zuid-Holland</x:v>
      </x:c>
      <x:c r="G383" s="28" t="str">
        <x:f>IF('Course_Master'!H383="","",'Course_Master'!H383)</x:f>
        <x:v>Midden-Delfland</x:v>
      </x:c>
      <x:c r="H383" s="28" t="str">
        <x:f>IF('Course_Master'!I383="","",'Course_Master'!I383)</x:f>
        <x:v>Schipluiden</x:v>
      </x:c>
      <x:c r="I383" s="28" t="str">
        <x:f>IF('Course_Master'!K383="","",'Course_Master'!K383)</x:f>
        <x:v>2636 HZ</x:v>
      </x:c>
      <x:c r="J383" s="34" t="n">
        <x:f>IF('Course_Master'!L383="","",'Course_Master'!L383)</x:f>
        <x:v>51.97914833</x:v>
      </x:c>
      <x:c r="K383" s="34" t="n">
        <x:f>IF('Course_Master'!M383="","",'Course_Master'!M383)</x:f>
        <x:v>4.32816793</x:v>
      </x:c>
      <x:c r="L383" s="28" t="n">
        <x:f>IF('Course_Master'!S383="","",'Course_Master'!S383)</x:f>
        <x:v>9</x:v>
      </x:c>
      <x:c r="M383" s="28" t="n">
        <x:f>IF('Course_Master'!T383="","",'Course_Master'!T383)</x:f>
        <x:v>36</x:v>
      </x:c>
      <x:c r="N383" s="28" t="n">
        <x:f>IF('Course_Master'!Q383="","",'Course_Master'!Q383)</x:f>
        <x:v>3241</x:v>
      </x:c>
      <x:c r="O383" s="28" t="n">
        <x:f>IF('Course_Master'!R383="","",'Course_Master'!R383)</x:f>
        <x:v>2964</x:v>
      </x:c>
      <x:c r="P383" s="28" t="str">
        <x:f>IF('Course_Master'!U383="","",'Course_Master'!U383)</x:f>
        <x:v>Full-length course</x:v>
      </x:c>
      <x:c r="Q383" s="28" t="str">
        <x:f>IF('Course_Master'!AD383="","",'Course_Master'!AD383)</x:f>
        <x:v>Public — handicap 54 or lower</x:v>
      </x:c>
      <x:c r="R383" s="28" t="str">
        <x:f>IF('Course_Master'!AC383="","",'Course_Master'!AC383)</x:f>
        <x:v>Open</x:v>
      </x:c>
      <x:c r="S383" s="28" t="str">
        <x:f>IF('Course_Master'!Y383="","",'Course_Master'!Y383)</x:f>
        <x:v>https://delflandgolf.nl/</x:v>
      </x:c>
      <x:c r="T383" s="28" t="b">
        <x:f>IF('Course_Master'!Z383="","",'Course_Master'!Z383)</x:f>
        <x:v>1</x:v>
      </x:c>
      <x:c r="U383" s="28" t="b">
        <x:f>IF('Course_Master'!AA383="","",'Course_Master'!AA383)</x:f>
        <x:v>1</x:v>
      </x:c>
      <x:c r="V383" s="28" t="str">
        <x:f>IF('Course_Master'!AL383="","",'Course_Master'!AL383)</x:f>
        <x:v>Verified — national register and exact BAG address</x:v>
      </x:c>
    </x:row>
    <x:row r="384">
      <x:c r="A384" s="28" t="str">
        <x:f>IF('Course_Master'!B384="","",'Course_Master'!B384)</x:f>
        <x:v>NL-0383</x:v>
      </x:c>
      <x:c r="B384" s="28" t="str">
        <x:f>IF('Course_Master'!C384="","",'Course_Master'!C384)</x:f>
        <x:v>Golfbaan Het Wedde</x:v>
      </x:c>
      <x:c r="C384" s="28" t="str">
        <x:f>IF('Course_Master'!D384="","",'Course_Master'!D384)</x:f>
        <x:v>Golfbaan Het Wedde</x:v>
      </x:c>
      <x:c r="D384" s="28" t="str">
        <x:f>IF('Course_Master'!E384="","",'Course_Master'!E384)</x:f>
        <x:v>Course</x:v>
      </x:c>
      <x:c r="E384" s="28" t="str">
        <x:f>IF('Course_Master'!F384="","",'Course_Master'!F384)</x:f>
        <x:v>Netherlands</x:v>
      </x:c>
      <x:c r="F384" s="28" t="str">
        <x:f>IF('Course_Master'!G384="","",'Course_Master'!G384)</x:f>
        <x:v>Zuid-Holland</x:v>
      </x:c>
      <x:c r="G384" s="28" t="str">
        <x:f>IF('Course_Master'!H384="","",'Course_Master'!H384)</x:f>
        <x:v>Voorschoten</x:v>
      </x:c>
      <x:c r="H384" s="28" t="str">
        <x:f>IF('Course_Master'!I384="","",'Course_Master'!I384)</x:f>
        <x:v>Voorschoten</x:v>
      </x:c>
      <x:c r="I384" s="28" t="str">
        <x:f>IF('Course_Master'!K384="","",'Course_Master'!K384)</x:f>
        <x:v>2253 CD</x:v>
      </x:c>
      <x:c r="J384" s="34" t="n">
        <x:f>IF('Course_Master'!L384="","",'Course_Master'!L384)</x:f>
        <x:v>52.13913409</x:v>
      </x:c>
      <x:c r="K384" s="34" t="n">
        <x:f>IF('Course_Master'!M384="","",'Course_Master'!M384)</x:f>
        <x:v>4.45192674</x:v>
      </x:c>
      <x:c r="L384" s="28" t="n">
        <x:f>IF('Course_Master'!S384="","",'Course_Master'!S384)</x:f>
        <x:v>9</x:v>
      </x:c>
      <x:c r="M384" s="28" t="n">
        <x:f>IF('Course_Master'!T384="","",'Course_Master'!T384)</x:f>
        <x:v>27</x:v>
      </x:c>
      <x:c r="N384" s="28" t="n">
        <x:f>IF('Course_Master'!Q384="","",'Course_Master'!Q384)</x:f>
        <x:v>908</x:v>
      </x:c>
      <x:c r="O384" s="28" t="n">
        <x:f>IF('Course_Master'!R384="","",'Course_Master'!R384)</x:f>
        <x:v>830</x:v>
      </x:c>
      <x:c r="P384" s="28" t="str">
        <x:f>IF('Course_Master'!U384="","",'Course_Master'!U384)</x:f>
        <x:v>Par-3 course</x:v>
      </x:c>
      <x:c r="Q384" s="28" t="str">
        <x:f>IF('Course_Master'!AD384="","",'Course_Master'!AD384)</x:f>
        <x:v>Public — handicap 54 or lower</x:v>
      </x:c>
      <x:c r="R384" s="28" t="str">
        <x:f>IF('Course_Master'!AC384="","",'Course_Master'!AC384)</x:f>
        <x:v>Open</x:v>
      </x:c>
      <x:c r="S384" s="28" t="str">
        <x:f>IF('Course_Master'!Y384="","",'Course_Master'!Y384)</x:f>
        <x:v>https://golfbaanhetwedde.sportfondsen.nl/</x:v>
      </x:c>
      <x:c r="T384" s="28" t="b">
        <x:f>IF('Course_Master'!Z384="","",'Course_Master'!Z384)</x:f>
        <x:v>1</x:v>
      </x:c>
      <x:c r="U384" s="28" t="b">
        <x:f>IF('Course_Master'!AA384="","",'Course_Master'!AA384)</x:f>
        <x:v>1</x:v>
      </x:c>
      <x:c r="V384" s="28" t="str">
        <x:f>IF('Course_Master'!AL384="","",'Course_Master'!AL384)</x:f>
        <x:v>Verified — national register and exact BAG address</x:v>
      </x:c>
    </x:row>
    <x:row r="385">
      <x:c r="A385" s="28" t="str">
        <x:f>IF('Course_Master'!B385="","",'Course_Master'!B385)</x:f>
        <x:v>NL-0384</x:v>
      </x:c>
      <x:c r="B385" s="28" t="str">
        <x:f>IF('Course_Master'!C385="","",'Course_Master'!C385)</x:f>
        <x:v>Golfbaan Hitland — Main Course</x:v>
      </x:c>
      <x:c r="C385" s="28" t="str">
        <x:f>IF('Course_Master'!D385="","",'Course_Master'!D385)</x:f>
        <x:v>Golfbaan Hitland</x:v>
      </x:c>
      <x:c r="D385" s="28" t="str">
        <x:f>IF('Course_Master'!E385="","",'Course_Master'!E385)</x:f>
        <x:v>Main Course</x:v>
      </x:c>
      <x:c r="E385" s="28" t="str">
        <x:f>IF('Course_Master'!F385="","",'Course_Master'!F385)</x:f>
        <x:v>Netherlands</x:v>
      </x:c>
      <x:c r="F385" s="28" t="str">
        <x:f>IF('Course_Master'!G385="","",'Course_Master'!G385)</x:f>
        <x:v>Zuid-Holland</x:v>
      </x:c>
      <x:c r="G385" s="28" t="str">
        <x:f>IF('Course_Master'!H385="","",'Course_Master'!H385)</x:f>
        <x:v>Zuidplas</x:v>
      </x:c>
      <x:c r="H385" s="28" t="str">
        <x:f>IF('Course_Master'!I385="","",'Course_Master'!I385)</x:f>
        <x:v>Nieuwerkerk aan den IJssel</x:v>
      </x:c>
      <x:c r="I385" s="28" t="str">
        <x:f>IF('Course_Master'!K385="","",'Course_Master'!K385)</x:f>
        <x:v>2911 BC</x:v>
      </x:c>
      <x:c r="J385" s="34" t="n">
        <x:f>IF('Course_Master'!L385="","",'Course_Master'!L385)</x:f>
        <x:v>51.94739998</x:v>
      </x:c>
      <x:c r="K385" s="34" t="n">
        <x:f>IF('Course_Master'!M385="","",'Course_Master'!M385)</x:f>
        <x:v>4.61303962</x:v>
      </x:c>
      <x:c r="L385" s="28" t="n">
        <x:f>IF('Course_Master'!S385="","",'Course_Master'!S385)</x:f>
        <x:v>18</x:v>
      </x:c>
      <x:c r="M385" s="28" t="n">
        <x:f>IF('Course_Master'!T385="","",'Course_Master'!T385)</x:f>
        <x:v>71</x:v>
      </x:c>
      <x:c r="N385" s="28" t="n">
        <x:f>IF('Course_Master'!Q385="","",'Course_Master'!Q385)</x:f>
        <x:v>6364</x:v>
      </x:c>
      <x:c r="O385" s="28" t="n">
        <x:f>IF('Course_Master'!R385="","",'Course_Master'!R385)</x:f>
        <x:v>5819</x:v>
      </x:c>
      <x:c r="P385" s="28" t="str">
        <x:f>IF('Course_Master'!U385="","",'Course_Master'!U385)</x:f>
        <x:v>Full-length course</x:v>
      </x:c>
      <x:c r="Q385" s="28" t="str">
        <x:f>IF('Course_Master'!AD385="","",'Course_Master'!AD385)</x:f>
        <x:v>Public — NGF course permission</x:v>
      </x:c>
      <x:c r="R385" s="28" t="str">
        <x:f>IF('Course_Master'!AC385="","",'Course_Master'!AC385)</x:f>
        <x:v>Open</x:v>
      </x:c>
      <x:c r="S385" s="28" t="str">
        <x:f>IF('Course_Master'!Y385="","",'Course_Master'!Y385)</x:f>
        <x:v>https://hitland.nl/</x:v>
      </x:c>
      <x:c r="T385" s="28" t="b">
        <x:f>IF('Course_Master'!Z385="","",'Course_Master'!Z385)</x:f>
        <x:v>1</x:v>
      </x:c>
      <x:c r="U385" s="28" t="b">
        <x:f>IF('Course_Master'!AA385="","",'Course_Master'!AA385)</x:f>
        <x:v>1</x:v>
      </x:c>
      <x:c r="V385" s="28" t="str">
        <x:f>IF('Course_Master'!AL385="","",'Course_Master'!AL385)</x:f>
        <x:v>Verified — national register and exact BAG address</x:v>
      </x:c>
    </x:row>
    <x:row r="386">
      <x:c r="A386" s="28" t="str">
        <x:f>IF('Course_Master'!B386="","",'Course_Master'!B386)</x:f>
        <x:v>NL-0385</x:v>
      </x:c>
      <x:c r="B386" s="28" t="str">
        <x:f>IF('Course_Master'!C386="","",'Course_Master'!C386)</x:f>
        <x:v>Golfbaan Hitland — Par-3 Course</x:v>
      </x:c>
      <x:c r="C386" s="28" t="str">
        <x:f>IF('Course_Master'!D386="","",'Course_Master'!D386)</x:f>
        <x:v>Golfbaan Hitland</x:v>
      </x:c>
      <x:c r="D386" s="28" t="str">
        <x:f>IF('Course_Master'!E386="","",'Course_Master'!E386)</x:f>
        <x:v>Par-3 Course</x:v>
      </x:c>
      <x:c r="E386" s="28" t="str">
        <x:f>IF('Course_Master'!F386="","",'Course_Master'!F386)</x:f>
        <x:v>Netherlands</x:v>
      </x:c>
      <x:c r="F386" s="28" t="str">
        <x:f>IF('Course_Master'!G386="","",'Course_Master'!G386)</x:f>
        <x:v>Zuid-Holland</x:v>
      </x:c>
      <x:c r="G386" s="28" t="str">
        <x:f>IF('Course_Master'!H386="","",'Course_Master'!H386)</x:f>
        <x:v>Zuidplas</x:v>
      </x:c>
      <x:c r="H386" s="28" t="str">
        <x:f>IF('Course_Master'!I386="","",'Course_Master'!I386)</x:f>
        <x:v>Nieuwerkerk aan den IJssel</x:v>
      </x:c>
      <x:c r="I386" s="28" t="str">
        <x:f>IF('Course_Master'!K386="","",'Course_Master'!K386)</x:f>
        <x:v>2911 BC</x:v>
      </x:c>
      <x:c r="J386" s="34" t="n">
        <x:f>IF('Course_Master'!L386="","",'Course_Master'!L386)</x:f>
        <x:v>51.94739998</x:v>
      </x:c>
      <x:c r="K386" s="34" t="n">
        <x:f>IF('Course_Master'!M386="","",'Course_Master'!M386)</x:f>
        <x:v>4.61303962</x:v>
      </x:c>
      <x:c r="L386" s="28" t="n">
        <x:f>IF('Course_Master'!S386="","",'Course_Master'!S386)</x:f>
        <x:v>9</x:v>
      </x:c>
      <x:c r="M386" s="28" t="n">
        <x:f>IF('Course_Master'!T386="","",'Course_Master'!T386)</x:f>
        <x:v>27</x:v>
      </x:c>
      <x:c r="N386" s="28" t="n">
        <x:f>IF('Course_Master'!Q386="","",'Course_Master'!Q386)</x:f>
        <x:v>932</x:v>
      </x:c>
      <x:c r="O386" s="28" t="n">
        <x:f>IF('Course_Master'!R386="","",'Course_Master'!R386)</x:f>
        <x:v>852</x:v>
      </x:c>
      <x:c r="P386" s="28" t="str">
        <x:f>IF('Course_Master'!U386="","",'Course_Master'!U386)</x:f>
        <x:v>Par-3 course</x:v>
      </x:c>
      <x:c r="Q386" s="28" t="str">
        <x:f>IF('Course_Master'!AD386="","",'Course_Master'!AD386)</x:f>
        <x:v>Public — NGF course permission</x:v>
      </x:c>
      <x:c r="R386" s="28" t="str">
        <x:f>IF('Course_Master'!AC386="","",'Course_Master'!AC386)</x:f>
        <x:v>Open</x:v>
      </x:c>
      <x:c r="S386" s="28" t="str">
        <x:f>IF('Course_Master'!Y386="","",'Course_Master'!Y386)</x:f>
        <x:v>https://hitland.nl/</x:v>
      </x:c>
      <x:c r="T386" s="28" t="b">
        <x:f>IF('Course_Master'!Z386="","",'Course_Master'!Z386)</x:f>
        <x:v>1</x:v>
      </x:c>
      <x:c r="U386" s="28" t="b">
        <x:f>IF('Course_Master'!AA386="","",'Course_Master'!AA386)</x:f>
        <x:v>1</x:v>
      </x:c>
      <x:c r="V386" s="28" t="str">
        <x:f>IF('Course_Master'!AL386="","",'Course_Master'!AL386)</x:f>
        <x:v>Verified — national register and exact BAG address</x:v>
      </x:c>
    </x:row>
    <x:row r="387">
      <x:c r="A387" s="28" t="str">
        <x:f>IF('Course_Master'!B387="","",'Course_Master'!B387)</x:f>
        <x:v>NL-0386</x:v>
      </x:c>
      <x:c r="B387" s="28" t="str">
        <x:f>IF('Course_Master'!C387="","",'Course_Master'!C387)</x:f>
        <x:v>Golfbaan Kralingen</x:v>
      </x:c>
      <x:c r="C387" s="28" t="str">
        <x:f>IF('Course_Master'!D387="","",'Course_Master'!D387)</x:f>
        <x:v>Golfbaan Kralingen</x:v>
      </x:c>
      <x:c r="D387" s="28" t="str">
        <x:f>IF('Course_Master'!E387="","",'Course_Master'!E387)</x:f>
        <x:v>Course</x:v>
      </x:c>
      <x:c r="E387" s="28" t="str">
        <x:f>IF('Course_Master'!F387="","",'Course_Master'!F387)</x:f>
        <x:v>Netherlands</x:v>
      </x:c>
      <x:c r="F387" s="28" t="str">
        <x:f>IF('Course_Master'!G387="","",'Course_Master'!G387)</x:f>
        <x:v>Zuid-Holland</x:v>
      </x:c>
      <x:c r="G387" s="28" t="str">
        <x:f>IF('Course_Master'!H387="","",'Course_Master'!H387)</x:f>
        <x:v>Rotterdam</x:v>
      </x:c>
      <x:c r="H387" s="28" t="str">
        <x:f>IF('Course_Master'!I387="","",'Course_Master'!I387)</x:f>
        <x:v>Rotterdam</x:v>
      </x:c>
      <x:c r="I387" s="28" t="str">
        <x:f>IF('Course_Master'!K387="","",'Course_Master'!K387)</x:f>
        <x:v>3062 CG</x:v>
      </x:c>
      <x:c r="J387" s="34" t="n">
        <x:f>IF('Course_Master'!L387="","",'Course_Master'!L387)</x:f>
        <x:v>51.92811464</x:v>
      </x:c>
      <x:c r="K387" s="34" t="n">
        <x:f>IF('Course_Master'!M387="","",'Course_Master'!M387)</x:f>
        <x:v>4.53366005</x:v>
      </x:c>
      <x:c r="L387" s="28" t="n">
        <x:f>IF('Course_Master'!S387="","",'Course_Master'!S387)</x:f>
        <x:v>9</x:v>
      </x:c>
      <x:c r="M387" s="28" t="n">
        <x:f>IF('Course_Master'!T387="","",'Course_Master'!T387)</x:f>
        <x:v>32</x:v>
      </x:c>
      <x:c r="N387" s="28" t="n">
        <x:f>IF('Course_Master'!Q387="","",'Course_Master'!Q387)</x:f>
        <x:v>2652</x:v>
      </x:c>
      <x:c r="O387" s="28" t="n">
        <x:f>IF('Course_Master'!R387="","",'Course_Master'!R387)</x:f>
        <x:v>2425</x:v>
      </x:c>
      <x:c r="P387" s="28" t="str">
        <x:f>IF('Course_Master'!U387="","",'Course_Master'!U387)</x:f>
        <x:v>Par-3/4 course</x:v>
      </x:c>
      <x:c r="Q387" s="28" t="str">
        <x:f>IF('Course_Master'!AD387="","",'Course_Master'!AD387)</x:f>
        <x:v>Public — handicap 54 or lower</x:v>
      </x:c>
      <x:c r="R387" s="28" t="str">
        <x:f>IF('Course_Master'!AC387="","",'Course_Master'!AC387)</x:f>
        <x:v>Open</x:v>
      </x:c>
      <x:c r="S387" s="28" t="str">
        <x:f>IF('Course_Master'!Y387="","",'Course_Master'!Y387)</x:f>
        <x:v>https://www.golfbaankralingen.nl/</x:v>
      </x:c>
      <x:c r="T387" s="28" t="b">
        <x:f>IF('Course_Master'!Z387="","",'Course_Master'!Z387)</x:f>
        <x:v>1</x:v>
      </x:c>
      <x:c r="U387" s="28" t="b">
        <x:f>IF('Course_Master'!AA387="","",'Course_Master'!AA387)</x:f>
        <x:v>1</x:v>
      </x:c>
      <x:c r="V387" s="28" t="str">
        <x:f>IF('Course_Master'!AL387="","",'Course_Master'!AL387)</x:f>
        <x:v>Verified — national register and exact BAG address</x:v>
      </x:c>
    </x:row>
    <x:row r="388">
      <x:c r="A388" s="28" t="str">
        <x:f>IF('Course_Master'!B388="","",'Course_Master'!B388)</x:f>
        <x:v>NL-0387</x:v>
      </x:c>
      <x:c r="B388" s="28" t="str">
        <x:f>IF('Course_Master'!C388="","",'Course_Master'!C388)</x:f>
        <x:v>Golfbaan Noordeloos</x:v>
      </x:c>
      <x:c r="C388" s="28" t="str">
        <x:f>IF('Course_Master'!D388="","",'Course_Master'!D388)</x:f>
        <x:v>Golfbaan Noordeloos</x:v>
      </x:c>
      <x:c r="D388" s="28" t="str">
        <x:f>IF('Course_Master'!E388="","",'Course_Master'!E388)</x:f>
        <x:v>Course</x:v>
      </x:c>
      <x:c r="E388" s="28" t="str">
        <x:f>IF('Course_Master'!F388="","",'Course_Master'!F388)</x:f>
        <x:v>Netherlands</x:v>
      </x:c>
      <x:c r="F388" s="28" t="str">
        <x:f>IF('Course_Master'!G388="","",'Course_Master'!G388)</x:f>
        <x:v>Zuid-Holland</x:v>
      </x:c>
      <x:c r="G388" s="28" t="str">
        <x:f>IF('Course_Master'!H388="","",'Course_Master'!H388)</x:f>
        <x:v>Molenlanden</x:v>
      </x:c>
      <x:c r="H388" s="28" t="str">
        <x:f>IF('Course_Master'!I388="","",'Course_Master'!I388)</x:f>
        <x:v>Noordeloos</x:v>
      </x:c>
      <x:c r="I388" s="28" t="str">
        <x:f>IF('Course_Master'!K388="","",'Course_Master'!K388)</x:f>
        <x:v>4225 PE</x:v>
      </x:c>
      <x:c r="J388" s="34" t="n">
        <x:f>IF('Course_Master'!L388="","",'Course_Master'!L388)</x:f>
        <x:v>51.89789047</x:v>
      </x:c>
      <x:c r="K388" s="34" t="n">
        <x:f>IF('Course_Master'!M388="","",'Course_Master'!M388)</x:f>
        <x:v>4.92711867</x:v>
      </x:c>
      <x:c r="L388" s="28" t="n">
        <x:f>IF('Course_Master'!S388="","",'Course_Master'!S388)</x:f>
        <x:v>9</x:v>
      </x:c>
      <x:c r="M388" s="28" t="n">
        <x:f>IF('Course_Master'!T388="","",'Course_Master'!T388)</x:f>
        <x:v>27</x:v>
      </x:c>
      <x:c r="N388" s="28" t="n">
        <x:f>IF('Course_Master'!Q388="","",'Course_Master'!Q388)</x:f>
        <x:v>774</x:v>
      </x:c>
      <x:c r="O388" s="28" t="n">
        <x:f>IF('Course_Master'!R388="","",'Course_Master'!R388)</x:f>
        <x:v>708</x:v>
      </x:c>
      <x:c r="P388" s="28" t="str">
        <x:f>IF('Course_Master'!U388="","",'Course_Master'!U388)</x:f>
        <x:v>Par-3 course</x:v>
      </x:c>
      <x:c r="Q388" s="28" t="str">
        <x:f>IF('Course_Master'!AD388="","",'Course_Master'!AD388)</x:f>
        <x:v>Public — NGF course permission</x:v>
      </x:c>
      <x:c r="R388" s="28" t="str">
        <x:f>IF('Course_Master'!AC388="","",'Course_Master'!AC388)</x:f>
        <x:v>Open</x:v>
      </x:c>
      <x:c r="S388" s="28" t="str">
        <x:f>IF('Course_Master'!Y388="","",'Course_Master'!Y388)</x:f>
        <x:v>https://www.golfbaannoordeloos.nl/</x:v>
      </x:c>
      <x:c r="T388" s="28" t="b">
        <x:f>IF('Course_Master'!Z388="","",'Course_Master'!Z388)</x:f>
        <x:v>1</x:v>
      </x:c>
      <x:c r="U388" s="28" t="b">
        <x:f>IF('Course_Master'!AA388="","",'Course_Master'!AA388)</x:f>
        <x:v>1</x:v>
      </x:c>
      <x:c r="V388" s="28" t="str">
        <x:f>IF('Course_Master'!AL388="","",'Course_Master'!AL388)</x:f>
        <x:v>Verified — national register and exact BAG address</x:v>
      </x:c>
    </x:row>
    <x:row r="389">
      <x:c r="A389" s="28" t="str">
        <x:f>IF('Course_Master'!B389="","",'Course_Master'!B389)</x:f>
        <x:v>NL-0388</x:v>
      </x:c>
      <x:c r="B389" s="28" t="str">
        <x:f>IF('Course_Master'!C389="","",'Course_Master'!C389)</x:f>
        <x:v>Golfbaan Schinkelshoek — Serie A Westland</x:v>
      </x:c>
      <x:c r="C389" s="28" t="str">
        <x:f>IF('Course_Master'!D389="","",'Course_Master'!D389)</x:f>
        <x:v>Golfbaan Schinkelshoek</x:v>
      </x:c>
      <x:c r="D389" s="28" t="str">
        <x:f>IF('Course_Master'!E389="","",'Course_Master'!E389)</x:f>
        <x:v>Serie A Westland</x:v>
      </x:c>
      <x:c r="E389" s="28" t="str">
        <x:f>IF('Course_Master'!F389="","",'Course_Master'!F389)</x:f>
        <x:v>Netherlands</x:v>
      </x:c>
      <x:c r="F389" s="28" t="str">
        <x:f>IF('Course_Master'!G389="","",'Course_Master'!G389)</x:f>
        <x:v>Zuid-Holland</x:v>
      </x:c>
      <x:c r="G389" s="28" t="str">
        <x:f>IF('Course_Master'!H389="","",'Course_Master'!H389)</x:f>
        <x:v>Vlaardingen</x:v>
      </x:c>
      <x:c r="H389" s="28" t="str">
        <x:f>IF('Course_Master'!I389="","",'Course_Master'!I389)</x:f>
        <x:v>Vlaardingen</x:v>
      </x:c>
      <x:c r="I389" s="28" t="str">
        <x:f>IF('Course_Master'!K389="","",'Course_Master'!K389)</x:f>
        <x:v>3132 KA</x:v>
      </x:c>
      <x:c r="J389" s="34" t="n">
        <x:f>IF('Course_Master'!L389="","",'Course_Master'!L389)</x:f>
        <x:v>51.91014083</x:v>
      </x:c>
      <x:c r="K389" s="34" t="n">
        <x:f>IF('Course_Master'!M389="","",'Course_Master'!M389)</x:f>
        <x:v>4.3014505</x:v>
      </x:c>
      <x:c r="L389" s="28" t="n">
        <x:f>IF('Course_Master'!S389="","",'Course_Master'!S389)</x:f>
        <x:v>9</x:v>
      </x:c>
      <x:c r="M389" s="28" t="n">
        <x:f>IF('Course_Master'!T389="","",'Course_Master'!T389)</x:f>
        <x:v>28</x:v>
      </x:c>
      <x:c r="N389" s="28" t="n">
        <x:f>IF('Course_Master'!Q389="","",'Course_Master'!Q389)</x:f>
        <x:v>892</x:v>
      </x:c>
      <x:c r="O389" s="28" t="n">
        <x:f>IF('Course_Master'!R389="","",'Course_Master'!R389)</x:f>
        <x:v>816</x:v>
      </x:c>
      <x:c r="P389" s="28" t="str">
        <x:f>IF('Course_Master'!U389="","",'Course_Master'!U389)</x:f>
        <x:v>Par-3/4 course</x:v>
      </x:c>
      <x:c r="Q389" s="28" t="str">
        <x:f>IF('Course_Master'!AD389="","",'Course_Master'!AD389)</x:f>
        <x:v>Public — NGF course permission</x:v>
      </x:c>
      <x:c r="R389" s="28" t="str">
        <x:f>IF('Course_Master'!AC389="","",'Course_Master'!AC389)</x:f>
        <x:v>Open</x:v>
      </x:c>
      <x:c r="S389" s="28" t="str">
        <x:f>IF('Course_Master'!Y389="","",'Course_Master'!Y389)</x:f>
        <x:v>https://www.golfbaanschinkelshoek.nl/</x:v>
      </x:c>
      <x:c r="T389" s="28" t="b">
        <x:f>IF('Course_Master'!Z389="","",'Course_Master'!Z389)</x:f>
        <x:v>1</x:v>
      </x:c>
      <x:c r="U389" s="28" t="b">
        <x:f>IF('Course_Master'!AA389="","",'Course_Master'!AA389)</x:f>
        <x:v>1</x:v>
      </x:c>
      <x:c r="V389" s="28" t="str">
        <x:f>IF('Course_Master'!AL389="","",'Course_Master'!AL389)</x:f>
        <x:v>Verified — national register and exact BAG address</x:v>
      </x:c>
    </x:row>
    <x:row r="390">
      <x:c r="A390" s="28" t="str">
        <x:f>IF('Course_Master'!B390="","",'Course_Master'!B390)</x:f>
        <x:v>NL-0389</x:v>
      </x:c>
      <x:c r="B390" s="28" t="str">
        <x:f>IF('Course_Master'!C390="","",'Course_Master'!C390)</x:f>
        <x:v>Golfbaan Schinkelshoek — Serie B Waterland</x:v>
      </x:c>
      <x:c r="C390" s="28" t="str">
        <x:f>IF('Course_Master'!D390="","",'Course_Master'!D390)</x:f>
        <x:v>Golfbaan Schinkelshoek</x:v>
      </x:c>
      <x:c r="D390" s="28" t="str">
        <x:f>IF('Course_Master'!E390="","",'Course_Master'!E390)</x:f>
        <x:v>Serie B Waterland</x:v>
      </x:c>
      <x:c r="E390" s="28" t="str">
        <x:f>IF('Course_Master'!F390="","",'Course_Master'!F390)</x:f>
        <x:v>Netherlands</x:v>
      </x:c>
      <x:c r="F390" s="28" t="str">
        <x:f>IF('Course_Master'!G390="","",'Course_Master'!G390)</x:f>
        <x:v>Zuid-Holland</x:v>
      </x:c>
      <x:c r="G390" s="28" t="str">
        <x:f>IF('Course_Master'!H390="","",'Course_Master'!H390)</x:f>
        <x:v>Vlaardingen</x:v>
      </x:c>
      <x:c r="H390" s="28" t="str">
        <x:f>IF('Course_Master'!I390="","",'Course_Master'!I390)</x:f>
        <x:v>Vlaardingen</x:v>
      </x:c>
      <x:c r="I390" s="28" t="str">
        <x:f>IF('Course_Master'!K390="","",'Course_Master'!K390)</x:f>
        <x:v>3132 KA</x:v>
      </x:c>
      <x:c r="J390" s="34" t="n">
        <x:f>IF('Course_Master'!L390="","",'Course_Master'!L390)</x:f>
        <x:v>51.91014083</x:v>
      </x:c>
      <x:c r="K390" s="34" t="n">
        <x:f>IF('Course_Master'!M390="","",'Course_Master'!M390)</x:f>
        <x:v>4.3014505</x:v>
      </x:c>
      <x:c r="L390" s="28" t="n">
        <x:f>IF('Course_Master'!S390="","",'Course_Master'!S390)</x:f>
        <x:v>9</x:v>
      </x:c>
      <x:c r="M390" s="28" t="n">
        <x:f>IF('Course_Master'!T390="","",'Course_Master'!T390)</x:f>
        <x:v>36</x:v>
      </x:c>
      <x:c r="N390" s="28" t="str">
        <x:f>IF('Course_Master'!Q390="","",'Course_Master'!Q390)</x:f>
      </x:c>
      <x:c r="O390" s="28" t="str">
        <x:f>IF('Course_Master'!R390="","",'Course_Master'!R390)</x:f>
      </x:c>
      <x:c r="P390" s="28" t="str">
        <x:f>IF('Course_Master'!U390="","",'Course_Master'!U390)</x:f>
        <x:v>Par-3 course</x:v>
      </x:c>
      <x:c r="Q390" s="28" t="str">
        <x:f>IF('Course_Master'!AD390="","",'Course_Master'!AD390)</x:f>
        <x:v>Public — NGF course permission</x:v>
      </x:c>
      <x:c r="R390" s="28" t="str">
        <x:f>IF('Course_Master'!AC390="","",'Course_Master'!AC390)</x:f>
        <x:v>Open</x:v>
      </x:c>
      <x:c r="S390" s="28" t="str">
        <x:f>IF('Course_Master'!Y390="","",'Course_Master'!Y390)</x:f>
        <x:v>https://www.golfbaanschinkelshoek.nl/</x:v>
      </x:c>
      <x:c r="T390" s="28" t="b">
        <x:f>IF('Course_Master'!Z390="","",'Course_Master'!Z390)</x:f>
        <x:v>1</x:v>
      </x:c>
      <x:c r="U390" s="28" t="b">
        <x:f>IF('Course_Master'!AA390="","",'Course_Master'!AA390)</x:f>
        <x:v>1</x:v>
      </x:c>
      <x:c r="V390" s="28" t="str">
        <x:f>IF('Course_Master'!AL390="","",'Course_Master'!AL390)</x:f>
        <x:v>Verified — national register and exact BAG address</x:v>
      </x:c>
    </x:row>
    <x:row r="391">
      <x:c r="A391" s="28" t="str">
        <x:f>IF('Course_Master'!B391="","",'Course_Master'!B391)</x:f>
        <x:v>NL-0390</x:v>
      </x:c>
      <x:c r="B391" s="28" t="str">
        <x:f>IF('Course_Master'!C391="","",'Course_Master'!C391)</x:f>
        <x:v>Golfbaan Schinkelshoek — Serie C Delfland</x:v>
      </x:c>
      <x:c r="C391" s="28" t="str">
        <x:f>IF('Course_Master'!D391="","",'Course_Master'!D391)</x:f>
        <x:v>Golfbaan Schinkelshoek</x:v>
      </x:c>
      <x:c r="D391" s="28" t="str">
        <x:f>IF('Course_Master'!E391="","",'Course_Master'!E391)</x:f>
        <x:v>Serie C Delfland</x:v>
      </x:c>
      <x:c r="E391" s="28" t="str">
        <x:f>IF('Course_Master'!F391="","",'Course_Master'!F391)</x:f>
        <x:v>Netherlands</x:v>
      </x:c>
      <x:c r="F391" s="28" t="str">
        <x:f>IF('Course_Master'!G391="","",'Course_Master'!G391)</x:f>
        <x:v>Zuid-Holland</x:v>
      </x:c>
      <x:c r="G391" s="28" t="str">
        <x:f>IF('Course_Master'!H391="","",'Course_Master'!H391)</x:f>
        <x:v>Vlaardingen</x:v>
      </x:c>
      <x:c r="H391" s="28" t="str">
        <x:f>IF('Course_Master'!I391="","",'Course_Master'!I391)</x:f>
        <x:v>Vlaardingen</x:v>
      </x:c>
      <x:c r="I391" s="28" t="str">
        <x:f>IF('Course_Master'!K391="","",'Course_Master'!K391)</x:f>
        <x:v>3132 KA</x:v>
      </x:c>
      <x:c r="J391" s="34" t="n">
        <x:f>IF('Course_Master'!L391="","",'Course_Master'!L391)</x:f>
        <x:v>51.91014083</x:v>
      </x:c>
      <x:c r="K391" s="34" t="n">
        <x:f>IF('Course_Master'!M391="","",'Course_Master'!M391)</x:f>
        <x:v>4.3014505</x:v>
      </x:c>
      <x:c r="L391" s="28" t="n">
        <x:f>IF('Course_Master'!S391="","",'Course_Master'!S391)</x:f>
        <x:v>9</x:v>
      </x:c>
      <x:c r="M391" s="28" t="n">
        <x:f>IF('Course_Master'!T391="","",'Course_Master'!T391)</x:f>
        <x:v>36</x:v>
      </x:c>
      <x:c r="N391" s="28" t="str">
        <x:f>IF('Course_Master'!Q391="","",'Course_Master'!Q391)</x:f>
      </x:c>
      <x:c r="O391" s="28" t="str">
        <x:f>IF('Course_Master'!R391="","",'Course_Master'!R391)</x:f>
      </x:c>
      <x:c r="P391" s="28" t="str">
        <x:f>IF('Course_Master'!U391="","",'Course_Master'!U391)</x:f>
        <x:v>Par-3 course</x:v>
      </x:c>
      <x:c r="Q391" s="28" t="str">
        <x:f>IF('Course_Master'!AD391="","",'Course_Master'!AD391)</x:f>
        <x:v>Public — NGF course permission</x:v>
      </x:c>
      <x:c r="R391" s="28" t="str">
        <x:f>IF('Course_Master'!AC391="","",'Course_Master'!AC391)</x:f>
        <x:v>Open</x:v>
      </x:c>
      <x:c r="S391" s="28" t="str">
        <x:f>IF('Course_Master'!Y391="","",'Course_Master'!Y391)</x:f>
        <x:v>https://www.golfbaanschinkelshoek.nl/</x:v>
      </x:c>
      <x:c r="T391" s="28" t="b">
        <x:f>IF('Course_Master'!Z391="","",'Course_Master'!Z391)</x:f>
        <x:v>1</x:v>
      </x:c>
      <x:c r="U391" s="28" t="b">
        <x:f>IF('Course_Master'!AA391="","",'Course_Master'!AA391)</x:f>
        <x:v>1</x:v>
      </x:c>
      <x:c r="V391" s="28" t="str">
        <x:f>IF('Course_Master'!AL391="","",'Course_Master'!AL391)</x:f>
        <x:v>Verified — national register and exact BAG address</x:v>
      </x:c>
    </x:row>
    <x:row r="392">
      <x:c r="A392" s="28" t="str">
        <x:f>IF('Course_Master'!B392="","",'Course_Master'!B392)</x:f>
        <x:v>NL-0391</x:v>
      </x:c>
      <x:c r="B392" s="28" t="str">
        <x:f>IF('Course_Master'!C392="","",'Course_Master'!C392)</x:f>
        <x:v>Golfbaan Tespelduyn</x:v>
      </x:c>
      <x:c r="C392" s="28" t="str">
        <x:f>IF('Course_Master'!D392="","",'Course_Master'!D392)</x:f>
        <x:v>Golfbaan Tespelduyn</x:v>
      </x:c>
      <x:c r="D392" s="28" t="str">
        <x:f>IF('Course_Master'!E392="","",'Course_Master'!E392)</x:f>
        <x:v>Course</x:v>
      </x:c>
      <x:c r="E392" s="28" t="str">
        <x:f>IF('Course_Master'!F392="","",'Course_Master'!F392)</x:f>
        <x:v>Netherlands</x:v>
      </x:c>
      <x:c r="F392" s="28" t="str">
        <x:f>IF('Course_Master'!G392="","",'Course_Master'!G392)</x:f>
        <x:v>Zuid-Holland</x:v>
      </x:c>
      <x:c r="G392" s="28" t="str">
        <x:f>IF('Course_Master'!H392="","",'Course_Master'!H392)</x:f>
        <x:v>Noordwijk</x:v>
      </x:c>
      <x:c r="H392" s="28" t="str">
        <x:f>IF('Course_Master'!I392="","",'Course_Master'!I392)</x:f>
        <x:v>Noordwijkerhout</x:v>
      </x:c>
      <x:c r="I392" s="28" t="str">
        <x:f>IF('Course_Master'!K392="","",'Course_Master'!K392)</x:f>
        <x:v>2211 VT</x:v>
      </x:c>
      <x:c r="J392" s="34" t="n">
        <x:f>IF('Course_Master'!L392="","",'Course_Master'!L392)</x:f>
        <x:v>52.28348984</x:v>
      </x:c>
      <x:c r="K392" s="34" t="n">
        <x:f>IF('Course_Master'!M392="","",'Course_Master'!M392)</x:f>
        <x:v>4.52569652</x:v>
      </x:c>
      <x:c r="L392" s="28" t="n">
        <x:f>IF('Course_Master'!S392="","",'Course_Master'!S392)</x:f>
        <x:v>9</x:v>
      </x:c>
      <x:c r="M392" s="28" t="n">
        <x:f>IF('Course_Master'!T392="","",'Course_Master'!T392)</x:f>
        <x:v>32</x:v>
      </x:c>
      <x:c r="N392" s="28" t="n">
        <x:f>IF('Course_Master'!Q392="","",'Course_Master'!Q392)</x:f>
        <x:v>2007</x:v>
      </x:c>
      <x:c r="O392" s="28" t="n">
        <x:f>IF('Course_Master'!R392="","",'Course_Master'!R392)</x:f>
        <x:v>1835</x:v>
      </x:c>
      <x:c r="P392" s="28" t="str">
        <x:f>IF('Course_Master'!U392="","",'Course_Master'!U392)</x:f>
        <x:v>Full-length course</x:v>
      </x:c>
      <x:c r="Q392" s="28" t="str">
        <x:f>IF('Course_Master'!AD392="","",'Course_Master'!AD392)</x:f>
        <x:v>Public — handicap 54 or lower</x:v>
      </x:c>
      <x:c r="R392" s="28" t="str">
        <x:f>IF('Course_Master'!AC392="","",'Course_Master'!AC392)</x:f>
        <x:v>Open</x:v>
      </x:c>
      <x:c r="S392" s="28" t="str">
        <x:f>IF('Course_Master'!Y392="","",'Course_Master'!Y392)</x:f>
        <x:v>https://golfbaantespelduyn.nl/</x:v>
      </x:c>
      <x:c r="T392" s="28" t="b">
        <x:f>IF('Course_Master'!Z392="","",'Course_Master'!Z392)</x:f>
        <x:v>1</x:v>
      </x:c>
      <x:c r="U392" s="28" t="b">
        <x:f>IF('Course_Master'!AA392="","",'Course_Master'!AA392)</x:f>
        <x:v>1</x:v>
      </x:c>
      <x:c r="V392" s="28" t="str">
        <x:f>IF('Course_Master'!AL392="","",'Course_Master'!AL392)</x:f>
        <x:v>Verified — national register and exact BAG address</x:v>
      </x:c>
    </x:row>
    <x:row r="393">
      <x:c r="A393" s="28" t="str">
        <x:f>IF('Course_Master'!B393="","",'Course_Master'!B393)</x:f>
        <x:v>NL-0392</x:v>
      </x:c>
      <x:c r="B393" s="28" t="str">
        <x:f>IF('Course_Master'!C393="","",'Course_Master'!C393)</x:f>
        <x:v>Golfcenter Seve Rotterdam</x:v>
      </x:c>
      <x:c r="C393" s="28" t="str">
        <x:f>IF('Course_Master'!D393="","",'Course_Master'!D393)</x:f>
        <x:v>Golfcenter Seve Rotterdam</x:v>
      </x:c>
      <x:c r="D393" s="28" t="str">
        <x:f>IF('Course_Master'!E393="","",'Course_Master'!E393)</x:f>
        <x:v>Course</x:v>
      </x:c>
      <x:c r="E393" s="28" t="str">
        <x:f>IF('Course_Master'!F393="","",'Course_Master'!F393)</x:f>
        <x:v>Netherlands</x:v>
      </x:c>
      <x:c r="F393" s="28" t="str">
        <x:f>IF('Course_Master'!G393="","",'Course_Master'!G393)</x:f>
        <x:v>Zuid-Holland</x:v>
      </x:c>
      <x:c r="G393" s="28" t="str">
        <x:f>IF('Course_Master'!H393="","",'Course_Master'!H393)</x:f>
        <x:v>Rotterdam</x:v>
      </x:c>
      <x:c r="H393" s="28" t="str">
        <x:f>IF('Course_Master'!I393="","",'Course_Master'!I393)</x:f>
        <x:v>Rotterdam</x:v>
      </x:c>
      <x:c r="I393" s="28" t="str">
        <x:f>IF('Course_Master'!K393="","",'Course_Master'!K393)</x:f>
        <x:v>3045 PM</x:v>
      </x:c>
      <x:c r="J393" s="34" t="n">
        <x:f>IF('Course_Master'!L393="","",'Course_Master'!L393)</x:f>
        <x:v>51.94379278</x:v>
      </x:c>
      <x:c r="K393" s="34" t="n">
        <x:f>IF('Course_Master'!M393="","",'Course_Master'!M393)</x:f>
        <x:v>4.46167167</x:v>
      </x:c>
      <x:c r="L393" s="28" t="n">
        <x:f>IF('Course_Master'!S393="","",'Course_Master'!S393)</x:f>
        <x:v>9</x:v>
      </x:c>
      <x:c r="M393" s="28" t="n">
        <x:f>IF('Course_Master'!T393="","",'Course_Master'!T393)</x:f>
        <x:v>27</x:v>
      </x:c>
      <x:c r="N393" s="28" t="n">
        <x:f>IF('Course_Master'!Q393="","",'Course_Master'!Q393)</x:f>
        <x:v>903</x:v>
      </x:c>
      <x:c r="O393" s="28" t="n">
        <x:f>IF('Course_Master'!R393="","",'Course_Master'!R393)</x:f>
        <x:v>826</x:v>
      </x:c>
      <x:c r="P393" s="28" t="str">
        <x:f>IF('Course_Master'!U393="","",'Course_Master'!U393)</x:f>
        <x:v>Par-3 course</x:v>
      </x:c>
      <x:c r="Q393" s="28" t="str">
        <x:f>IF('Course_Master'!AD393="","",'Course_Master'!AD393)</x:f>
        <x:v>Public — handicap 54 or lower</x:v>
      </x:c>
      <x:c r="R393" s="28" t="str">
        <x:f>IF('Course_Master'!AC393="","",'Course_Master'!AC393)</x:f>
        <x:v>Open</x:v>
      </x:c>
      <x:c r="S393" s="28" t="str">
        <x:f>IF('Course_Master'!Y393="","",'Course_Master'!Y393)</x:f>
        <x:v>https://seve.nl/</x:v>
      </x:c>
      <x:c r="T393" s="28" t="b">
        <x:f>IF('Course_Master'!Z393="","",'Course_Master'!Z393)</x:f>
        <x:v>1</x:v>
      </x:c>
      <x:c r="U393" s="28" t="b">
        <x:f>IF('Course_Master'!AA393="","",'Course_Master'!AA393)</x:f>
        <x:v>1</x:v>
      </x:c>
      <x:c r="V393" s="28" t="str">
        <x:f>IF('Course_Master'!AL393="","",'Course_Master'!AL393)</x:f>
        <x:v>Verified — national register and exact BAG address</x:v>
      </x:c>
    </x:row>
    <x:row r="394">
      <x:c r="A394" s="28" t="str">
        <x:f>IF('Course_Master'!B394="","",'Course_Master'!B394)</x:f>
        <x:v>NL-0393</x:v>
      </x:c>
      <x:c r="B394" s="28" t="str">
        <x:f>IF('Course_Master'!C394="","",'Course_Master'!C394)</x:f>
        <x:v>Golfclub Broekpolder — Main Course</x:v>
      </x:c>
      <x:c r="C394" s="28" t="str">
        <x:f>IF('Course_Master'!D394="","",'Course_Master'!D394)</x:f>
        <x:v>Golfclub Broekpolder</x:v>
      </x:c>
      <x:c r="D394" s="28" t="str">
        <x:f>IF('Course_Master'!E394="","",'Course_Master'!E394)</x:f>
        <x:v>Main Course</x:v>
      </x:c>
      <x:c r="E394" s="28" t="str">
        <x:f>IF('Course_Master'!F394="","",'Course_Master'!F394)</x:f>
        <x:v>Netherlands</x:v>
      </x:c>
      <x:c r="F394" s="28" t="str">
        <x:f>IF('Course_Master'!G394="","",'Course_Master'!G394)</x:f>
        <x:v>Zuid-Holland</x:v>
      </x:c>
      <x:c r="G394" s="28" t="str">
        <x:f>IF('Course_Master'!H394="","",'Course_Master'!H394)</x:f>
        <x:v>Vlaardingen</x:v>
      </x:c>
      <x:c r="H394" s="28" t="str">
        <x:f>IF('Course_Master'!I394="","",'Course_Master'!I394)</x:f>
        <x:v>Vlaardingen</x:v>
      </x:c>
      <x:c r="I394" s="28" t="str">
        <x:f>IF('Course_Master'!K394="","",'Course_Master'!K394)</x:f>
        <x:v>3138 HD</x:v>
      </x:c>
      <x:c r="J394" s="34" t="n">
        <x:f>IF('Course_Master'!L394="","",'Course_Master'!L394)</x:f>
        <x:v>51.93648279</x:v>
      </x:c>
      <x:c r="K394" s="34" t="n">
        <x:f>IF('Course_Master'!M394="","",'Course_Master'!M394)</x:f>
        <x:v>4.31540589</x:v>
      </x:c>
      <x:c r="L394" s="28" t="n">
        <x:f>IF('Course_Master'!S394="","",'Course_Master'!S394)</x:f>
        <x:v>18</x:v>
      </x:c>
      <x:c r="M394" s="28" t="n">
        <x:f>IF('Course_Master'!T394="","",'Course_Master'!T394)</x:f>
        <x:v>72</x:v>
      </x:c>
      <x:c r="N394" s="28" t="n">
        <x:f>IF('Course_Master'!Q394="","",'Course_Master'!Q394)</x:f>
        <x:v>6891</x:v>
      </x:c>
      <x:c r="O394" s="28" t="n">
        <x:f>IF('Course_Master'!R394="","",'Course_Master'!R394)</x:f>
        <x:v>6301</x:v>
      </x:c>
      <x:c r="P394" s="28" t="str">
        <x:f>IF('Course_Master'!U394="","",'Course_Master'!U394)</x:f>
        <x:v>Full-length course</x:v>
      </x:c>
      <x:c r="Q394" s="28" t="str">
        <x:f>IF('Course_Master'!AD394="","",'Course_Master'!AD394)</x:f>
        <x:v>Public — handicap 28 or lower</x:v>
      </x:c>
      <x:c r="R394" s="28" t="str">
        <x:f>IF('Course_Master'!AC394="","",'Course_Master'!AC394)</x:f>
        <x:v>Open</x:v>
      </x:c>
      <x:c r="S394" s="28" t="str">
        <x:f>IF('Course_Master'!Y394="","",'Course_Master'!Y394)</x:f>
        <x:v>https://golfclubbroekpolder.nl/</x:v>
      </x:c>
      <x:c r="T394" s="28" t="b">
        <x:f>IF('Course_Master'!Z394="","",'Course_Master'!Z394)</x:f>
        <x:v>1</x:v>
      </x:c>
      <x:c r="U394" s="28" t="b">
        <x:f>IF('Course_Master'!AA394="","",'Course_Master'!AA394)</x:f>
        <x:v>1</x:v>
      </x:c>
      <x:c r="V394" s="28" t="str">
        <x:f>IF('Course_Master'!AL394="","",'Course_Master'!AL394)</x:f>
        <x:v>Verified — national register and exact BAG address</x:v>
      </x:c>
    </x:row>
    <x:row r="395">
      <x:c r="A395" s="28" t="str">
        <x:f>IF('Course_Master'!B395="","",'Course_Master'!B395)</x:f>
        <x:v>NL-0394</x:v>
      </x:c>
      <x:c r="B395" s="28" t="str">
        <x:f>IF('Course_Master'!C395="","",'Course_Master'!C395)</x:f>
        <x:v>Golfclub Capelle — Main Course</x:v>
      </x:c>
      <x:c r="C395" s="28" t="str">
        <x:f>IF('Course_Master'!D395="","",'Course_Master'!D395)</x:f>
        <x:v>Golfclub Capelle</x:v>
      </x:c>
      <x:c r="D395" s="28" t="str">
        <x:f>IF('Course_Master'!E395="","",'Course_Master'!E395)</x:f>
        <x:v>Main Course</x:v>
      </x:c>
      <x:c r="E395" s="28" t="str">
        <x:f>IF('Course_Master'!F395="","",'Course_Master'!F395)</x:f>
        <x:v>Netherlands</x:v>
      </x:c>
      <x:c r="F395" s="28" t="str">
        <x:f>IF('Course_Master'!G395="","",'Course_Master'!G395)</x:f>
        <x:v>Zuid-Holland</x:v>
      </x:c>
      <x:c r="G395" s="28" t="str">
        <x:f>IF('Course_Master'!H395="","",'Course_Master'!H395)</x:f>
        <x:v>Capelle aan den IJssel</x:v>
      </x:c>
      <x:c r="H395" s="28" t="str">
        <x:f>IF('Course_Master'!I395="","",'Course_Master'!I395)</x:f>
        <x:v>Capelle aan den IJssel</x:v>
      </x:c>
      <x:c r="I395" s="28" t="str">
        <x:f>IF('Course_Master'!K395="","",'Course_Master'!K395)</x:f>
        <x:v>2905 LB</x:v>
      </x:c>
      <x:c r="J395" s="34" t="n">
        <x:f>IF('Course_Master'!L395="","",'Course_Master'!L395)</x:f>
        <x:v>51.94054887</x:v>
      </x:c>
      <x:c r="K395" s="34" t="n">
        <x:f>IF('Course_Master'!M395="","",'Course_Master'!M395)</x:f>
        <x:v>4.59219857</x:v>
      </x:c>
      <x:c r="L395" s="28" t="n">
        <x:f>IF('Course_Master'!S395="","",'Course_Master'!S395)</x:f>
        <x:v>18</x:v>
      </x:c>
      <x:c r="M395" s="28" t="n">
        <x:f>IF('Course_Master'!T395="","",'Course_Master'!T395)</x:f>
        <x:v>69</x:v>
      </x:c>
      <x:c r="N395" s="28" t="n">
        <x:f>IF('Course_Master'!Q395="","",'Course_Master'!Q395)</x:f>
        <x:v>5638</x:v>
      </x:c>
      <x:c r="O395" s="28" t="n">
        <x:f>IF('Course_Master'!R395="","",'Course_Master'!R395)</x:f>
        <x:v>5155</x:v>
      </x:c>
      <x:c r="P395" s="28" t="str">
        <x:f>IF('Course_Master'!U395="","",'Course_Master'!U395)</x:f>
        <x:v>Full-length course</x:v>
      </x:c>
      <x:c r="Q395" s="28" t="str">
        <x:f>IF('Course_Master'!AD395="","",'Course_Master'!AD395)</x:f>
        <x:v>Public — handicap 54 or lower</x:v>
      </x:c>
      <x:c r="R395" s="28" t="str">
        <x:f>IF('Course_Master'!AC395="","",'Course_Master'!AC395)</x:f>
        <x:v>Open</x:v>
      </x:c>
      <x:c r="S395" s="28" t="str">
        <x:f>IF('Course_Master'!Y395="","",'Course_Master'!Y395)</x:f>
        <x:v>https://golfclubcapelle.nl/</x:v>
      </x:c>
      <x:c r="T395" s="28" t="b">
        <x:f>IF('Course_Master'!Z395="","",'Course_Master'!Z395)</x:f>
        <x:v>1</x:v>
      </x:c>
      <x:c r="U395" s="28" t="b">
        <x:f>IF('Course_Master'!AA395="","",'Course_Master'!AA395)</x:f>
        <x:v>1</x:v>
      </x:c>
      <x:c r="V395" s="28" t="str">
        <x:f>IF('Course_Master'!AL395="","",'Course_Master'!AL395)</x:f>
        <x:v>Verified — national register and exact BAG address</x:v>
      </x:c>
    </x:row>
    <x:row r="396">
      <x:c r="A396" s="28" t="str">
        <x:f>IF('Course_Master'!B396="","",'Course_Master'!B396)</x:f>
        <x:v>NL-0395</x:v>
      </x:c>
      <x:c r="B396" s="28" t="str">
        <x:f>IF('Course_Master'!C396="","",'Course_Master'!C396)</x:f>
        <x:v>Golfclub Cromstrijen — Main Course</x:v>
      </x:c>
      <x:c r="C396" s="28" t="str">
        <x:f>IF('Course_Master'!D396="","",'Course_Master'!D396)</x:f>
        <x:v>Golfclub Cromstrijen</x:v>
      </x:c>
      <x:c r="D396" s="28" t="str">
        <x:f>IF('Course_Master'!E396="","",'Course_Master'!E396)</x:f>
        <x:v>Main Course</x:v>
      </x:c>
      <x:c r="E396" s="28" t="str">
        <x:f>IF('Course_Master'!F396="","",'Course_Master'!F396)</x:f>
        <x:v>Netherlands</x:v>
      </x:c>
      <x:c r="F396" s="28" t="str">
        <x:f>IF('Course_Master'!G396="","",'Course_Master'!G396)</x:f>
        <x:v>Zuid-Holland</x:v>
      </x:c>
      <x:c r="G396" s="28" t="str">
        <x:f>IF('Course_Master'!H396="","",'Course_Master'!H396)</x:f>
        <x:v>Hoeksche Waard</x:v>
      </x:c>
      <x:c r="H396" s="28" t="str">
        <x:f>IF('Course_Master'!I396="","",'Course_Master'!I396)</x:f>
        <x:v>Numansdorp</x:v>
      </x:c>
      <x:c r="I396" s="28" t="str">
        <x:f>IF('Course_Master'!K396="","",'Course_Master'!K396)</x:f>
        <x:v>3281 LX</x:v>
      </x:c>
      <x:c r="J396" s="34" t="n">
        <x:f>IF('Course_Master'!L396="","",'Course_Master'!L396)</x:f>
        <x:v>51.72256048</x:v>
      </x:c>
      <x:c r="K396" s="34" t="n">
        <x:f>IF('Course_Master'!M396="","",'Course_Master'!M396)</x:f>
        <x:v>4.41455778</x:v>
      </x:c>
      <x:c r="L396" s="28" t="n">
        <x:f>IF('Course_Master'!S396="","",'Course_Master'!S396)</x:f>
        <x:v>18</x:v>
      </x:c>
      <x:c r="M396" s="28" t="n">
        <x:f>IF('Course_Master'!T396="","",'Course_Master'!T396)</x:f>
        <x:v>72</x:v>
      </x:c>
      <x:c r="N396" s="28" t="n">
        <x:f>IF('Course_Master'!Q396="","",'Course_Master'!Q396)</x:f>
        <x:v>6712</x:v>
      </x:c>
      <x:c r="O396" s="28" t="n">
        <x:f>IF('Course_Master'!R396="","",'Course_Master'!R396)</x:f>
        <x:v>6137</x:v>
      </x:c>
      <x:c r="P396" s="28" t="str">
        <x:f>IF('Course_Master'!U396="","",'Course_Master'!U396)</x:f>
        <x:v>Full-length course</x:v>
      </x:c>
      <x:c r="Q396" s="28" t="str">
        <x:f>IF('Course_Master'!AD396="","",'Course_Master'!AD396)</x:f>
        <x:v>Public — handicap 54 or lower</x:v>
      </x:c>
      <x:c r="R396" s="28" t="str">
        <x:f>IF('Course_Master'!AC396="","",'Course_Master'!AC396)</x:f>
        <x:v>Open</x:v>
      </x:c>
      <x:c r="S396" s="28" t="str">
        <x:f>IF('Course_Master'!Y396="","",'Course_Master'!Y396)</x:f>
        <x:v>https://golfclubcromstrijen.nl/nl</x:v>
      </x:c>
      <x:c r="T396" s="28" t="b">
        <x:f>IF('Course_Master'!Z396="","",'Course_Master'!Z396)</x:f>
        <x:v>1</x:v>
      </x:c>
      <x:c r="U396" s="28" t="b">
        <x:f>IF('Course_Master'!AA396="","",'Course_Master'!AA396)</x:f>
        <x:v>1</x:v>
      </x:c>
      <x:c r="V396" s="28" t="str">
        <x:f>IF('Course_Master'!AL396="","",'Course_Master'!AL396)</x:f>
        <x:v>Verified — national register and exact BAG address</x:v>
      </x:c>
    </x:row>
    <x:row r="397">
      <x:c r="A397" s="28" t="str">
        <x:f>IF('Course_Master'!B397="","",'Course_Master'!B397)</x:f>
        <x:v>NL-0396</x:v>
      </x:c>
      <x:c r="B397" s="28" t="str">
        <x:f>IF('Course_Master'!C397="","",'Course_Master'!C397)</x:f>
        <x:v>Golfclub Cromstrijen — Par-3/4 Course</x:v>
      </x:c>
      <x:c r="C397" s="28" t="str">
        <x:f>IF('Course_Master'!D397="","",'Course_Master'!D397)</x:f>
        <x:v>Golfclub Cromstrijen</x:v>
      </x:c>
      <x:c r="D397" s="28" t="str">
        <x:f>IF('Course_Master'!E397="","",'Course_Master'!E397)</x:f>
        <x:v>Par-3/4 Course</x:v>
      </x:c>
      <x:c r="E397" s="28" t="str">
        <x:f>IF('Course_Master'!F397="","",'Course_Master'!F397)</x:f>
        <x:v>Netherlands</x:v>
      </x:c>
      <x:c r="F397" s="28" t="str">
        <x:f>IF('Course_Master'!G397="","",'Course_Master'!G397)</x:f>
        <x:v>Zuid-Holland</x:v>
      </x:c>
      <x:c r="G397" s="28" t="str">
        <x:f>IF('Course_Master'!H397="","",'Course_Master'!H397)</x:f>
        <x:v>Hoeksche Waard</x:v>
      </x:c>
      <x:c r="H397" s="28" t="str">
        <x:f>IF('Course_Master'!I397="","",'Course_Master'!I397)</x:f>
        <x:v>Numansdorp</x:v>
      </x:c>
      <x:c r="I397" s="28" t="str">
        <x:f>IF('Course_Master'!K397="","",'Course_Master'!K397)</x:f>
        <x:v>3281 LX</x:v>
      </x:c>
      <x:c r="J397" s="34" t="n">
        <x:f>IF('Course_Master'!L397="","",'Course_Master'!L397)</x:f>
        <x:v>51.72256048</x:v>
      </x:c>
      <x:c r="K397" s="34" t="n">
        <x:f>IF('Course_Master'!M397="","",'Course_Master'!M397)</x:f>
        <x:v>4.41455778</x:v>
      </x:c>
      <x:c r="L397" s="28" t="n">
        <x:f>IF('Course_Master'!S397="","",'Course_Master'!S397)</x:f>
        <x:v>9</x:v>
      </x:c>
      <x:c r="M397" s="28" t="n">
        <x:f>IF('Course_Master'!T397="","",'Course_Master'!T397)</x:f>
        <x:v>30</x:v>
      </x:c>
      <x:c r="N397" s="28" t="n">
        <x:f>IF('Course_Master'!Q397="","",'Course_Master'!Q397)</x:f>
        <x:v>2034</x:v>
      </x:c>
      <x:c r="O397" s="28" t="n">
        <x:f>IF('Course_Master'!R397="","",'Course_Master'!R397)</x:f>
        <x:v>1860</x:v>
      </x:c>
      <x:c r="P397" s="28" t="str">
        <x:f>IF('Course_Master'!U397="","",'Course_Master'!U397)</x:f>
        <x:v>Par-3/4 course</x:v>
      </x:c>
      <x:c r="Q397" s="28" t="str">
        <x:f>IF('Course_Master'!AD397="","",'Course_Master'!AD397)</x:f>
        <x:v>Public — NGF course permission</x:v>
      </x:c>
      <x:c r="R397" s="28" t="str">
        <x:f>IF('Course_Master'!AC397="","",'Course_Master'!AC397)</x:f>
        <x:v>Open</x:v>
      </x:c>
      <x:c r="S397" s="28" t="str">
        <x:f>IF('Course_Master'!Y397="","",'Course_Master'!Y397)</x:f>
        <x:v>https://golfclubcromstrijen.nl/nl</x:v>
      </x:c>
      <x:c r="T397" s="28" t="b">
        <x:f>IF('Course_Master'!Z397="","",'Course_Master'!Z397)</x:f>
        <x:v>1</x:v>
      </x:c>
      <x:c r="U397" s="28" t="b">
        <x:f>IF('Course_Master'!AA397="","",'Course_Master'!AA397)</x:f>
        <x:v>1</x:v>
      </x:c>
      <x:c r="V397" s="28" t="str">
        <x:f>IF('Course_Master'!AL397="","",'Course_Master'!AL397)</x:f>
        <x:v>Verified — national register and exact BAG address</x:v>
      </x:c>
    </x:row>
    <x:row r="398">
      <x:c r="A398" s="28" t="str">
        <x:f>IF('Course_Master'!B398="","",'Course_Master'!B398)</x:f>
        <x:v>NL-0397</x:v>
      </x:c>
      <x:c r="B398" s="28" t="str">
        <x:f>IF('Course_Master'!C398="","",'Course_Master'!C398)</x:f>
        <x:v>Golfclub De Kieviten</x:v>
      </x:c>
      <x:c r="C398" s="28" t="str">
        <x:f>IF('Course_Master'!D398="","",'Course_Master'!D398)</x:f>
        <x:v>Golfclub De Kieviten</x:v>
      </x:c>
      <x:c r="D398" s="28" t="str">
        <x:f>IF('Course_Master'!E398="","",'Course_Master'!E398)</x:f>
        <x:v>Course</x:v>
      </x:c>
      <x:c r="E398" s="28" t="str">
        <x:f>IF('Course_Master'!F398="","",'Course_Master'!F398)</x:f>
        <x:v>Netherlands</x:v>
      </x:c>
      <x:c r="F398" s="28" t="str">
        <x:f>IF('Course_Master'!G398="","",'Course_Master'!G398)</x:f>
        <x:v>Zuid-Holland</x:v>
      </x:c>
      <x:c r="G398" s="28" t="str">
        <x:f>IF('Course_Master'!H398="","",'Course_Master'!H398)</x:f>
        <x:v>Wassenaar</x:v>
      </x:c>
      <x:c r="H398" s="28" t="str">
        <x:f>IF('Course_Master'!I398="","",'Course_Master'!I398)</x:f>
        <x:v>Wassenaar</x:v>
      </x:c>
      <x:c r="I398" s="28" t="str">
        <x:f>IF('Course_Master'!K398="","",'Course_Master'!K398)</x:f>
        <x:v>2242 TZ</x:v>
      </x:c>
      <x:c r="J398" s="34" t="n">
        <x:f>IF('Course_Master'!L398="","",'Course_Master'!L398)</x:f>
        <x:v>52.15375178</x:v>
      </x:c>
      <x:c r="K398" s="34" t="n">
        <x:f>IF('Course_Master'!M398="","",'Course_Master'!M398)</x:f>
        <x:v>4.38850775</x:v>
      </x:c>
      <x:c r="L398" s="28" t="n">
        <x:f>IF('Course_Master'!S398="","",'Course_Master'!S398)</x:f>
        <x:v>9</x:v>
      </x:c>
      <x:c r="M398" s="28" t="n">
        <x:f>IF('Course_Master'!T398="","",'Course_Master'!T398)</x:f>
        <x:v>29</x:v>
      </x:c>
      <x:c r="N398" s="28" t="n">
        <x:f>IF('Course_Master'!Q398="","",'Course_Master'!Q398)</x:f>
        <x:v>1553</x:v>
      </x:c>
      <x:c r="O398" s="28" t="n">
        <x:f>IF('Course_Master'!R398="","",'Course_Master'!R398)</x:f>
        <x:v>1420</x:v>
      </x:c>
      <x:c r="P398" s="28" t="str">
        <x:f>IF('Course_Master'!U398="","",'Course_Master'!U398)</x:f>
        <x:v>Par-3/4 course</x:v>
      </x:c>
      <x:c r="Q398" s="28" t="str">
        <x:f>IF('Course_Master'!AD398="","",'Course_Master'!AD398)</x:f>
        <x:v>Public — handicap 54 or lower</x:v>
      </x:c>
      <x:c r="R398" s="28" t="str">
        <x:f>IF('Course_Master'!AC398="","",'Course_Master'!AC398)</x:f>
        <x:v>Open</x:v>
      </x:c>
      <x:c r="S398" s="28" t="str">
        <x:f>IF('Course_Master'!Y398="","",'Course_Master'!Y398)</x:f>
        <x:v>https://www.kieviten.nl/</x:v>
      </x:c>
      <x:c r="T398" s="28" t="b">
        <x:f>IF('Course_Master'!Z398="","",'Course_Master'!Z398)</x:f>
        <x:v>1</x:v>
      </x:c>
      <x:c r="U398" s="28" t="b">
        <x:f>IF('Course_Master'!AA398="","",'Course_Master'!AA398)</x:f>
        <x:v>1</x:v>
      </x:c>
      <x:c r="V398" s="28" t="str">
        <x:f>IF('Course_Master'!AL398="","",'Course_Master'!AL398)</x:f>
        <x:v>Verified — national register and exact BAG address</x:v>
      </x:c>
    </x:row>
    <x:row r="399">
      <x:c r="A399" s="28" t="str">
        <x:f>IF('Course_Master'!B399="","",'Course_Master'!B399)</x:f>
        <x:v>NL-0398</x:v>
      </x:c>
      <x:c r="B399" s="28" t="str">
        <x:f>IF('Course_Master'!C399="","",'Course_Master'!C399)</x:f>
        <x:v>Golfclub Kagerzoom</x:v>
      </x:c>
      <x:c r="C399" s="28" t="str">
        <x:f>IF('Course_Master'!D399="","",'Course_Master'!D399)</x:f>
        <x:v>Golfclub Kagerzoom</x:v>
      </x:c>
      <x:c r="D399" s="28" t="str">
        <x:f>IF('Course_Master'!E399="","",'Course_Master'!E399)</x:f>
        <x:v>Course</x:v>
      </x:c>
      <x:c r="E399" s="28" t="str">
        <x:f>IF('Course_Master'!F399="","",'Course_Master'!F399)</x:f>
        <x:v>Netherlands</x:v>
      </x:c>
      <x:c r="F399" s="28" t="str">
        <x:f>IF('Course_Master'!G399="","",'Course_Master'!G399)</x:f>
        <x:v>Zuid-Holland</x:v>
      </x:c>
      <x:c r="G399" s="28" t="str">
        <x:f>IF('Course_Master'!H399="","",'Course_Master'!H399)</x:f>
        <x:v>Teylingen</x:v>
      </x:c>
      <x:c r="H399" s="28" t="str">
        <x:f>IF('Course_Master'!I399="","",'Course_Master'!I399)</x:f>
        <x:v>Warmond</x:v>
      </x:c>
      <x:c r="I399" s="28" t="str">
        <x:f>IF('Course_Master'!K399="","",'Course_Master'!K399)</x:f>
        <x:v>2361 KV</x:v>
      </x:c>
      <x:c r="J399" s="34" t="n">
        <x:f>IF('Course_Master'!L399="","",'Course_Master'!L399)</x:f>
        <x:v>52.18718627</x:v>
      </x:c>
      <x:c r="K399" s="34" t="n">
        <x:f>IF('Course_Master'!M399="","",'Course_Master'!M399)</x:f>
        <x:v>4.50222089</x:v>
      </x:c>
      <x:c r="L399" s="28" t="n">
        <x:f>IF('Course_Master'!S399="","",'Course_Master'!S399)</x:f>
        <x:v>9</x:v>
      </x:c>
      <x:c r="M399" s="28" t="n">
        <x:f>IF('Course_Master'!T399="","",'Course_Master'!T399)</x:f>
        <x:v>35</x:v>
      </x:c>
      <x:c r="N399" s="28" t="n">
        <x:f>IF('Course_Master'!Q399="","",'Course_Master'!Q399)</x:f>
        <x:v>3139</x:v>
      </x:c>
      <x:c r="O399" s="28" t="n">
        <x:f>IF('Course_Master'!R399="","",'Course_Master'!R399)</x:f>
        <x:v>2870</x:v>
      </x:c>
      <x:c r="P399" s="28" t="str">
        <x:f>IF('Course_Master'!U399="","",'Course_Master'!U399)</x:f>
        <x:v>Full-length course</x:v>
      </x:c>
      <x:c r="Q399" s="28" t="str">
        <x:f>IF('Course_Master'!AD399="","",'Course_Master'!AD399)</x:f>
        <x:v>Public — handicap 54 or lower</x:v>
      </x:c>
      <x:c r="R399" s="28" t="str">
        <x:f>IF('Course_Master'!AC399="","",'Course_Master'!AC399)</x:f>
        <x:v>Open</x:v>
      </x:c>
      <x:c r="S399" s="28" t="str">
        <x:f>IF('Course_Master'!Y399="","",'Course_Master'!Y399)</x:f>
        <x:v>https://www.kagerzoom.nl/</x:v>
      </x:c>
      <x:c r="T399" s="28" t="b">
        <x:f>IF('Course_Master'!Z399="","",'Course_Master'!Z399)</x:f>
        <x:v>1</x:v>
      </x:c>
      <x:c r="U399" s="28" t="b">
        <x:f>IF('Course_Master'!AA399="","",'Course_Master'!AA399)</x:f>
        <x:v>1</x:v>
      </x:c>
      <x:c r="V399" s="28" t="str">
        <x:f>IF('Course_Master'!AL399="","",'Course_Master'!AL399)</x:f>
        <x:v>Verified — national register and exact BAG address</x:v>
      </x:c>
    </x:row>
    <x:row r="400">
      <x:c r="A400" s="28" t="str">
        <x:f>IF('Course_Master'!B400="","",'Course_Master'!B400)</x:f>
        <x:v>NL-0399</x:v>
      </x:c>
      <x:c r="B400" s="28" t="str">
        <x:f>IF('Course_Master'!C400="","",'Course_Master'!C400)</x:f>
        <x:v>Golfclub Kleiburg — Main Course</x:v>
      </x:c>
      <x:c r="C400" s="28" t="str">
        <x:f>IF('Course_Master'!D400="","",'Course_Master'!D400)</x:f>
        <x:v>Golfclub Kleiburg</x:v>
      </x:c>
      <x:c r="D400" s="28" t="str">
        <x:f>IF('Course_Master'!E400="","",'Course_Master'!E400)</x:f>
        <x:v>Main Course</x:v>
      </x:c>
      <x:c r="E400" s="28" t="str">
        <x:f>IF('Course_Master'!F400="","",'Course_Master'!F400)</x:f>
        <x:v>Netherlands</x:v>
      </x:c>
      <x:c r="F400" s="28" t="str">
        <x:f>IF('Course_Master'!G400="","",'Course_Master'!G400)</x:f>
        <x:v>Zuid-Holland</x:v>
      </x:c>
      <x:c r="G400" s="28" t="str">
        <x:f>IF('Course_Master'!H400="","",'Course_Master'!H400)</x:f>
        <x:v>Voorne aan Zee</x:v>
      </x:c>
      <x:c r="H400" s="28" t="str">
        <x:f>IF('Course_Master'!I400="","",'Course_Master'!I400)</x:f>
        <x:v>Brielle</x:v>
      </x:c>
      <x:c r="I400" s="28" t="str">
        <x:f>IF('Course_Master'!K400="","",'Course_Master'!K400)</x:f>
        <x:v>3231 NB</x:v>
      </x:c>
      <x:c r="J400" s="34" t="n">
        <x:f>IF('Course_Master'!L400="","",'Course_Master'!L400)</x:f>
        <x:v>51.92503023</x:v>
      </x:c>
      <x:c r="K400" s="34" t="n">
        <x:f>IF('Course_Master'!M400="","",'Course_Master'!M400)</x:f>
        <x:v>4.16205111</x:v>
      </x:c>
      <x:c r="L400" s="28" t="n">
        <x:f>IF('Course_Master'!S400="","",'Course_Master'!S400)</x:f>
        <x:v>18</x:v>
      </x:c>
      <x:c r="M400" s="28" t="n">
        <x:f>IF('Course_Master'!T400="","",'Course_Master'!T400)</x:f>
        <x:v>72</x:v>
      </x:c>
      <x:c r="N400" s="28" t="n">
        <x:f>IF('Course_Master'!Q400="","",'Course_Master'!Q400)</x:f>
        <x:v>6452</x:v>
      </x:c>
      <x:c r="O400" s="28" t="n">
        <x:f>IF('Course_Master'!R400="","",'Course_Master'!R400)</x:f>
        <x:v>5900</x:v>
      </x:c>
      <x:c r="P400" s="28" t="str">
        <x:f>IF('Course_Master'!U400="","",'Course_Master'!U400)</x:f>
        <x:v>Full-length course</x:v>
      </x:c>
      <x:c r="Q400" s="28" t="str">
        <x:f>IF('Course_Master'!AD400="","",'Course_Master'!AD400)</x:f>
        <x:v>Public — handicap 54 or lower</x:v>
      </x:c>
      <x:c r="R400" s="28" t="str">
        <x:f>IF('Course_Master'!AC400="","",'Course_Master'!AC400)</x:f>
        <x:v>Open</x:v>
      </x:c>
      <x:c r="S400" s="28" t="str">
        <x:f>IF('Course_Master'!Y400="","",'Course_Master'!Y400)</x:f>
        <x:v>https://golfclub-kleiburg.nl/</x:v>
      </x:c>
      <x:c r="T400" s="28" t="b">
        <x:f>IF('Course_Master'!Z400="","",'Course_Master'!Z400)</x:f>
        <x:v>1</x:v>
      </x:c>
      <x:c r="U400" s="28" t="b">
        <x:f>IF('Course_Master'!AA400="","",'Course_Master'!AA400)</x:f>
        <x:v>1</x:v>
      </x:c>
      <x:c r="V400" s="28" t="str">
        <x:f>IF('Course_Master'!AL400="","",'Course_Master'!AL400)</x:f>
        <x:v>Verified — national register and exact BAG address</x:v>
      </x:c>
    </x:row>
    <x:row r="401">
      <x:c r="A401" s="28" t="str">
        <x:f>IF('Course_Master'!B401="","",'Course_Master'!B401)</x:f>
        <x:v>NL-0400</x:v>
      </x:c>
      <x:c r="B401" s="28" t="str">
        <x:f>IF('Course_Master'!C401="","",'Course_Master'!C401)</x:f>
        <x:v>Golfclub Ter Specke</x:v>
      </x:c>
      <x:c r="C401" s="28" t="str">
        <x:f>IF('Course_Master'!D401="","",'Course_Master'!D401)</x:f>
        <x:v>Golfclub Ter Specke</x:v>
      </x:c>
      <x:c r="D401" s="28" t="str">
        <x:f>IF('Course_Master'!E401="","",'Course_Master'!E401)</x:f>
        <x:v>Course</x:v>
      </x:c>
      <x:c r="E401" s="28" t="str">
        <x:f>IF('Course_Master'!F401="","",'Course_Master'!F401)</x:f>
        <x:v>Netherlands</x:v>
      </x:c>
      <x:c r="F401" s="28" t="str">
        <x:f>IF('Course_Master'!G401="","",'Course_Master'!G401)</x:f>
        <x:v>Zuid-Holland</x:v>
      </x:c>
      <x:c r="G401" s="28" t="str">
        <x:f>IF('Course_Master'!H401="","",'Course_Master'!H401)</x:f>
        <x:v>Lisse</x:v>
      </x:c>
      <x:c r="H401" s="28" t="str">
        <x:f>IF('Course_Master'!I401="","",'Course_Master'!I401)</x:f>
        <x:v>Lisse</x:v>
      </x:c>
      <x:c r="I401" s="28" t="str">
        <x:f>IF('Course_Master'!K401="","",'Course_Master'!K401)</x:f>
        <x:v>2161 GH</x:v>
      </x:c>
      <x:c r="J401" s="34" t="n">
        <x:f>IF('Course_Master'!L401="","",'Course_Master'!L401)</x:f>
        <x:v>52.25739469</x:v>
      </x:c>
      <x:c r="K401" s="34" t="n">
        <x:f>IF('Course_Master'!M401="","",'Course_Master'!M401)</x:f>
        <x:v>4.54053307</x:v>
      </x:c>
      <x:c r="L401" s="28" t="n">
        <x:f>IF('Course_Master'!S401="","",'Course_Master'!S401)</x:f>
        <x:v>9</x:v>
      </x:c>
      <x:c r="M401" s="28" t="n">
        <x:f>IF('Course_Master'!T401="","",'Course_Master'!T401)</x:f>
        <x:v>27</x:v>
      </x:c>
      <x:c r="N401" s="28" t="n">
        <x:f>IF('Course_Master'!Q401="","",'Course_Master'!Q401)</x:f>
        <x:v>1261</x:v>
      </x:c>
      <x:c r="O401" s="28" t="n">
        <x:f>IF('Course_Master'!R401="","",'Course_Master'!R401)</x:f>
        <x:v>1153</x:v>
      </x:c>
      <x:c r="P401" s="28" t="str">
        <x:f>IF('Course_Master'!U401="","",'Course_Master'!U401)</x:f>
        <x:v>Par-3 course</x:v>
      </x:c>
      <x:c r="Q401" s="28" t="str">
        <x:f>IF('Course_Master'!AD401="","",'Course_Master'!AD401)</x:f>
        <x:v>Public — NGF course permission</x:v>
      </x:c>
      <x:c r="R401" s="28" t="str">
        <x:f>IF('Course_Master'!AC401="","",'Course_Master'!AC401)</x:f>
        <x:v>Open</x:v>
      </x:c>
      <x:c r="S401" s="28" t="str">
        <x:f>IF('Course_Master'!Y401="","",'Course_Master'!Y401)</x:f>
        <x:v>https://golfbaanterspecke.nl/</x:v>
      </x:c>
      <x:c r="T401" s="28" t="b">
        <x:f>IF('Course_Master'!Z401="","",'Course_Master'!Z401)</x:f>
        <x:v>1</x:v>
      </x:c>
      <x:c r="U401" s="28" t="b">
        <x:f>IF('Course_Master'!AA401="","",'Course_Master'!AA401)</x:f>
        <x:v>1</x:v>
      </x:c>
      <x:c r="V401" s="28" t="str">
        <x:f>IF('Course_Master'!AL401="","",'Course_Master'!AL401)</x:f>
        <x:v>Verified — national register and exact BAG address</x:v>
      </x:c>
    </x:row>
    <x:row r="402">
      <x:c r="A402" s="28" t="str">
        <x:f>IF('Course_Master'!B402="","",'Course_Master'!B402)</x:f>
        <x:v>NL-0401</x:v>
      </x:c>
      <x:c r="B402" s="28" t="str">
        <x:f>IF('Course_Master'!C402="","",'Course_Master'!C402)</x:f>
        <x:v>Golfclub Westland</x:v>
      </x:c>
      <x:c r="C402" s="28" t="str">
        <x:f>IF('Course_Master'!D402="","",'Course_Master'!D402)</x:f>
        <x:v>Golfclub Westland</x:v>
      </x:c>
      <x:c r="D402" s="28" t="str">
        <x:f>IF('Course_Master'!E402="","",'Course_Master'!E402)</x:f>
        <x:v>Course</x:v>
      </x:c>
      <x:c r="E402" s="28" t="str">
        <x:f>IF('Course_Master'!F402="","",'Course_Master'!F402)</x:f>
        <x:v>Netherlands</x:v>
      </x:c>
      <x:c r="F402" s="28" t="str">
        <x:f>IF('Course_Master'!G402="","",'Course_Master'!G402)</x:f>
        <x:v>Zuid-Holland</x:v>
      </x:c>
      <x:c r="G402" s="28" t="str">
        <x:f>IF('Course_Master'!H402="","",'Course_Master'!H402)</x:f>
        <x:v>Westland</x:v>
      </x:c>
      <x:c r="H402" s="28" t="str">
        <x:f>IF('Course_Master'!I402="","",'Course_Master'!I402)</x:f>
        <x:v>'s-Gravenzande</x:v>
      </x:c>
      <x:c r="I402" s="28" t="str">
        <x:f>IF('Course_Master'!K402="","",'Course_Master'!K402)</x:f>
        <x:v>2691 GH</x:v>
      </x:c>
      <x:c r="J402" s="34" t="n">
        <x:f>IF('Course_Master'!L402="","",'Course_Master'!L402)</x:f>
        <x:v>51.99460105</x:v>
      </x:c>
      <x:c r="K402" s="34" t="n">
        <x:f>IF('Course_Master'!M402="","",'Course_Master'!M402)</x:f>
        <x:v>4.17378434</x:v>
      </x:c>
      <x:c r="L402" s="28" t="n">
        <x:f>IF('Course_Master'!S402="","",'Course_Master'!S402)</x:f>
        <x:v>9</x:v>
      </x:c>
      <x:c r="M402" s="28" t="n">
        <x:f>IF('Course_Master'!T402="","",'Course_Master'!T402)</x:f>
        <x:v>27</x:v>
      </x:c>
      <x:c r="N402" s="28" t="n">
        <x:f>IF('Course_Master'!Q402="","",'Course_Master'!Q402)</x:f>
        <x:v>862</x:v>
      </x:c>
      <x:c r="O402" s="28" t="n">
        <x:f>IF('Course_Master'!R402="","",'Course_Master'!R402)</x:f>
        <x:v>788</x:v>
      </x:c>
      <x:c r="P402" s="28" t="str">
        <x:f>IF('Course_Master'!U402="","",'Course_Master'!U402)</x:f>
        <x:v>Par-3 course</x:v>
      </x:c>
      <x:c r="Q402" s="28" t="str">
        <x:f>IF('Course_Master'!AD402="","",'Course_Master'!AD402)</x:f>
        <x:v>Public — NGF course permission</x:v>
      </x:c>
      <x:c r="R402" s="28" t="str">
        <x:f>IF('Course_Master'!AC402="","",'Course_Master'!AC402)</x:f>
        <x:v>Open</x:v>
      </x:c>
      <x:c r="S402" s="28" t="str">
        <x:f>IF('Course_Master'!Y402="","",'Course_Master'!Y402)</x:f>
        <x:v>https://golfclubwestland.nl/</x:v>
      </x:c>
      <x:c r="T402" s="28" t="b">
        <x:f>IF('Course_Master'!Z402="","",'Course_Master'!Z402)</x:f>
        <x:v>1</x:v>
      </x:c>
      <x:c r="U402" s="28" t="b">
        <x:f>IF('Course_Master'!AA402="","",'Course_Master'!AA402)</x:f>
        <x:v>1</x:v>
      </x:c>
      <x:c r="V402" s="28" t="str">
        <x:f>IF('Course_Master'!AL402="","",'Course_Master'!AL402)</x:f>
        <x:v>Verified — national register and exact BAG address</x:v>
      </x:c>
    </x:row>
    <x:row r="403">
      <x:c r="A403" s="28" t="str">
        <x:f>IF('Course_Master'!B403="","",'Course_Master'!B403)</x:f>
        <x:v>NL-0402</x:v>
      </x:c>
      <x:c r="B403" s="28" t="str">
        <x:f>IF('Course_Master'!C403="","",'Course_Master'!C403)</x:f>
        <x:v>Golfclub Zeegersloot — Griend</x:v>
      </x:c>
      <x:c r="C403" s="28" t="str">
        <x:f>IF('Course_Master'!D403="","",'Course_Master'!D403)</x:f>
        <x:v>Golfclub Zeegersloot</x:v>
      </x:c>
      <x:c r="D403" s="28" t="str">
        <x:f>IF('Course_Master'!E403="","",'Course_Master'!E403)</x:f>
        <x:v>Griend</x:v>
      </x:c>
      <x:c r="E403" s="28" t="str">
        <x:f>IF('Course_Master'!F403="","",'Course_Master'!F403)</x:f>
        <x:v>Netherlands</x:v>
      </x:c>
      <x:c r="F403" s="28" t="str">
        <x:f>IF('Course_Master'!G403="","",'Course_Master'!G403)</x:f>
        <x:v>Zuid-Holland</x:v>
      </x:c>
      <x:c r="G403" s="28" t="str">
        <x:f>IF('Course_Master'!H403="","",'Course_Master'!H403)</x:f>
        <x:v>Alphen aan den Rijn</x:v>
      </x:c>
      <x:c r="H403" s="28" t="str">
        <x:f>IF('Course_Master'!I403="","",'Course_Master'!I403)</x:f>
        <x:v>Alphen aan den Rijn</x:v>
      </x:c>
      <x:c r="I403" s="28" t="str">
        <x:f>IF('Course_Master'!K403="","",'Course_Master'!K403)</x:f>
        <x:v>2403 NB</x:v>
      </x:c>
      <x:c r="J403" s="34" t="n">
        <x:f>IF('Course_Master'!L403="","",'Course_Master'!L403)</x:f>
        <x:v>52.14419548</x:v>
      </x:c>
      <x:c r="K403" s="34" t="n">
        <x:f>IF('Course_Master'!M403="","",'Course_Master'!M403)</x:f>
        <x:v>4.69711251</x:v>
      </x:c>
      <x:c r="L403" s="28" t="n">
        <x:f>IF('Course_Master'!S403="","",'Course_Master'!S403)</x:f>
        <x:v>9</x:v>
      </x:c>
      <x:c r="M403" s="28" t="n">
        <x:f>IF('Course_Master'!T403="","",'Course_Master'!T403)</x:f>
        <x:v>36</x:v>
      </x:c>
      <x:c r="N403" s="28" t="n">
        <x:f>IF('Course_Master'!Q403="","",'Course_Master'!Q403)</x:f>
        <x:v>3299</x:v>
      </x:c>
      <x:c r="O403" s="28" t="n">
        <x:f>IF('Course_Master'!R403="","",'Course_Master'!R403)</x:f>
        <x:v>3017</x:v>
      </x:c>
      <x:c r="P403" s="28" t="str">
        <x:f>IF('Course_Master'!U403="","",'Course_Master'!U403)</x:f>
        <x:v>Full-length course</x:v>
      </x:c>
      <x:c r="Q403" s="28" t="str">
        <x:f>IF('Course_Master'!AD403="","",'Course_Master'!AD403)</x:f>
        <x:v>Public — handicap 54 or lower</x:v>
      </x:c>
      <x:c r="R403" s="28" t="str">
        <x:f>IF('Course_Master'!AC403="","",'Course_Master'!AC403)</x:f>
        <x:v>Open</x:v>
      </x:c>
      <x:c r="S403" s="28" t="str">
        <x:f>IF('Course_Master'!Y403="","",'Course_Master'!Y403)</x:f>
        <x:v>https://zeegersloot.nl/</x:v>
      </x:c>
      <x:c r="T403" s="28" t="b">
        <x:f>IF('Course_Master'!Z403="","",'Course_Master'!Z403)</x:f>
        <x:v>1</x:v>
      </x:c>
      <x:c r="U403" s="28" t="b">
        <x:f>IF('Course_Master'!AA403="","",'Course_Master'!AA403)</x:f>
        <x:v>1</x:v>
      </x:c>
      <x:c r="V403" s="28" t="str">
        <x:f>IF('Course_Master'!AL403="","",'Course_Master'!AL403)</x:f>
        <x:v>Verified — national register and exact BAG address</x:v>
      </x:c>
    </x:row>
    <x:row r="404">
      <x:c r="A404" s="28" t="str">
        <x:f>IF('Course_Master'!B404="","",'Course_Master'!B404)</x:f>
        <x:v>NL-0403</x:v>
      </x:c>
      <x:c r="B404" s="28" t="str">
        <x:f>IF('Course_Master'!C404="","",'Course_Master'!C404)</x:f>
        <x:v>Golfclub Zeegersloot — Heuvel</x:v>
      </x:c>
      <x:c r="C404" s="28" t="str">
        <x:f>IF('Course_Master'!D404="","",'Course_Master'!D404)</x:f>
        <x:v>Golfclub Zeegersloot</x:v>
      </x:c>
      <x:c r="D404" s="28" t="str">
        <x:f>IF('Course_Master'!E404="","",'Course_Master'!E404)</x:f>
        <x:v>Heuvel</x:v>
      </x:c>
      <x:c r="E404" s="28" t="str">
        <x:f>IF('Course_Master'!F404="","",'Course_Master'!F404)</x:f>
        <x:v>Netherlands</x:v>
      </x:c>
      <x:c r="F404" s="28" t="str">
        <x:f>IF('Course_Master'!G404="","",'Course_Master'!G404)</x:f>
        <x:v>Zuid-Holland</x:v>
      </x:c>
      <x:c r="G404" s="28" t="str">
        <x:f>IF('Course_Master'!H404="","",'Course_Master'!H404)</x:f>
        <x:v>Alphen aan den Rijn</x:v>
      </x:c>
      <x:c r="H404" s="28" t="str">
        <x:f>IF('Course_Master'!I404="","",'Course_Master'!I404)</x:f>
        <x:v>Alphen aan den Rijn</x:v>
      </x:c>
      <x:c r="I404" s="28" t="str">
        <x:f>IF('Course_Master'!K404="","",'Course_Master'!K404)</x:f>
        <x:v>2403 NB</x:v>
      </x:c>
      <x:c r="J404" s="34" t="n">
        <x:f>IF('Course_Master'!L404="","",'Course_Master'!L404)</x:f>
        <x:v>52.14419548</x:v>
      </x:c>
      <x:c r="K404" s="34" t="n">
        <x:f>IF('Course_Master'!M404="","",'Course_Master'!M404)</x:f>
        <x:v>4.69711251</x:v>
      </x:c>
      <x:c r="L404" s="28" t="n">
        <x:f>IF('Course_Master'!S404="","",'Course_Master'!S404)</x:f>
        <x:v>9</x:v>
      </x:c>
      <x:c r="M404" s="28" t="n">
        <x:f>IF('Course_Master'!T404="","",'Course_Master'!T404)</x:f>
        <x:v>35</x:v>
      </x:c>
      <x:c r="N404" s="28" t="n">
        <x:f>IF('Course_Master'!Q404="","",'Course_Master'!Q404)</x:f>
        <x:v>3022</x:v>
      </x:c>
      <x:c r="O404" s="28" t="n">
        <x:f>IF('Course_Master'!R404="","",'Course_Master'!R404)</x:f>
        <x:v>2763</x:v>
      </x:c>
      <x:c r="P404" s="28" t="str">
        <x:f>IF('Course_Master'!U404="","",'Course_Master'!U404)</x:f>
        <x:v>Full-length course</x:v>
      </x:c>
      <x:c r="Q404" s="28" t="str">
        <x:f>IF('Course_Master'!AD404="","",'Course_Master'!AD404)</x:f>
        <x:v>Public — handicap 54 or lower</x:v>
      </x:c>
      <x:c r="R404" s="28" t="str">
        <x:f>IF('Course_Master'!AC404="","",'Course_Master'!AC404)</x:f>
        <x:v>Open</x:v>
      </x:c>
      <x:c r="S404" s="28" t="str">
        <x:f>IF('Course_Master'!Y404="","",'Course_Master'!Y404)</x:f>
        <x:v>https://zeegersloot.nl/</x:v>
      </x:c>
      <x:c r="T404" s="28" t="b">
        <x:f>IF('Course_Master'!Z404="","",'Course_Master'!Z404)</x:f>
        <x:v>1</x:v>
      </x:c>
      <x:c r="U404" s="28" t="b">
        <x:f>IF('Course_Master'!AA404="","",'Course_Master'!AA404)</x:f>
        <x:v>1</x:v>
      </x:c>
      <x:c r="V404" s="28" t="str">
        <x:f>IF('Course_Master'!AL404="","",'Course_Master'!AL404)</x:f>
        <x:v>Verified — national register and exact BAG address</x:v>
      </x:c>
    </x:row>
    <x:row r="405">
      <x:c r="A405" s="28" t="str">
        <x:f>IF('Course_Master'!B405="","",'Course_Master'!B405)</x:f>
        <x:v>NL-0404</x:v>
      </x:c>
      <x:c r="B405" s="28" t="str">
        <x:f>IF('Course_Master'!C405="","",'Course_Master'!C405)</x:f>
        <x:v>Golfclub Zeegersloot — Parkbaan</x:v>
      </x:c>
      <x:c r="C405" s="28" t="str">
        <x:f>IF('Course_Master'!D405="","",'Course_Master'!D405)</x:f>
        <x:v>Golfclub Zeegersloot</x:v>
      </x:c>
      <x:c r="D405" s="28" t="str">
        <x:f>IF('Course_Master'!E405="","",'Course_Master'!E405)</x:f>
        <x:v>Parkbaan</x:v>
      </x:c>
      <x:c r="E405" s="28" t="str">
        <x:f>IF('Course_Master'!F405="","",'Course_Master'!F405)</x:f>
        <x:v>Netherlands</x:v>
      </x:c>
      <x:c r="F405" s="28" t="str">
        <x:f>IF('Course_Master'!G405="","",'Course_Master'!G405)</x:f>
        <x:v>Zuid-Holland</x:v>
      </x:c>
      <x:c r="G405" s="28" t="str">
        <x:f>IF('Course_Master'!H405="","",'Course_Master'!H405)</x:f>
        <x:v>Alphen aan den Rijn</x:v>
      </x:c>
      <x:c r="H405" s="28" t="str">
        <x:f>IF('Course_Master'!I405="","",'Course_Master'!I405)</x:f>
        <x:v>Alphen aan den Rijn</x:v>
      </x:c>
      <x:c r="I405" s="28" t="str">
        <x:f>IF('Course_Master'!K405="","",'Course_Master'!K405)</x:f>
        <x:v>2403 NB</x:v>
      </x:c>
      <x:c r="J405" s="34" t="n">
        <x:f>IF('Course_Master'!L405="","",'Course_Master'!L405)</x:f>
        <x:v>52.14419548</x:v>
      </x:c>
      <x:c r="K405" s="34" t="n">
        <x:f>IF('Course_Master'!M405="","",'Course_Master'!M405)</x:f>
        <x:v>4.69711251</x:v>
      </x:c>
      <x:c r="L405" s="28" t="n">
        <x:f>IF('Course_Master'!S405="","",'Course_Master'!S405)</x:f>
        <x:v>9</x:v>
      </x:c>
      <x:c r="M405" s="28" t="n">
        <x:f>IF('Course_Master'!T405="","",'Course_Master'!T405)</x:f>
        <x:v>27</x:v>
      </x:c>
      <x:c r="N405" s="28" t="n">
        <x:f>IF('Course_Master'!Q405="","",'Course_Master'!Q405)</x:f>
        <x:v>1369</x:v>
      </x:c>
      <x:c r="O405" s="28" t="n">
        <x:f>IF('Course_Master'!R405="","",'Course_Master'!R405)</x:f>
        <x:v>1252</x:v>
      </x:c>
      <x:c r="P405" s="28" t="str">
        <x:f>IF('Course_Master'!U405="","",'Course_Master'!U405)</x:f>
        <x:v>Par-3 course</x:v>
      </x:c>
      <x:c r="Q405" s="28" t="str">
        <x:f>IF('Course_Master'!AD405="","",'Course_Master'!AD405)</x:f>
        <x:v>Public — NGF course permission</x:v>
      </x:c>
      <x:c r="R405" s="28" t="str">
        <x:f>IF('Course_Master'!AC405="","",'Course_Master'!AC405)</x:f>
        <x:v>Open</x:v>
      </x:c>
      <x:c r="S405" s="28" t="str">
        <x:f>IF('Course_Master'!Y405="","",'Course_Master'!Y405)</x:f>
        <x:v>https://zeegersloot.nl/</x:v>
      </x:c>
      <x:c r="T405" s="28" t="b">
        <x:f>IF('Course_Master'!Z405="","",'Course_Master'!Z405)</x:f>
        <x:v>1</x:v>
      </x:c>
      <x:c r="U405" s="28" t="b">
        <x:f>IF('Course_Master'!AA405="","",'Course_Master'!AA405)</x:f>
        <x:v>1</x:v>
      </x:c>
      <x:c r="V405" s="28" t="str">
        <x:f>IF('Course_Master'!AL405="","",'Course_Master'!AL405)</x:f>
        <x:v>Verified — national register and exact BAG address</x:v>
      </x:c>
    </x:row>
    <x:row r="406">
      <x:c r="A406" s="28" t="str">
        <x:f>IF('Course_Master'!B406="","",'Course_Master'!B406)</x:f>
        <x:v>NL-0405</x:v>
      </x:c>
      <x:c r="B406" s="28" t="str">
        <x:f>IF('Course_Master'!C406="","",'Course_Master'!C406)</x:f>
        <x:v>Golfpark De Star — Par 3/4 baan</x:v>
      </x:c>
      <x:c r="C406" s="28" t="str">
        <x:f>IF('Course_Master'!D406="","",'Course_Master'!D406)</x:f>
        <x:v>Golfpark De Star</x:v>
      </x:c>
      <x:c r="D406" s="28" t="str">
        <x:f>IF('Course_Master'!E406="","",'Course_Master'!E406)</x:f>
        <x:v>Par 3/4 baan</x:v>
      </x:c>
      <x:c r="E406" s="28" t="str">
        <x:f>IF('Course_Master'!F406="","",'Course_Master'!F406)</x:f>
        <x:v>Netherlands</x:v>
      </x:c>
      <x:c r="F406" s="28" t="str">
        <x:f>IF('Course_Master'!G406="","",'Course_Master'!G406)</x:f>
        <x:v>Zuid-Holland</x:v>
      </x:c>
      <x:c r="G406" s="28" t="str">
        <x:f>IF('Course_Master'!H406="","",'Course_Master'!H406)</x:f>
        <x:v>Leidschendam-Voorburg</x:v>
      </x:c>
      <x:c r="H406" s="28" t="str">
        <x:f>IF('Course_Master'!I406="","",'Course_Master'!I406)</x:f>
        <x:v>Leidschendam</x:v>
      </x:c>
      <x:c r="I406" s="28" t="str">
        <x:f>IF('Course_Master'!K406="","",'Course_Master'!K406)</x:f>
        <x:v>2266 NA</x:v>
      </x:c>
      <x:c r="J406" s="34" t="n">
        <x:f>IF('Course_Master'!L406="","",'Course_Master'!L406)</x:f>
        <x:v>52.08413297</x:v>
      </x:c>
      <x:c r="K406" s="34" t="n">
        <x:f>IF('Course_Master'!M406="","",'Course_Master'!M406)</x:f>
        <x:v>4.40966358</x:v>
      </x:c>
      <x:c r="L406" s="28" t="n">
        <x:f>IF('Course_Master'!S406="","",'Course_Master'!S406)</x:f>
        <x:v>9</x:v>
      </x:c>
      <x:c r="M406" s="28" t="n">
        <x:f>IF('Course_Master'!T406="","",'Course_Master'!T406)</x:f>
        <x:v>29</x:v>
      </x:c>
      <x:c r="N406" s="28" t="n">
        <x:f>IF('Course_Master'!Q406="","",'Course_Master'!Q406)</x:f>
        <x:v>1412</x:v>
      </x:c>
      <x:c r="O406" s="28" t="n">
        <x:f>IF('Course_Master'!R406="","",'Course_Master'!R406)</x:f>
        <x:v>1291</x:v>
      </x:c>
      <x:c r="P406" s="28" t="str">
        <x:f>IF('Course_Master'!U406="","",'Course_Master'!U406)</x:f>
        <x:v>Par-3/4 course</x:v>
      </x:c>
      <x:c r="Q406" s="28" t="str">
        <x:f>IF('Course_Master'!AD406="","",'Course_Master'!AD406)</x:f>
        <x:v>Public — NGF course permission</x:v>
      </x:c>
      <x:c r="R406" s="28" t="str">
        <x:f>IF('Course_Master'!AC406="","",'Course_Master'!AC406)</x:f>
        <x:v>Open</x:v>
      </x:c>
      <x:c r="S406" s="28" t="str">
        <x:f>IF('Course_Master'!Y406="","",'Course_Master'!Y406)</x:f>
        <x:v>https://golfparkdestar.nl/</x:v>
      </x:c>
      <x:c r="T406" s="28" t="b">
        <x:f>IF('Course_Master'!Z406="","",'Course_Master'!Z406)</x:f>
        <x:v>1</x:v>
      </x:c>
      <x:c r="U406" s="28" t="b">
        <x:f>IF('Course_Master'!AA406="","",'Course_Master'!AA406)</x:f>
        <x:v>1</x:v>
      </x:c>
      <x:c r="V406" s="28" t="str">
        <x:f>IF('Course_Master'!AL406="","",'Course_Master'!AL406)</x:f>
        <x:v>Verified — national register and exact BAG address</x:v>
      </x:c>
    </x:row>
    <x:row r="407">
      <x:c r="A407" s="28" t="str">
        <x:f>IF('Course_Master'!B407="","",'Course_Master'!B407)</x:f>
        <x:v>NL-0406</x:v>
      </x:c>
      <x:c r="B407" s="28" t="str">
        <x:f>IF('Course_Master'!C407="","",'Course_Master'!C407)</x:f>
        <x:v>Golfpark De Star — Shortgolf baan</x:v>
      </x:c>
      <x:c r="C407" s="28" t="str">
        <x:f>IF('Course_Master'!D407="","",'Course_Master'!D407)</x:f>
        <x:v>Golfpark De Star</x:v>
      </x:c>
      <x:c r="D407" s="28" t="str">
        <x:f>IF('Course_Master'!E407="","",'Course_Master'!E407)</x:f>
        <x:v>Shortgolf baan</x:v>
      </x:c>
      <x:c r="E407" s="28" t="str">
        <x:f>IF('Course_Master'!F407="","",'Course_Master'!F407)</x:f>
        <x:v>Netherlands</x:v>
      </x:c>
      <x:c r="F407" s="28" t="str">
        <x:f>IF('Course_Master'!G407="","",'Course_Master'!G407)</x:f>
        <x:v>Zuid-Holland</x:v>
      </x:c>
      <x:c r="G407" s="28" t="str">
        <x:f>IF('Course_Master'!H407="","",'Course_Master'!H407)</x:f>
        <x:v>Leidschendam-Voorburg</x:v>
      </x:c>
      <x:c r="H407" s="28" t="str">
        <x:f>IF('Course_Master'!I407="","",'Course_Master'!I407)</x:f>
        <x:v>Leidschendam</x:v>
      </x:c>
      <x:c r="I407" s="28" t="str">
        <x:f>IF('Course_Master'!K407="","",'Course_Master'!K407)</x:f>
        <x:v>2266 NA</x:v>
      </x:c>
      <x:c r="J407" s="34" t="n">
        <x:f>IF('Course_Master'!L407="","",'Course_Master'!L407)</x:f>
        <x:v>52.08413297</x:v>
      </x:c>
      <x:c r="K407" s="34" t="n">
        <x:f>IF('Course_Master'!M407="","",'Course_Master'!M407)</x:f>
        <x:v>4.40966358</x:v>
      </x:c>
      <x:c r="L407" s="28" t="n">
        <x:f>IF('Course_Master'!S407="","",'Course_Master'!S407)</x:f>
        <x:v>9</x:v>
      </x:c>
      <x:c r="M407" s="28" t="n">
        <x:f>IF('Course_Master'!T407="","",'Course_Master'!T407)</x:f>
        <x:v>27</x:v>
      </x:c>
      <x:c r="N407" s="28" t="n">
        <x:f>IF('Course_Master'!Q407="","",'Course_Master'!Q407)</x:f>
        <x:v>492</x:v>
      </x:c>
      <x:c r="O407" s="28" t="n">
        <x:f>IF('Course_Master'!R407="","",'Course_Master'!R407)</x:f>
        <x:v>450</x:v>
      </x:c>
      <x:c r="P407" s="28" t="str">
        <x:f>IF('Course_Master'!U407="","",'Course_Master'!U407)</x:f>
        <x:v>Shortgolf / Pitch &amp; Putt</x:v>
      </x:c>
      <x:c r="Q407" s="28" t="str">
        <x:f>IF('Course_Master'!AD407="","",'Course_Master'!AD407)</x:f>
        <x:v>Public — no playing requirement</x:v>
      </x:c>
      <x:c r="R407" s="28" t="str">
        <x:f>IF('Course_Master'!AC407="","",'Course_Master'!AC407)</x:f>
        <x:v>Open</x:v>
      </x:c>
      <x:c r="S407" s="28" t="str">
        <x:f>IF('Course_Master'!Y407="","",'Course_Master'!Y407)</x:f>
        <x:v>https://golfparkdestar.nl/</x:v>
      </x:c>
      <x:c r="T407" s="28" t="b">
        <x:f>IF('Course_Master'!Z407="","",'Course_Master'!Z407)</x:f>
        <x:v>1</x:v>
      </x:c>
      <x:c r="U407" s="28" t="b">
        <x:f>IF('Course_Master'!AA407="","",'Course_Master'!AA407)</x:f>
        <x:v>1</x:v>
      </x:c>
      <x:c r="V407" s="28" t="str">
        <x:f>IF('Course_Master'!AL407="","",'Course_Master'!AL407)</x:f>
        <x:v>Verified — national register and exact BAG address</x:v>
      </x:c>
    </x:row>
    <x:row r="408">
      <x:c r="A408" s="28" t="str">
        <x:f>IF('Course_Master'!B408="","",'Course_Master'!B408)</x:f>
        <x:v>NL-0407</x:v>
      </x:c>
      <x:c r="B408" s="28" t="str">
        <x:f>IF('Course_Master'!C408="","",'Course_Master'!C408)</x:f>
        <x:v>Golfpark Rotterdam — Korte baan</x:v>
      </x:c>
      <x:c r="C408" s="28" t="str">
        <x:f>IF('Course_Master'!D408="","",'Course_Master'!D408)</x:f>
        <x:v>Golfpark Rotterdam</x:v>
      </x:c>
      <x:c r="D408" s="28" t="str">
        <x:f>IF('Course_Master'!E408="","",'Course_Master'!E408)</x:f>
        <x:v>Korte baan</x:v>
      </x:c>
      <x:c r="E408" s="28" t="str">
        <x:f>IF('Course_Master'!F408="","",'Course_Master'!F408)</x:f>
        <x:v>Netherlands</x:v>
      </x:c>
      <x:c r="F408" s="28" t="str">
        <x:f>IF('Course_Master'!G408="","",'Course_Master'!G408)</x:f>
        <x:v>Zuid-Holland</x:v>
      </x:c>
      <x:c r="G408" s="28" t="str">
        <x:f>IF('Course_Master'!H408="","",'Course_Master'!H408)</x:f>
        <x:v>Rotterdam</x:v>
      </x:c>
      <x:c r="H408" s="28" t="str">
        <x:f>IF('Course_Master'!I408="","",'Course_Master'!I408)</x:f>
        <x:v>Rotterdam</x:v>
      </x:c>
      <x:c r="I408" s="28" t="str">
        <x:f>IF('Course_Master'!K408="","",'Course_Master'!K408)</x:f>
        <x:v>3047 AT</x:v>
      </x:c>
      <x:c r="J408" s="34" t="n">
        <x:f>IF('Course_Master'!L408="","",'Course_Master'!L408)</x:f>
        <x:v>51.94694803</x:v>
      </x:c>
      <x:c r="K408" s="34" t="n">
        <x:f>IF('Course_Master'!M408="","",'Course_Master'!M408)</x:f>
        <x:v>4.40349433</x:v>
      </x:c>
      <x:c r="L408" s="28" t="n">
        <x:f>IF('Course_Master'!S408="","",'Course_Master'!S408)</x:f>
        <x:v>9</x:v>
      </x:c>
      <x:c r="M408" s="28" t="n">
        <x:f>IF('Course_Master'!T408="","",'Course_Master'!T408)</x:f>
        <x:v>28</x:v>
      </x:c>
      <x:c r="N408" s="28" t="n">
        <x:f>IF('Course_Master'!Q408="","",'Course_Master'!Q408)</x:f>
        <x:v>1220</x:v>
      </x:c>
      <x:c r="O408" s="28" t="n">
        <x:f>IF('Course_Master'!R408="","",'Course_Master'!R408)</x:f>
        <x:v>1116</x:v>
      </x:c>
      <x:c r="P408" s="28" t="str">
        <x:f>IF('Course_Master'!U408="","",'Course_Master'!U408)</x:f>
        <x:v>Par-3/4 course</x:v>
      </x:c>
      <x:c r="Q408" s="28" t="str">
        <x:f>IF('Course_Master'!AD408="","",'Course_Master'!AD408)</x:f>
        <x:v>Public — NGF course permission</x:v>
      </x:c>
      <x:c r="R408" s="28" t="str">
        <x:f>IF('Course_Master'!AC408="","",'Course_Master'!AC408)</x:f>
        <x:v>Open</x:v>
      </x:c>
      <x:c r="S408" s="28" t="str">
        <x:f>IF('Course_Master'!Y408="","",'Course_Master'!Y408)</x:f>
        <x:v>https://www.hollandschegolfclub.nl/golfpark/rotterdam/</x:v>
      </x:c>
      <x:c r="T408" s="28" t="b">
        <x:f>IF('Course_Master'!Z408="","",'Course_Master'!Z408)</x:f>
        <x:v>1</x:v>
      </x:c>
      <x:c r="U408" s="28" t="b">
        <x:f>IF('Course_Master'!AA408="","",'Course_Master'!AA408)</x:f>
        <x:v>1</x:v>
      </x:c>
      <x:c r="V408" s="28" t="str">
        <x:f>IF('Course_Master'!AL408="","",'Course_Master'!AL408)</x:f>
        <x:v>Verified — national register and exact BAG address</x:v>
      </x:c>
    </x:row>
    <x:row r="409">
      <x:c r="A409" s="28" t="str">
        <x:f>IF('Course_Master'!B409="","",'Course_Master'!B409)</x:f>
        <x:v>NL-0408</x:v>
      </x:c>
      <x:c r="B409" s="28" t="str">
        <x:f>IF('Course_Master'!C409="","",'Course_Master'!C409)</x:f>
        <x:v>Golfpark Rotterdam — Tijdelijke lus</x:v>
      </x:c>
      <x:c r="C409" s="28" t="str">
        <x:f>IF('Course_Master'!D409="","",'Course_Master'!D409)</x:f>
        <x:v>Golfpark Rotterdam</x:v>
      </x:c>
      <x:c r="D409" s="28" t="str">
        <x:f>IF('Course_Master'!E409="","",'Course_Master'!E409)</x:f>
        <x:v>Tijdelijke lus</x:v>
      </x:c>
      <x:c r="E409" s="28" t="str">
        <x:f>IF('Course_Master'!F409="","",'Course_Master'!F409)</x:f>
        <x:v>Netherlands</x:v>
      </x:c>
      <x:c r="F409" s="28" t="str">
        <x:f>IF('Course_Master'!G409="","",'Course_Master'!G409)</x:f>
        <x:v>Zuid-Holland</x:v>
      </x:c>
      <x:c r="G409" s="28" t="str">
        <x:f>IF('Course_Master'!H409="","",'Course_Master'!H409)</x:f>
        <x:v>Rotterdam</x:v>
      </x:c>
      <x:c r="H409" s="28" t="str">
        <x:f>IF('Course_Master'!I409="","",'Course_Master'!I409)</x:f>
        <x:v>Rotterdam</x:v>
      </x:c>
      <x:c r="I409" s="28" t="str">
        <x:f>IF('Course_Master'!K409="","",'Course_Master'!K409)</x:f>
        <x:v>3047 AT</x:v>
      </x:c>
      <x:c r="J409" s="34" t="n">
        <x:f>IF('Course_Master'!L409="","",'Course_Master'!L409)</x:f>
        <x:v>51.94694803</x:v>
      </x:c>
      <x:c r="K409" s="34" t="n">
        <x:f>IF('Course_Master'!M409="","",'Course_Master'!M409)</x:f>
        <x:v>4.40349433</x:v>
      </x:c>
      <x:c r="L409" s="28" t="n">
        <x:f>IF('Course_Master'!S409="","",'Course_Master'!S409)</x:f>
        <x:v>9</x:v>
      </x:c>
      <x:c r="M409" s="28" t="n">
        <x:f>IF('Course_Master'!T409="","",'Course_Master'!T409)</x:f>
        <x:v>36</x:v>
      </x:c>
      <x:c r="N409" s="28" t="n">
        <x:f>IF('Course_Master'!Q409="","",'Course_Master'!Q409)</x:f>
        <x:v>3140</x:v>
      </x:c>
      <x:c r="O409" s="28" t="n">
        <x:f>IF('Course_Master'!R409="","",'Course_Master'!R409)</x:f>
        <x:v>2871</x:v>
      </x:c>
      <x:c r="P409" s="28" t="str">
        <x:f>IF('Course_Master'!U409="","",'Course_Master'!U409)</x:f>
        <x:v>Full-length course</x:v>
      </x:c>
      <x:c r="Q409" s="28" t="str">
        <x:f>IF('Course_Master'!AD409="","",'Course_Master'!AD409)</x:f>
        <x:v>Public — NGF course permission</x:v>
      </x:c>
      <x:c r="R409" s="28" t="str">
        <x:f>IF('Course_Master'!AC409="","",'Course_Master'!AC409)</x:f>
        <x:v>Open</x:v>
      </x:c>
      <x:c r="S409" s="28" t="str">
        <x:f>IF('Course_Master'!Y409="","",'Course_Master'!Y409)</x:f>
        <x:v>https://www.hollandschegolfclub.nl/golfpark/rotterdam/</x:v>
      </x:c>
      <x:c r="T409" s="28" t="b">
        <x:f>IF('Course_Master'!Z409="","",'Course_Master'!Z409)</x:f>
        <x:v>1</x:v>
      </x:c>
      <x:c r="U409" s="28" t="b">
        <x:f>IF('Course_Master'!AA409="","",'Course_Master'!AA409)</x:f>
        <x:v>1</x:v>
      </x:c>
      <x:c r="V409" s="28" t="str">
        <x:f>IF('Course_Master'!AL409="","",'Course_Master'!AL409)</x:f>
        <x:v>Verified — national register and exact BAG address</x:v>
      </x:c>
    </x:row>
    <x:row r="410">
      <x:c r="A410" s="28" t="str">
        <x:f>IF('Course_Master'!B410="","",'Course_Master'!B410)</x:f>
        <x:v>NL-0409</x:v>
      </x:c>
      <x:c r="B410" s="28" t="str">
        <x:f>IF('Course_Master'!C410="","",'Course_Master'!C410)</x:f>
        <x:v>Golfpark Westerpark — Blauw</x:v>
      </x:c>
      <x:c r="C410" s="28" t="str">
        <x:f>IF('Course_Master'!D410="","",'Course_Master'!D410)</x:f>
        <x:v>Golfpark Westerpark</x:v>
      </x:c>
      <x:c r="D410" s="28" t="str">
        <x:f>IF('Course_Master'!E410="","",'Course_Master'!E410)</x:f>
        <x:v>Blauw</x:v>
      </x:c>
      <x:c r="E410" s="28" t="str">
        <x:f>IF('Course_Master'!F410="","",'Course_Master'!F410)</x:f>
        <x:v>Netherlands</x:v>
      </x:c>
      <x:c r="F410" s="28" t="str">
        <x:f>IF('Course_Master'!G410="","",'Course_Master'!G410)</x:f>
        <x:v>Zuid-Holland</x:v>
      </x:c>
      <x:c r="G410" s="28" t="str">
        <x:f>IF('Course_Master'!H410="","",'Course_Master'!H410)</x:f>
        <x:v>Zoetermeer</x:v>
      </x:c>
      <x:c r="H410" s="28" t="str">
        <x:f>IF('Course_Master'!I410="","",'Course_Master'!I410)</x:f>
        <x:v>Zoetermeer</x:v>
      </x:c>
      <x:c r="I410" s="28" t="str">
        <x:f>IF('Course_Master'!K410="","",'Course_Master'!K410)</x:f>
        <x:v>2716 DZ</x:v>
      </x:c>
      <x:c r="J410" s="34" t="n">
        <x:f>IF('Course_Master'!L410="","",'Course_Master'!L410)</x:f>
        <x:v>52.05348558</x:v>
      </x:c>
      <x:c r="K410" s="34" t="n">
        <x:f>IF('Course_Master'!M410="","",'Course_Master'!M410)</x:f>
        <x:v>4.43914761</x:v>
      </x:c>
      <x:c r="L410" s="28" t="n">
        <x:f>IF('Course_Master'!S410="","",'Course_Master'!S410)</x:f>
        <x:v>9</x:v>
      </x:c>
      <x:c r="M410" s="28" t="n">
        <x:f>IF('Course_Master'!T410="","",'Course_Master'!T410)</x:f>
        <x:v>36</x:v>
      </x:c>
      <x:c r="N410" s="28" t="n">
        <x:f>IF('Course_Master'!Q410="","",'Course_Master'!Q410)</x:f>
        <x:v>3419</x:v>
      </x:c>
      <x:c r="O410" s="28" t="n">
        <x:f>IF('Course_Master'!R410="","",'Course_Master'!R410)</x:f>
        <x:v>3126</x:v>
      </x:c>
      <x:c r="P410" s="28" t="str">
        <x:f>IF('Course_Master'!U410="","",'Course_Master'!U410)</x:f>
        <x:v>Full-length course</x:v>
      </x:c>
      <x:c r="Q410" s="28" t="str">
        <x:f>IF('Course_Master'!AD410="","",'Course_Master'!AD410)</x:f>
        <x:v>Public — handicap 54 or lower</x:v>
      </x:c>
      <x:c r="R410" s="28" t="str">
        <x:f>IF('Course_Master'!AC410="","",'Course_Master'!AC410)</x:f>
        <x:v>Open</x:v>
      </x:c>
      <x:c r="S410" s="28" t="str">
        <x:f>IF('Course_Master'!Y410="","",'Course_Master'!Y410)</x:f>
        <x:v>https://www.hollandschegolfclub.nl/golfpark/westerpark/</x:v>
      </x:c>
      <x:c r="T410" s="28" t="b">
        <x:f>IF('Course_Master'!Z410="","",'Course_Master'!Z410)</x:f>
        <x:v>1</x:v>
      </x:c>
      <x:c r="U410" s="28" t="b">
        <x:f>IF('Course_Master'!AA410="","",'Course_Master'!AA410)</x:f>
        <x:v>1</x:v>
      </x:c>
      <x:c r="V410" s="28" t="str">
        <x:f>IF('Course_Master'!AL410="","",'Course_Master'!AL410)</x:f>
        <x:v>Verified — national register and exact BAG address</x:v>
      </x:c>
    </x:row>
    <x:row r="411">
      <x:c r="A411" s="28" t="str">
        <x:f>IF('Course_Master'!B411="","",'Course_Master'!B411)</x:f>
        <x:v>NL-0410</x:v>
      </x:c>
      <x:c r="B411" s="28" t="str">
        <x:f>IF('Course_Master'!C411="","",'Course_Master'!C411)</x:f>
        <x:v>Golfpark Westerpark — Geel</x:v>
      </x:c>
      <x:c r="C411" s="28" t="str">
        <x:f>IF('Course_Master'!D411="","",'Course_Master'!D411)</x:f>
        <x:v>Golfpark Westerpark</x:v>
      </x:c>
      <x:c r="D411" s="28" t="str">
        <x:f>IF('Course_Master'!E411="","",'Course_Master'!E411)</x:f>
        <x:v>Geel</x:v>
      </x:c>
      <x:c r="E411" s="28" t="str">
        <x:f>IF('Course_Master'!F411="","",'Course_Master'!F411)</x:f>
        <x:v>Netherlands</x:v>
      </x:c>
      <x:c r="F411" s="28" t="str">
        <x:f>IF('Course_Master'!G411="","",'Course_Master'!G411)</x:f>
        <x:v>Zuid-Holland</x:v>
      </x:c>
      <x:c r="G411" s="28" t="str">
        <x:f>IF('Course_Master'!H411="","",'Course_Master'!H411)</x:f>
        <x:v>Zoetermeer</x:v>
      </x:c>
      <x:c r="H411" s="28" t="str">
        <x:f>IF('Course_Master'!I411="","",'Course_Master'!I411)</x:f>
        <x:v>Zoetermeer</x:v>
      </x:c>
      <x:c r="I411" s="28" t="str">
        <x:f>IF('Course_Master'!K411="","",'Course_Master'!K411)</x:f>
        <x:v>2716 DZ</x:v>
      </x:c>
      <x:c r="J411" s="34" t="n">
        <x:f>IF('Course_Master'!L411="","",'Course_Master'!L411)</x:f>
        <x:v>52.05348558</x:v>
      </x:c>
      <x:c r="K411" s="34" t="n">
        <x:f>IF('Course_Master'!M411="","",'Course_Master'!M411)</x:f>
        <x:v>4.43914761</x:v>
      </x:c>
      <x:c r="L411" s="28" t="n">
        <x:f>IF('Course_Master'!S411="","",'Course_Master'!S411)</x:f>
        <x:v>9</x:v>
      </x:c>
      <x:c r="M411" s="28" t="n">
        <x:f>IF('Course_Master'!T411="","",'Course_Master'!T411)</x:f>
        <x:v>35</x:v>
      </x:c>
      <x:c r="N411" s="28" t="n">
        <x:f>IF('Course_Master'!Q411="","",'Course_Master'!Q411)</x:f>
        <x:v>3128</x:v>
      </x:c>
      <x:c r="O411" s="28" t="n">
        <x:f>IF('Course_Master'!R411="","",'Course_Master'!R411)</x:f>
        <x:v>2860</x:v>
      </x:c>
      <x:c r="P411" s="28" t="str">
        <x:f>IF('Course_Master'!U411="","",'Course_Master'!U411)</x:f>
        <x:v>Full-length course</x:v>
      </x:c>
      <x:c r="Q411" s="28" t="str">
        <x:f>IF('Course_Master'!AD411="","",'Course_Master'!AD411)</x:f>
        <x:v>Public — handicap 54 or lower</x:v>
      </x:c>
      <x:c r="R411" s="28" t="str">
        <x:f>IF('Course_Master'!AC411="","",'Course_Master'!AC411)</x:f>
        <x:v>Open</x:v>
      </x:c>
      <x:c r="S411" s="28" t="str">
        <x:f>IF('Course_Master'!Y411="","",'Course_Master'!Y411)</x:f>
        <x:v>https://www.hollandschegolfclub.nl/golfpark/westerpark/</x:v>
      </x:c>
      <x:c r="T411" s="28" t="b">
        <x:f>IF('Course_Master'!Z411="","",'Course_Master'!Z411)</x:f>
        <x:v>1</x:v>
      </x:c>
      <x:c r="U411" s="28" t="b">
        <x:f>IF('Course_Master'!AA411="","",'Course_Master'!AA411)</x:f>
        <x:v>1</x:v>
      </x:c>
      <x:c r="V411" s="28" t="str">
        <x:f>IF('Course_Master'!AL411="","",'Course_Master'!AL411)</x:f>
        <x:v>Verified — national register and exact BAG address</x:v>
      </x:c>
    </x:row>
    <x:row r="412">
      <x:c r="A412" s="28" t="str">
        <x:f>IF('Course_Master'!B412="","",'Course_Master'!B412)</x:f>
        <x:v>NL-0411</x:v>
      </x:c>
      <x:c r="B412" s="28" t="str">
        <x:f>IF('Course_Master'!C412="","",'Course_Master'!C412)</x:f>
        <x:v>Haagsche Countryclub Groen-Geel — Groen</x:v>
      </x:c>
      <x:c r="C412" s="28" t="str">
        <x:f>IF('Course_Master'!D412="","",'Course_Master'!D412)</x:f>
        <x:v>Haagsche Countryclub Groen-Geel</x:v>
      </x:c>
      <x:c r="D412" s="28" t="str">
        <x:f>IF('Course_Master'!E412="","",'Course_Master'!E412)</x:f>
        <x:v>Groen</x:v>
      </x:c>
      <x:c r="E412" s="28" t="str">
        <x:f>IF('Course_Master'!F412="","",'Course_Master'!F412)</x:f>
        <x:v>Netherlands</x:v>
      </x:c>
      <x:c r="F412" s="28" t="str">
        <x:f>IF('Course_Master'!G412="","",'Course_Master'!G412)</x:f>
        <x:v>Zuid-Holland</x:v>
      </x:c>
      <x:c r="G412" s="28" t="str">
        <x:f>IF('Course_Master'!H412="","",'Course_Master'!H412)</x:f>
        <x:v>Wassenaar</x:v>
      </x:c>
      <x:c r="H412" s="28" t="str">
        <x:f>IF('Course_Master'!I412="","",'Course_Master'!I412)</x:f>
        <x:v>Wassenaar</x:v>
      </x:c>
      <x:c r="I412" s="28" t="str">
        <x:f>IF('Course_Master'!K412="","",'Course_Master'!K412)</x:f>
        <x:v>2244 AJ</x:v>
      </x:c>
      <x:c r="J412" s="34" t="n">
        <x:f>IF('Course_Master'!L412="","",'Course_Master'!L412)</x:f>
        <x:v>52.11452274</x:v>
      </x:c>
      <x:c r="K412" s="34" t="n">
        <x:f>IF('Course_Master'!M412="","",'Course_Master'!M412)</x:f>
        <x:v>4.34346175</x:v>
      </x:c>
      <x:c r="L412" s="28" t="n">
        <x:f>IF('Course_Master'!S412="","",'Course_Master'!S412)</x:f>
        <x:v>9</x:v>
      </x:c>
      <x:c r="M412" s="28" t="n">
        <x:f>IF('Course_Master'!T412="","",'Course_Master'!T412)</x:f>
        <x:v>31</x:v>
      </x:c>
      <x:c r="N412" s="28" t="n">
        <x:f>IF('Course_Master'!Q412="","",'Course_Master'!Q412)</x:f>
        <x:v>1911</x:v>
      </x:c>
      <x:c r="O412" s="28" t="n">
        <x:f>IF('Course_Master'!R412="","",'Course_Master'!R412)</x:f>
        <x:v>1747</x:v>
      </x:c>
      <x:c r="P412" s="28" t="str">
        <x:f>IF('Course_Master'!U412="","",'Course_Master'!U412)</x:f>
        <x:v>Par-3/4 course</x:v>
      </x:c>
      <x:c r="Q412" s="28" t="str">
        <x:f>IF('Course_Master'!AD412="","",'Course_Master'!AD412)</x:f>
        <x:v>Public — handicap 54 or lower</x:v>
      </x:c>
      <x:c r="R412" s="28" t="str">
        <x:f>IF('Course_Master'!AC412="","",'Course_Master'!AC412)</x:f>
        <x:v>Open</x:v>
      </x:c>
      <x:c r="S412" s="28" t="str">
        <x:f>IF('Course_Master'!Y412="","",'Course_Master'!Y412)</x:f>
        <x:v>https://www.groengeel.nl/</x:v>
      </x:c>
      <x:c r="T412" s="28" t="b">
        <x:f>IF('Course_Master'!Z412="","",'Course_Master'!Z412)</x:f>
        <x:v>1</x:v>
      </x:c>
      <x:c r="U412" s="28" t="b">
        <x:f>IF('Course_Master'!AA412="","",'Course_Master'!AA412)</x:f>
        <x:v>1</x:v>
      </x:c>
      <x:c r="V412" s="28" t="str">
        <x:f>IF('Course_Master'!AL412="","",'Course_Master'!AL412)</x:f>
        <x:v>Verified — national register and exact BAG address</x:v>
      </x:c>
    </x:row>
    <x:row r="413">
      <x:c r="A413" s="28" t="str">
        <x:f>IF('Course_Master'!B413="","",'Course_Master'!B413)</x:f>
        <x:v>NL-0412</x:v>
      </x:c>
      <x:c r="B413" s="28" t="str">
        <x:f>IF('Course_Master'!C413="","",'Course_Master'!C413)</x:f>
        <x:v>Haagse Golfvereniging Leeuwenbergh — Main Course</x:v>
      </x:c>
      <x:c r="C413" s="28" t="str">
        <x:f>IF('Course_Master'!D413="","",'Course_Master'!D413)</x:f>
        <x:v>Haagse Golfvereniging Leeuwenbergh</x:v>
      </x:c>
      <x:c r="D413" s="28" t="str">
        <x:f>IF('Course_Master'!E413="","",'Course_Master'!E413)</x:f>
        <x:v>Main Course</x:v>
      </x:c>
      <x:c r="E413" s="28" t="str">
        <x:f>IF('Course_Master'!F413="","",'Course_Master'!F413)</x:f>
        <x:v>Netherlands</x:v>
      </x:c>
      <x:c r="F413" s="28" t="str">
        <x:f>IF('Course_Master'!G413="","",'Course_Master'!G413)</x:f>
        <x:v>Zuid-Holland</x:v>
      </x:c>
      <x:c r="G413" s="28" t="str">
        <x:f>IF('Course_Master'!H413="","",'Course_Master'!H413)</x:f>
        <x:v>'s-Gravenhage</x:v>
      </x:c>
      <x:c r="H413" s="28" t="str">
        <x:f>IF('Course_Master'!I413="","",'Course_Master'!I413)</x:f>
        <x:v>'s-Gravenhage</x:v>
      </x:c>
      <x:c r="I413" s="28" t="str">
        <x:f>IF('Course_Master'!K413="","",'Course_Master'!K413)</x:f>
        <x:v>2495 AZ</x:v>
      </x:c>
      <x:c r="J413" s="34" t="n">
        <x:f>IF('Course_Master'!L413="","",'Course_Master'!L413)</x:f>
        <x:v>52.05741521</x:v>
      </x:c>
      <x:c r="K413" s="34" t="n">
        <x:f>IF('Course_Master'!M413="","",'Course_Master'!M413)</x:f>
        <x:v>4.36315288</x:v>
      </x:c>
      <x:c r="L413" s="28" t="n">
        <x:f>IF('Course_Master'!S413="","",'Course_Master'!S413)</x:f>
        <x:v>18</x:v>
      </x:c>
      <x:c r="M413" s="28" t="n">
        <x:f>IF('Course_Master'!T413="","",'Course_Master'!T413)</x:f>
        <x:v>71</x:v>
      </x:c>
      <x:c r="N413" s="28" t="n">
        <x:f>IF('Course_Master'!Q413="","",'Course_Master'!Q413)</x:f>
        <x:v>6343</x:v>
      </x:c>
      <x:c r="O413" s="28" t="n">
        <x:f>IF('Course_Master'!R413="","",'Course_Master'!R413)</x:f>
        <x:v>5800</x:v>
      </x:c>
      <x:c r="P413" s="28" t="str">
        <x:f>IF('Course_Master'!U413="","",'Course_Master'!U413)</x:f>
        <x:v>Full-length course</x:v>
      </x:c>
      <x:c r="Q413" s="28" t="str">
        <x:f>IF('Course_Master'!AD413="","",'Course_Master'!AD413)</x:f>
        <x:v>Public — handicap 54 or lower</x:v>
      </x:c>
      <x:c r="R413" s="28" t="str">
        <x:f>IF('Course_Master'!AC413="","",'Course_Master'!AC413)</x:f>
        <x:v>Open</x:v>
      </x:c>
      <x:c r="S413" s="28" t="str">
        <x:f>IF('Course_Master'!Y413="","",'Course_Master'!Y413)</x:f>
        <x:v>https://www.leeuwenbergh.nl/</x:v>
      </x:c>
      <x:c r="T413" s="28" t="b">
        <x:f>IF('Course_Master'!Z413="","",'Course_Master'!Z413)</x:f>
        <x:v>1</x:v>
      </x:c>
      <x:c r="U413" s="28" t="b">
        <x:f>IF('Course_Master'!AA413="","",'Course_Master'!AA413)</x:f>
        <x:v>1</x:v>
      </x:c>
      <x:c r="V413" s="28" t="str">
        <x:f>IF('Course_Master'!AL413="","",'Course_Master'!AL413)</x:f>
        <x:v>Verified — national register and exact BAG address</x:v>
      </x:c>
    </x:row>
    <x:row r="414">
      <x:c r="A414" s="28" t="str">
        <x:f>IF('Course_Master'!B414="","",'Course_Master'!B414)</x:f>
        <x:v>NL-0413</x:v>
      </x:c>
      <x:c r="B414" s="28" t="str">
        <x:f>IF('Course_Master'!C414="","",'Course_Master'!C414)</x:f>
        <x:v>Koninklijke Haagsche Golf &amp; Country Club — Main Course</x:v>
      </x:c>
      <x:c r="C414" s="28" t="str">
        <x:f>IF('Course_Master'!D414="","",'Course_Master'!D414)</x:f>
        <x:v>Koninklijke Haagsche Golf &amp; Country Club</x:v>
      </x:c>
      <x:c r="D414" s="28" t="str">
        <x:f>IF('Course_Master'!E414="","",'Course_Master'!E414)</x:f>
        <x:v>Main Course</x:v>
      </x:c>
      <x:c r="E414" s="28" t="str">
        <x:f>IF('Course_Master'!F414="","",'Course_Master'!F414)</x:f>
        <x:v>Netherlands</x:v>
      </x:c>
      <x:c r="F414" s="28" t="str">
        <x:f>IF('Course_Master'!G414="","",'Course_Master'!G414)</x:f>
        <x:v>Zuid-Holland</x:v>
      </x:c>
      <x:c r="G414" s="28" t="str">
        <x:f>IF('Course_Master'!H414="","",'Course_Master'!H414)</x:f>
        <x:v>Wassenaar</x:v>
      </x:c>
      <x:c r="H414" s="28" t="str">
        <x:f>IF('Course_Master'!I414="","",'Course_Master'!I414)</x:f>
        <x:v>Wassenaar</x:v>
      </x:c>
      <x:c r="I414" s="28" t="str">
        <x:f>IF('Course_Master'!K414="","",'Course_Master'!K414)</x:f>
        <x:v>2243 EC</x:v>
      </x:c>
      <x:c r="J414" s="34" t="n">
        <x:f>IF('Course_Master'!L414="","",'Course_Master'!L414)</x:f>
        <x:v>52.13290987</x:v>
      </x:c>
      <x:c r="K414" s="34" t="n">
        <x:f>IF('Course_Master'!M414="","",'Course_Master'!M414)</x:f>
        <x:v>4.36891164</x:v>
      </x:c>
      <x:c r="L414" s="28" t="n">
        <x:f>IF('Course_Master'!S414="","",'Course_Master'!S414)</x:f>
        <x:v>18</x:v>
      </x:c>
      <x:c r="M414" s="28" t="n">
        <x:f>IF('Course_Master'!T414="","",'Course_Master'!T414)</x:f>
        <x:v>72</x:v>
      </x:c>
      <x:c r="N414" s="28" t="n">
        <x:f>IF('Course_Master'!Q414="","",'Course_Master'!Q414)</x:f>
        <x:v>6755</x:v>
      </x:c>
      <x:c r="O414" s="28" t="n">
        <x:f>IF('Course_Master'!R414="","",'Course_Master'!R414)</x:f>
        <x:v>6177</x:v>
      </x:c>
      <x:c r="P414" s="28" t="str">
        <x:f>IF('Course_Master'!U414="","",'Course_Master'!U414)</x:f>
        <x:v>Full-length course</x:v>
      </x:c>
      <x:c r="Q414" s="28" t="str">
        <x:f>IF('Course_Master'!AD414="","",'Course_Master'!AD414)</x:f>
        <x:v>Public — handicap 24 or lower</x:v>
      </x:c>
      <x:c r="R414" s="28" t="str">
        <x:f>IF('Course_Master'!AC414="","",'Course_Master'!AC414)</x:f>
        <x:v>Open</x:v>
      </x:c>
      <x:c r="S414" s="28" t="str">
        <x:f>IF('Course_Master'!Y414="","",'Course_Master'!Y414)</x:f>
        <x:v>https://khgcc.nl/</x:v>
      </x:c>
      <x:c r="T414" s="28" t="b">
        <x:f>IF('Course_Master'!Z414="","",'Course_Master'!Z414)</x:f>
        <x:v>1</x:v>
      </x:c>
      <x:c r="U414" s="28" t="b">
        <x:f>IF('Course_Master'!AA414="","",'Course_Master'!AA414)</x:f>
        <x:v>1</x:v>
      </x:c>
      <x:c r="V414" s="28" t="str">
        <x:f>IF('Course_Master'!AL414="","",'Course_Master'!AL414)</x:f>
        <x:v>Verified — national register and exact BAG address</x:v>
      </x:c>
    </x:row>
    <x:row r="415">
      <x:c r="A415" s="28" t="str">
        <x:f>IF('Course_Master'!B415="","",'Course_Master'!B415)</x:f>
        <x:v>NL-0414</x:v>
      </x:c>
      <x:c r="B415" s="28" t="str">
        <x:f>IF('Course_Master'!C415="","",'Course_Master'!C415)</x:f>
        <x:v>Noordwijkse Golfclub — Main Course</x:v>
      </x:c>
      <x:c r="C415" s="28" t="str">
        <x:f>IF('Course_Master'!D415="","",'Course_Master'!D415)</x:f>
        <x:v>Noordwijkse Golfclub</x:v>
      </x:c>
      <x:c r="D415" s="28" t="str">
        <x:f>IF('Course_Master'!E415="","",'Course_Master'!E415)</x:f>
        <x:v>Main Course</x:v>
      </x:c>
      <x:c r="E415" s="28" t="str">
        <x:f>IF('Course_Master'!F415="","",'Course_Master'!F415)</x:f>
        <x:v>Netherlands</x:v>
      </x:c>
      <x:c r="F415" s="28" t="str">
        <x:f>IF('Course_Master'!G415="","",'Course_Master'!G415)</x:f>
        <x:v>Zuid-Holland</x:v>
      </x:c>
      <x:c r="G415" s="28" t="str">
        <x:f>IF('Course_Master'!H415="","",'Course_Master'!H415)</x:f>
        <x:v>Noordwijk</x:v>
      </x:c>
      <x:c r="H415" s="28" t="str">
        <x:f>IF('Course_Master'!I415="","",'Course_Master'!I415)</x:f>
        <x:v>Noordwijk</x:v>
      </x:c>
      <x:c r="I415" s="28" t="str">
        <x:f>IF('Course_Master'!K415="","",'Course_Master'!K415)</x:f>
        <x:v>2204 AL</x:v>
      </x:c>
      <x:c r="J415" s="34" t="n">
        <x:f>IF('Course_Master'!L415="","",'Course_Master'!L415)</x:f>
        <x:v>52.28392447</x:v>
      </x:c>
      <x:c r="K415" s="34" t="n">
        <x:f>IF('Course_Master'!M415="","",'Course_Master'!M415)</x:f>
        <x:v>4.46338983</x:v>
      </x:c>
      <x:c r="L415" s="28" t="n">
        <x:f>IF('Course_Master'!S415="","",'Course_Master'!S415)</x:f>
        <x:v>18</x:v>
      </x:c>
      <x:c r="M415" s="28" t="n">
        <x:f>IF('Course_Master'!T415="","",'Course_Master'!T415)</x:f>
        <x:v>72</x:v>
      </x:c>
      <x:c r="N415" s="28" t="n">
        <x:f>IF('Course_Master'!Q415="","",'Course_Master'!Q415)</x:f>
        <x:v>6954</x:v>
      </x:c>
      <x:c r="O415" s="28" t="n">
        <x:f>IF('Course_Master'!R415="","",'Course_Master'!R415)</x:f>
        <x:v>6359</x:v>
      </x:c>
      <x:c r="P415" s="28" t="str">
        <x:f>IF('Course_Master'!U415="","",'Course_Master'!U415)</x:f>
        <x:v>Full-length course</x:v>
      </x:c>
      <x:c r="Q415" s="28" t="str">
        <x:f>IF('Course_Master'!AD415="","",'Course_Master'!AD415)</x:f>
        <x:v>Public — handicap 24 or lower</x:v>
      </x:c>
      <x:c r="R415" s="28" t="str">
        <x:f>IF('Course_Master'!AC415="","",'Course_Master'!AC415)</x:f>
        <x:v>Open</x:v>
      </x:c>
      <x:c r="S415" s="28" t="str">
        <x:f>IF('Course_Master'!Y415="","",'Course_Master'!Y415)</x:f>
        <x:v>https://www.noordwijksegolfclub.nl/</x:v>
      </x:c>
      <x:c r="T415" s="28" t="b">
        <x:f>IF('Course_Master'!Z415="","",'Course_Master'!Z415)</x:f>
        <x:v>1</x:v>
      </x:c>
      <x:c r="U415" s="28" t="b">
        <x:f>IF('Course_Master'!AA415="","",'Course_Master'!AA415)</x:f>
        <x:v>1</x:v>
      </x:c>
      <x:c r="V415" s="28" t="str">
        <x:f>IF('Course_Master'!AL415="","",'Course_Master'!AL415)</x:f>
        <x:v>Verified — national register and exact BAG address</x:v>
      </x:c>
    </x:row>
    <x:row r="416">
      <x:c r="A416" s="28" t="str">
        <x:f>IF('Course_Master'!B416="","",'Course_Master'!B416)</x:f>
        <x:v>NL-0415</x:v>
      </x:c>
      <x:c r="B416" s="28" t="str">
        <x:f>IF('Course_Master'!C416="","",'Course_Master'!C416)</x:f>
        <x:v>Oegstgeester Golfclub — Standaardbaan</x:v>
      </x:c>
      <x:c r="C416" s="28" t="str">
        <x:f>IF('Course_Master'!D416="","",'Course_Master'!D416)</x:f>
        <x:v>Oegstgeester Golfclub</x:v>
      </x:c>
      <x:c r="D416" s="28" t="str">
        <x:f>IF('Course_Master'!E416="","",'Course_Master'!E416)</x:f>
        <x:v>Standaardbaan</x:v>
      </x:c>
      <x:c r="E416" s="28" t="str">
        <x:f>IF('Course_Master'!F416="","",'Course_Master'!F416)</x:f>
        <x:v>Netherlands</x:v>
      </x:c>
      <x:c r="F416" s="28" t="str">
        <x:f>IF('Course_Master'!G416="","",'Course_Master'!G416)</x:f>
        <x:v>Zuid-Holland</x:v>
      </x:c>
      <x:c r="G416" s="28" t="str">
        <x:f>IF('Course_Master'!H416="","",'Course_Master'!H416)</x:f>
        <x:v>Oegstgeest</x:v>
      </x:c>
      <x:c r="H416" s="28" t="str">
        <x:f>IF('Course_Master'!I416="","",'Course_Master'!I416)</x:f>
        <x:v>Oegstgeest</x:v>
      </x:c>
      <x:c r="I416" s="28" t="str">
        <x:f>IF('Course_Master'!K416="","",'Course_Master'!K416)</x:f>
        <x:v>2341 BN</x:v>
      </x:c>
      <x:c r="J416" s="34" t="n">
        <x:f>IF('Course_Master'!L416="","",'Course_Master'!L416)</x:f>
        <x:v>52.1870079</x:v>
      </x:c>
      <x:c r="K416" s="34" t="n">
        <x:f>IF('Course_Master'!M416="","",'Course_Master'!M416)</x:f>
        <x:v>4.4626842</x:v>
      </x:c>
      <x:c r="L416" s="28" t="n">
        <x:f>IF('Course_Master'!S416="","",'Course_Master'!S416)</x:f>
        <x:v>9</x:v>
      </x:c>
      <x:c r="M416" s="28" t="n">
        <x:f>IF('Course_Master'!T416="","",'Course_Master'!T416)</x:f>
        <x:v>30</x:v>
      </x:c>
      <x:c r="N416" s="28" t="n">
        <x:f>IF('Course_Master'!Q416="","",'Course_Master'!Q416)</x:f>
        <x:v>1540</x:v>
      </x:c>
      <x:c r="O416" s="28" t="n">
        <x:f>IF('Course_Master'!R416="","",'Course_Master'!R416)</x:f>
        <x:v>1408</x:v>
      </x:c>
      <x:c r="P416" s="28" t="str">
        <x:f>IF('Course_Master'!U416="","",'Course_Master'!U416)</x:f>
        <x:v>Par-3/4 course</x:v>
      </x:c>
      <x:c r="Q416" s="28" t="str">
        <x:f>IF('Course_Master'!AD416="","",'Course_Master'!AD416)</x:f>
        <x:v>Public — handicap 54 or lower</x:v>
      </x:c>
      <x:c r="R416" s="28" t="str">
        <x:f>IF('Course_Master'!AC416="","",'Course_Master'!AC416)</x:f>
        <x:v>Open</x:v>
      </x:c>
      <x:c r="S416" s="28" t="str">
        <x:f>IF('Course_Master'!Y416="","",'Course_Master'!Y416)</x:f>
        <x:v>https://www.oegstgeestergolfclub.nl/</x:v>
      </x:c>
      <x:c r="T416" s="28" t="b">
        <x:f>IF('Course_Master'!Z416="","",'Course_Master'!Z416)</x:f>
        <x:v>1</x:v>
      </x:c>
      <x:c r="U416" s="28" t="b">
        <x:f>IF('Course_Master'!AA416="","",'Course_Master'!AA416)</x:f>
        <x:v>1</x:v>
      </x:c>
      <x:c r="V416" s="28" t="str">
        <x:f>IF('Course_Master'!AL416="","",'Course_Master'!AL416)</x:f>
        <x:v>Verified — national register and exact BAG address</x:v>
      </x:c>
    </x:row>
    <x:row r="417">
      <x:c r="A417" s="28" t="str">
        <x:f>IF('Course_Master'!B417="","",'Course_Master'!B417)</x:f>
        <x:v>NL-0416</x:v>
      </x:c>
      <x:c r="B417" s="28" t="str">
        <x:f>IF('Course_Master'!C417="","",'Course_Master'!C417)</x:f>
        <x:v>Rhoon Golfcenter — Main Course</x:v>
      </x:c>
      <x:c r="C417" s="28" t="str">
        <x:f>IF('Course_Master'!D417="","",'Course_Master'!D417)</x:f>
        <x:v>Rhoon Golfcenter</x:v>
      </x:c>
      <x:c r="D417" s="28" t="str">
        <x:f>IF('Course_Master'!E417="","",'Course_Master'!E417)</x:f>
        <x:v>Main Course</x:v>
      </x:c>
      <x:c r="E417" s="28" t="str">
        <x:f>IF('Course_Master'!F417="","",'Course_Master'!F417)</x:f>
        <x:v>Netherlands</x:v>
      </x:c>
      <x:c r="F417" s="28" t="str">
        <x:f>IF('Course_Master'!G417="","",'Course_Master'!G417)</x:f>
        <x:v>Zuid-Holland</x:v>
      </x:c>
      <x:c r="G417" s="28" t="str">
        <x:f>IF('Course_Master'!H417="","",'Course_Master'!H417)</x:f>
        <x:v>Albrandswaard</x:v>
      </x:c>
      <x:c r="H417" s="28" t="str">
        <x:f>IF('Course_Master'!I417="","",'Course_Master'!I417)</x:f>
        <x:v>Rhoon</x:v>
      </x:c>
      <x:c r="I417" s="28" t="str">
        <x:f>IF('Course_Master'!K417="","",'Course_Master'!K417)</x:f>
        <x:v>3161 EX</x:v>
      </x:c>
      <x:c r="J417" s="34" t="n">
        <x:f>IF('Course_Master'!L417="","",'Course_Master'!L417)</x:f>
        <x:v>51.83643497</x:v>
      </x:c>
      <x:c r="K417" s="34" t="n">
        <x:f>IF('Course_Master'!M417="","",'Course_Master'!M417)</x:f>
        <x:v>4.46007475</x:v>
      </x:c>
      <x:c r="L417" s="28" t="n">
        <x:f>IF('Course_Master'!S417="","",'Course_Master'!S417)</x:f>
        <x:v>18</x:v>
      </x:c>
      <x:c r="M417" s="28" t="n">
        <x:f>IF('Course_Master'!T417="","",'Course_Master'!T417)</x:f>
        <x:v>71</x:v>
      </x:c>
      <x:c r="N417" s="28" t="n">
        <x:f>IF('Course_Master'!Q417="","",'Course_Master'!Q417)</x:f>
        <x:v>6286</x:v>
      </x:c>
      <x:c r="O417" s="28" t="n">
        <x:f>IF('Course_Master'!R417="","",'Course_Master'!R417)</x:f>
        <x:v>5748</x:v>
      </x:c>
      <x:c r="P417" s="28" t="str">
        <x:f>IF('Course_Master'!U417="","",'Course_Master'!U417)</x:f>
        <x:v>Full-length course</x:v>
      </x:c>
      <x:c r="Q417" s="28" t="str">
        <x:f>IF('Course_Master'!AD417="","",'Course_Master'!AD417)</x:f>
        <x:v>Public — handicap 54 or lower</x:v>
      </x:c>
      <x:c r="R417" s="28" t="str">
        <x:f>IF('Course_Master'!AC417="","",'Course_Master'!AC417)</x:f>
        <x:v>Open</x:v>
      </x:c>
      <x:c r="S417" s="28" t="str">
        <x:f>IF('Course_Master'!Y417="","",'Course_Master'!Y417)</x:f>
        <x:v>https://www.rhoongolfcenter.nl/</x:v>
      </x:c>
      <x:c r="T417" s="28" t="b">
        <x:f>IF('Course_Master'!Z417="","",'Course_Master'!Z417)</x:f>
        <x:v>1</x:v>
      </x:c>
      <x:c r="U417" s="28" t="b">
        <x:f>IF('Course_Master'!AA417="","",'Course_Master'!AA417)</x:f>
        <x:v>1</x:v>
      </x:c>
      <x:c r="V417" s="28" t="str">
        <x:f>IF('Course_Master'!AL417="","",'Course_Master'!AL417)</x:f>
        <x:v>Verified — national register and exact BAG address</x:v>
      </x:c>
    </x:row>
    <x:row r="418">
      <x:c r="A418" s="28" t="str">
        <x:f>IF('Course_Master'!B418="","",'Course_Master'!B418)</x:f>
        <x:v>NL-0417</x:v>
      </x:c>
      <x:c r="B418" s="28" t="str">
        <x:f>IF('Course_Master'!C418="","",'Course_Master'!C418)</x:f>
        <x:v>Rijswijkse Golfclub — Main Course</x:v>
      </x:c>
      <x:c r="C418" s="28" t="str">
        <x:f>IF('Course_Master'!D418="","",'Course_Master'!D418)</x:f>
        <x:v>Rijswijkse Golfclub</x:v>
      </x:c>
      <x:c r="D418" s="28" t="str">
        <x:f>IF('Course_Master'!E418="","",'Course_Master'!E418)</x:f>
        <x:v>Main Course</x:v>
      </x:c>
      <x:c r="E418" s="28" t="str">
        <x:f>IF('Course_Master'!F418="","",'Course_Master'!F418)</x:f>
        <x:v>Netherlands</x:v>
      </x:c>
      <x:c r="F418" s="28" t="str">
        <x:f>IF('Course_Master'!G418="","",'Course_Master'!G418)</x:f>
        <x:v>Zuid-Holland</x:v>
      </x:c>
      <x:c r="G418" s="28" t="str">
        <x:f>IF('Course_Master'!H418="","",'Course_Master'!H418)</x:f>
        <x:v>Rijswijk</x:v>
      </x:c>
      <x:c r="H418" s="28" t="str">
        <x:f>IF('Course_Master'!I418="","",'Course_Master'!I418)</x:f>
        <x:v>Rijswijk</x:v>
      </x:c>
      <x:c r="I418" s="28" t="str">
        <x:f>IF('Course_Master'!K418="","",'Course_Master'!K418)</x:f>
        <x:v>2289 AL</x:v>
      </x:c>
      <x:c r="J418" s="34" t="n">
        <x:f>IF('Course_Master'!L418="","",'Course_Master'!L418)</x:f>
        <x:v>52.03365882</x:v>
      </x:c>
      <x:c r="K418" s="34" t="n">
        <x:f>IF('Course_Master'!M418="","",'Course_Master'!M418)</x:f>
        <x:v>4.35079652</x:v>
      </x:c>
      <x:c r="L418" s="28" t="n">
        <x:f>IF('Course_Master'!S418="","",'Course_Master'!S418)</x:f>
        <x:v>18</x:v>
      </x:c>
      <x:c r="M418" s="28" t="n">
        <x:f>IF('Course_Master'!T418="","",'Course_Master'!T418)</x:f>
        <x:v>71</x:v>
      </x:c>
      <x:c r="N418" s="28" t="n">
        <x:f>IF('Course_Master'!Q418="","",'Course_Master'!Q418)</x:f>
        <x:v>6564</x:v>
      </x:c>
      <x:c r="O418" s="28" t="n">
        <x:f>IF('Course_Master'!R418="","",'Course_Master'!R418)</x:f>
        <x:v>6002</x:v>
      </x:c>
      <x:c r="P418" s="28" t="str">
        <x:f>IF('Course_Master'!U418="","",'Course_Master'!U418)</x:f>
        <x:v>Full-length course</x:v>
      </x:c>
      <x:c r="Q418" s="28" t="str">
        <x:f>IF('Course_Master'!AD418="","",'Course_Master'!AD418)</x:f>
        <x:v>Public — handicap 54 or lower</x:v>
      </x:c>
      <x:c r="R418" s="28" t="str">
        <x:f>IF('Course_Master'!AC418="","",'Course_Master'!AC418)</x:f>
        <x:v>Open</x:v>
      </x:c>
      <x:c r="S418" s="28" t="str">
        <x:f>IF('Course_Master'!Y418="","",'Course_Master'!Y418)</x:f>
        <x:v>https://www.rijswijksegolf.nl/</x:v>
      </x:c>
      <x:c r="T418" s="28" t="b">
        <x:f>IF('Course_Master'!Z418="","",'Course_Master'!Z418)</x:f>
        <x:v>1</x:v>
      </x:c>
      <x:c r="U418" s="28" t="b">
        <x:f>IF('Course_Master'!AA418="","",'Course_Master'!AA418)</x:f>
        <x:v>1</x:v>
      </x:c>
      <x:c r="V418" s="28" t="str">
        <x:f>IF('Course_Master'!AL418="","",'Course_Master'!AL418)</x:f>
        <x:v>Verified — national register and exact BAG address</x:v>
      </x:c>
    </x:row>
    <x:row r="419">
      <x:c r="A419" s="28" t="str">
        <x:f>IF('Course_Master'!B419="","",'Course_Master'!B419)</x:f>
        <x:v>NL-0418</x:v>
      </x:c>
      <x:c r="B419" s="28" t="str">
        <x:f>IF('Course_Master'!C419="","",'Course_Master'!C419)</x:f>
        <x:v>Wassenaarse Golf Groendael</x:v>
      </x:c>
      <x:c r="C419" s="28" t="str">
        <x:f>IF('Course_Master'!D419="","",'Course_Master'!D419)</x:f>
        <x:v>Wassenaarse Golf Groendael</x:v>
      </x:c>
      <x:c r="D419" s="28" t="str">
        <x:f>IF('Course_Master'!E419="","",'Course_Master'!E419)</x:f>
        <x:v>Course</x:v>
      </x:c>
      <x:c r="E419" s="28" t="str">
        <x:f>IF('Course_Master'!F419="","",'Course_Master'!F419)</x:f>
        <x:v>Netherlands</x:v>
      </x:c>
      <x:c r="F419" s="28" t="str">
        <x:f>IF('Course_Master'!G419="","",'Course_Master'!G419)</x:f>
        <x:v>Zuid-Holland</x:v>
      </x:c>
      <x:c r="G419" s="28" t="str">
        <x:f>IF('Course_Master'!H419="","",'Course_Master'!H419)</x:f>
        <x:v>Wassenaar</x:v>
      </x:c>
      <x:c r="H419" s="28" t="str">
        <x:f>IF('Course_Master'!I419="","",'Course_Master'!I419)</x:f>
        <x:v>Wassenaar</x:v>
      </x:c>
      <x:c r="I419" s="28" t="str">
        <x:f>IF('Course_Master'!K419="","",'Course_Master'!K419)</x:f>
        <x:v>2244 BK</x:v>
      </x:c>
      <x:c r="J419" s="34" t="n">
        <x:f>IF('Course_Master'!L419="","",'Course_Master'!L419)</x:f>
        <x:v>52.10905927</x:v>
      </x:c>
      <x:c r="K419" s="34" t="n">
        <x:f>IF('Course_Master'!M419="","",'Course_Master'!M419)</x:f>
        <x:v>4.33656892</x:v>
      </x:c>
      <x:c r="L419" s="28" t="n">
        <x:f>IF('Course_Master'!S419="","",'Course_Master'!S419)</x:f>
        <x:v>9</x:v>
      </x:c>
      <x:c r="M419" s="28" t="n">
        <x:f>IF('Course_Master'!T419="","",'Course_Master'!T419)</x:f>
        <x:v>35</x:v>
      </x:c>
      <x:c r="N419" s="28" t="n">
        <x:f>IF('Course_Master'!Q419="","",'Course_Master'!Q419)</x:f>
        <x:v>2893</x:v>
      </x:c>
      <x:c r="O419" s="28" t="n">
        <x:f>IF('Course_Master'!R419="","",'Course_Master'!R419)</x:f>
        <x:v>2645</x:v>
      </x:c>
      <x:c r="P419" s="28" t="str">
        <x:f>IF('Course_Master'!U419="","",'Course_Master'!U419)</x:f>
        <x:v>Full-length course</x:v>
      </x:c>
      <x:c r="Q419" s="28" t="str">
        <x:f>IF('Course_Master'!AD419="","",'Course_Master'!AD419)</x:f>
        <x:v>Public — handicap 28 or lower</x:v>
      </x:c>
      <x:c r="R419" s="28" t="str">
        <x:f>IF('Course_Master'!AC419="","",'Course_Master'!AC419)</x:f>
        <x:v>Open</x:v>
      </x:c>
      <x:c r="S419" s="28" t="str">
        <x:f>IF('Course_Master'!Y419="","",'Course_Master'!Y419)</x:f>
        <x:v>https://groendael.nl/</x:v>
      </x:c>
      <x:c r="T419" s="28" t="b">
        <x:f>IF('Course_Master'!Z419="","",'Course_Master'!Z419)</x:f>
        <x:v>1</x:v>
      </x:c>
      <x:c r="U419" s="28" t="b">
        <x:f>IF('Course_Master'!AA419="","",'Course_Master'!AA419)</x:f>
        <x:v>1</x:v>
      </x:c>
      <x:c r="V419" s="28" t="str">
        <x:f>IF('Course_Master'!AL419="","",'Course_Master'!AL419)</x:f>
        <x:v>Verified — national register and exact BAG address</x:v>
      </x:c>
    </x:row>
    <x:row r="420">
      <x:c r="A420" s="28" t="str">
        <x:f>IF('Course_Master'!B420="","",'Course_Master'!B420)</x:f>
        <x:v>NL-0419</x:v>
      </x:c>
      <x:c r="B420" s="28" t="str">
        <x:f>IF('Course_Master'!C420="","",'Course_Master'!C420)</x:f>
        <x:v>Wassenaarse Golfclub Rozenstein — Main Course</x:v>
      </x:c>
      <x:c r="C420" s="28" t="str">
        <x:f>IF('Course_Master'!D420="","",'Course_Master'!D420)</x:f>
        <x:v>Wassenaarse Golfclub Rozenstein</x:v>
      </x:c>
      <x:c r="D420" s="28" t="str">
        <x:f>IF('Course_Master'!E420="","",'Course_Master'!E420)</x:f>
        <x:v>Main Course</x:v>
      </x:c>
      <x:c r="E420" s="28" t="str">
        <x:f>IF('Course_Master'!F420="","",'Course_Master'!F420)</x:f>
        <x:v>Netherlands</x:v>
      </x:c>
      <x:c r="F420" s="28" t="str">
        <x:f>IF('Course_Master'!G420="","",'Course_Master'!G420)</x:f>
        <x:v>Zuid-Holland</x:v>
      </x:c>
      <x:c r="G420" s="28" t="str">
        <x:f>IF('Course_Master'!H420="","",'Course_Master'!H420)</x:f>
        <x:v>Wassenaar</x:v>
      </x:c>
      <x:c r="H420" s="28" t="str">
        <x:f>IF('Course_Master'!I420="","",'Course_Master'!I420)</x:f>
        <x:v>Wassenaar</x:v>
      </x:c>
      <x:c r="I420" s="28" t="str">
        <x:f>IF('Course_Master'!K420="","",'Course_Master'!K420)</x:f>
        <x:v>2242 TZ</x:v>
      </x:c>
      <x:c r="J420" s="34" t="n">
        <x:f>IF('Course_Master'!L420="","",'Course_Master'!L420)</x:f>
        <x:v>52.15401149</x:v>
      </x:c>
      <x:c r="K420" s="34" t="n">
        <x:f>IF('Course_Master'!M420="","",'Course_Master'!M420)</x:f>
        <x:v>4.39267119</x:v>
      </x:c>
      <x:c r="L420" s="28" t="n">
        <x:f>IF('Course_Master'!S420="","",'Course_Master'!S420)</x:f>
        <x:v>18</x:v>
      </x:c>
      <x:c r="M420" s="28" t="n">
        <x:f>IF('Course_Master'!T420="","",'Course_Master'!T420)</x:f>
        <x:v>71</x:v>
      </x:c>
      <x:c r="N420" s="28" t="n">
        <x:f>IF('Course_Master'!Q420="","",'Course_Master'!Q420)</x:f>
        <x:v>6087</x:v>
      </x:c>
      <x:c r="O420" s="28" t="n">
        <x:f>IF('Course_Master'!R420="","",'Course_Master'!R420)</x:f>
        <x:v>5566</x:v>
      </x:c>
      <x:c r="P420" s="28" t="str">
        <x:f>IF('Course_Master'!U420="","",'Course_Master'!U420)</x:f>
        <x:v>Full-length course</x:v>
      </x:c>
      <x:c r="Q420" s="28" t="str">
        <x:f>IF('Course_Master'!AD420="","",'Course_Master'!AD420)</x:f>
        <x:v>Public — handicap 54 or lower</x:v>
      </x:c>
      <x:c r="R420" s="28" t="str">
        <x:f>IF('Course_Master'!AC420="","",'Course_Master'!AC420)</x:f>
        <x:v>Open</x:v>
      </x:c>
      <x:c r="S420" s="28" t="str">
        <x:f>IF('Course_Master'!Y420="","",'Course_Master'!Y420)</x:f>
        <x:v>https://rozenstein.nl/</x:v>
      </x:c>
      <x:c r="T420" s="28" t="b">
        <x:f>IF('Course_Master'!Z420="","",'Course_Master'!Z420)</x:f>
        <x:v>1</x:v>
      </x:c>
      <x:c r="U420" s="28" t="b">
        <x:f>IF('Course_Master'!AA420="","",'Course_Master'!AA420)</x:f>
        <x:v>1</x:v>
      </x:c>
      <x:c r="V420" s="28" t="str">
        <x:f>IF('Course_Master'!AL420="","",'Course_Master'!AL420)</x:f>
        <x:v>Verified — national register and exact BAG address</x:v>
      </x:c>
    </x:row>
  </x:sheetData>
  <x:pageMargins left="0.7" right="0.7" top="0.75" bottom="0.75" header="0.3" footer="0.3"/>
  <x:tableParts count="1">
    <x:tablePart xmlns:r="http://schemas.openxmlformats.org/officeDocument/2006/relationships" r:id="R999924bed82e42f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78" hidden="0" customWidth="1"/>
    <x:col min="3" max="3" width="22" hidden="0" customWidth="1"/>
  </x:cols>
  <x:sheetData>
    <x:row r="1">
      <x:c r="A1" s="4" t="str">
        <x:v>DATA DICTIONARY</x:v>
      </x:c>
      <x:c r="B1" s="4"/>
      <x:c r="C1" s="4"/>
    </x:row>
    <x:row r="2">
      <x:c r="A2" s="25" t="str">
        <x:v>Field</x:v>
      </x:c>
      <x:c r="B2" s="26" t="str">
        <x:v>Definition</x:v>
      </x:c>
      <x:c r="C2" s="27" t="str">
        <x:v>Type / notes</x:v>
      </x:c>
    </x:row>
    <x:row r="3">
      <x:c r="A3" s="53" t="str">
        <x:v>hl_club_id</x:v>
      </x:c>
      <x:c r="B3" s="54" t="str">
        <x:v>Stable Heathland Links facility identifier shared by layouts at one location</x:v>
      </x:c>
      <x:c r="C3" s="55" t="str">
        <x:v>text</x:v>
      </x:c>
    </x:row>
    <x:row r="4">
      <x:c r="A4" s="56" t="str">
        <x:v>hl_course_id</x:v>
      </x:c>
      <x:c r="B4" s="57" t="str">
        <x:v>Stable unique physical-layout identifier</x:v>
      </x:c>
      <x:c r="C4" s="14" t="str">
        <x:v>text</x:v>
      </x:c>
    </x:row>
    <x:row r="5">
      <x:c r="A5" s="56" t="str">
        <x:v>display_name</x:v>
      </x:c>
      <x:c r="B5" s="57" t="str">
        <x:v>User-facing facility and layout label</x:v>
      </x:c>
      <x:c r="C5" s="14" t="str">
        <x:v>text</x:v>
      </x:c>
    </x:row>
    <x:row r="6">
      <x:c r="A6" s="56" t="str">
        <x:v>club_name</x:v>
      </x:c>
      <x:c r="B6" s="57" t="str">
        <x:v>Retained master attribute</x:v>
      </x:c>
      <x:c r="C6" s="14" t="str">
        <x:v>text</x:v>
      </x:c>
    </x:row>
    <x:row r="7">
      <x:c r="A7" s="56" t="str">
        <x:v>course_name</x:v>
      </x:c>
      <x:c r="B7" s="57" t="str">
        <x:v>Retained master attribute</x:v>
      </x:c>
      <x:c r="C7" s="14" t="str">
        <x:v>text</x:v>
      </x:c>
    </x:row>
    <x:row r="8">
      <x:c r="A8" s="56" t="str">
        <x:v>country</x:v>
      </x:c>
      <x:c r="B8" s="57" t="str">
        <x:v>Retained master attribute</x:v>
      </x:c>
      <x:c r="C8" s="14" t="str">
        <x:v>text</x:v>
      </x:c>
    </x:row>
    <x:row r="9">
      <x:c r="A9" s="56" t="str">
        <x:v>region</x:v>
      </x:c>
      <x:c r="B9" s="57" t="str">
        <x:v>Dutch province</x:v>
      </x:c>
      <x:c r="C9" s="14" t="str">
        <x:v>text</x:v>
      </x:c>
    </x:row>
    <x:row r="10">
      <x:c r="A10" s="56" t="str">
        <x:v>county</x:v>
      </x:c>
      <x:c r="B10" s="57" t="str">
        <x:v>Municipality returned by the BAG address record</x:v>
      </x:c>
      <x:c r="C10" s="14" t="str">
        <x:v>text</x:v>
      </x:c>
    </x:row>
    <x:row r="11">
      <x:c r="A11" s="56" t="str">
        <x:v>town_city</x:v>
      </x:c>
      <x:c r="B11" s="57" t="str">
        <x:v>Retained master attribute</x:v>
      </x:c>
      <x:c r="C11" s="14" t="str">
        <x:v>text</x:v>
      </x:c>
    </x:row>
    <x:row r="12">
      <x:c r="A12" s="56" t="str">
        <x:v>street_address</x:v>
      </x:c>
      <x:c r="B12" s="57" t="str">
        <x:v>Current physical street address</x:v>
      </x:c>
      <x:c r="C12" s="14" t="str">
        <x:v>text</x:v>
      </x:c>
    </x:row>
    <x:row r="13">
      <x:c r="A13" s="56" t="str">
        <x:v>postal_code</x:v>
      </x:c>
      <x:c r="B13" s="57" t="str">
        <x:v>Current Dutch postcode</x:v>
      </x:c>
      <x:c r="C13" s="14" t="str">
        <x:v>text</x:v>
      </x:c>
    </x:row>
    <x:row r="14">
      <x:c r="A14" s="56" t="str">
        <x:v>latitude</x:v>
      </x:c>
      <x:c r="B14" s="57" t="str">
        <x:v>WGS84 latitude from an exact postcode-matched BAG address</x:v>
      </x:c>
      <x:c r="C14" s="14" t="str">
        <x:v>number</x:v>
      </x:c>
    </x:row>
    <x:row r="15">
      <x:c r="A15" s="56" t="str">
        <x:v>longitude</x:v>
      </x:c>
      <x:c r="B15" s="57" t="str">
        <x:v>WGS84 longitude from an exact postcode-matched BAG address</x:v>
      </x:c>
      <x:c r="C15" s="14" t="str">
        <x:v>number</x:v>
      </x:c>
    </x:row>
    <x:row r="16">
      <x:c r="A16" s="56" t="str">
        <x:v>coordinate_system</x:v>
      </x:c>
      <x:c r="B16" s="57" t="str">
        <x:v>Retained master attribute</x:v>
      </x:c>
      <x:c r="C16" s="14" t="str">
        <x:v>text</x:v>
      </x:c>
    </x:row>
    <x:row r="17">
      <x:c r="A17" s="56" t="str">
        <x:v>coordinate_source</x:v>
      </x:c>
      <x:c r="B17" s="57" t="str">
        <x:v>Precision/source class for the stored map point</x:v>
      </x:c>
      <x:c r="C17" s="14" t="str">
        <x:v>text</x:v>
      </x:c>
    </x:row>
    <x:row r="18">
      <x:c r="A18" s="56" t="str">
        <x:v>coordinate_verified_at</x:v>
      </x:c>
      <x:c r="B18" s="57" t="str">
        <x:v>Retained master attribute</x:v>
      </x:c>
      <x:c r="C18" s="14" t="str">
        <x:v>text</x:v>
      </x:c>
    </x:row>
    <x:row r="19">
      <x:c r="A19" s="56" t="str">
        <x:v>length_yards</x:v>
      </x:c>
      <x:c r="B19" s="57" t="str">
        <x:v>Formula: length_metres ÷ 0.9144, rounded</x:v>
      </x:c>
      <x:c r="C19" s="14" t="str">
        <x:v>number</x:v>
      </x:c>
    </x:row>
    <x:row r="20">
      <x:c r="A20" s="56" t="str">
        <x:v>length_metres</x:v>
      </x:c>
      <x:c r="B20" s="57" t="str">
        <x:v>Exact published metric course or loop total; never estimated</x:v>
      </x:c>
      <x:c r="C20" s="14" t="str">
        <x:v>number</x:v>
      </x:c>
    </x:row>
    <x:row r="21">
      <x:c r="A21" s="56" t="str">
        <x:v>holes</x:v>
      </x:c>
      <x:c r="B21" s="57" t="str">
        <x:v>Physical holes in the retained layout</x:v>
      </x:c>
      <x:c r="C21" s="14" t="str">
        <x:v>number</x:v>
      </x:c>
    </x:row>
    <x:row r="22">
      <x:c r="A22" s="56" t="str">
        <x:v>par</x:v>
      </x:c>
      <x:c r="B22" s="57" t="str">
        <x:v>Published par for the physical layout</x:v>
      </x:c>
      <x:c r="C22" s="14" t="str">
        <x:v>number</x:v>
      </x:c>
    </x:row>
    <x:row r="23">
      <x:c r="A23" s="56" t="str">
        <x:v>course_type</x:v>
      </x:c>
      <x:c r="B23" s="57" t="str">
        <x:v>Translated NGF layout classification</x:v>
      </x:c>
      <x:c r="C23" s="14" t="str">
        <x:v>text</x:v>
      </x:c>
    </x:row>
    <x:row r="24">
      <x:c r="A24" s="56" t="str">
        <x:v>architect_original</x:v>
      </x:c>
      <x:c r="B24" s="57" t="str">
        <x:v>Retained master attribute</x:v>
      </x:c>
      <x:c r="C24" s="14" t="str">
        <x:v>text</x:v>
      </x:c>
    </x:row>
    <x:row r="25">
      <x:c r="A25" s="56" t="str">
        <x:v>architect_redesign</x:v>
      </x:c>
      <x:c r="B25" s="57" t="str">
        <x:v>Retained master attribute</x:v>
      </x:c>
      <x:c r="C25" s="14" t="str">
        <x:v>text</x:v>
      </x:c>
    </x:row>
    <x:row r="26">
      <x:c r="A26" s="56" t="str">
        <x:v>year_opened</x:v>
      </x:c>
      <x:c r="B26" s="57" t="str">
        <x:v>Retained master attribute</x:v>
      </x:c>
      <x:c r="C26" s="14" t="str">
        <x:v>number</x:v>
      </x:c>
    </x:row>
    <x:row r="27">
      <x:c r="A27" s="56" t="str">
        <x:v>official_website_url</x:v>
      </x:c>
      <x:c r="B27" s="57" t="str">
        <x:v>Current facility website linked from the national register</x:v>
      </x:c>
      <x:c r="C27" s="14" t="str">
        <x:v>text</x:v>
      </x:c>
    </x:row>
    <x:row r="28">
      <x:c r="A28" s="56" t="str">
        <x:v>map_ready</x:v>
      </x:c>
      <x:c r="B28" s="57" t="str">
        <x:v>Formula-derived valid Netherlands coordinate and open status</x:v>
      </x:c>
      <x:c r="C28" s="14" t="str">
        <x:v>boolean / formula</x:v>
      </x:c>
    </x:row>
    <x:row r="29">
      <x:c r="A29" s="56" t="str">
        <x:v>show_on_map</x:v>
      </x:c>
      <x:c r="B29" s="57" t="str">
        <x:v>Formula-linked to map_ready</x:v>
      </x:c>
      <x:c r="C29" s="14" t="str">
        <x:v>boolean / formula</x:v>
      </x:c>
    </x:row>
    <x:row r="30">
      <x:c r="A30" s="56" t="str">
        <x:v>map_display_reason</x:v>
      </x:c>
      <x:c r="B30" s="57" t="str">
        <x:v>Formula-derived map status</x:v>
      </x:c>
      <x:c r="C30" s="14" t="str">
        <x:v>text</x:v>
      </x:c>
    </x:row>
    <x:row r="31">
      <x:c r="A31" s="56" t="str">
        <x:v>course_status</x:v>
      </x:c>
      <x:c r="B31" s="57" t="str">
        <x:v>Retained master attribute</x:v>
      </x:c>
      <x:c r="C31" s="14" t="str">
        <x:v>text</x:v>
      </x:c>
    </x:row>
    <x:row r="32">
      <x:c r="A32" s="56" t="str">
        <x:v>access_type</x:v>
      </x:c>
      <x:c r="B32" s="57" t="str">
        <x:v>Retained master attribute</x:v>
      </x:c>
      <x:c r="C32" s="14" t="str">
        <x:v>text</x:v>
      </x:c>
    </x:row>
    <x:row r="33">
      <x:c r="A33" s="56" t="str">
        <x:v>qualifying</x:v>
      </x:c>
      <x:c r="B33" s="57" t="str">
        <x:v>Whether the NGF overview marks the layout qualifying</x:v>
      </x:c>
      <x:c r="C33" s="14" t="str">
        <x:v>boolean / formula</x:v>
      </x:c>
    </x:row>
    <x:row r="34">
      <x:c r="A34" s="56" t="str">
        <x:v>is_claimed</x:v>
      </x:c>
      <x:c r="B34" s="57" t="str">
        <x:v>Retained master attribute</x:v>
      </x:c>
      <x:c r="C34" s="14" t="str">
        <x:v>boolean / formula</x:v>
      </x:c>
    </x:row>
    <x:row r="35">
      <x:c r="A35" s="56" t="str">
        <x:v>ranking_source</x:v>
      </x:c>
      <x:c r="B35" s="57" t="str">
        <x:v>Retained master attribute</x:v>
      </x:c>
      <x:c r="C35" s="14" t="str">
        <x:v>text</x:v>
      </x:c>
    </x:row>
    <x:row r="36">
      <x:c r="A36" s="56" t="str">
        <x:v>ranking_year</x:v>
      </x:c>
      <x:c r="B36" s="57" t="str">
        <x:v>Retained master attribute</x:v>
      </x:c>
      <x:c r="C36" s="14" t="str">
        <x:v>number</x:v>
      </x:c>
    </x:row>
    <x:row r="37">
      <x:c r="A37" s="56" t="str">
        <x:v>ranking_position</x:v>
      </x:c>
      <x:c r="B37" s="57" t="str">
        <x:v>Retained master attribute</x:v>
      </x:c>
      <x:c r="C37" s="14" t="str">
        <x:v>number</x:v>
      </x:c>
    </x:row>
    <x:row r="38">
      <x:c r="A38" s="56" t="str">
        <x:v>major_collection</x:v>
      </x:c>
      <x:c r="B38" s="57" t="str">
        <x:v>Retained master attribute</x:v>
      </x:c>
      <x:c r="C38" s="14" t="str">
        <x:v>boolean / formula</x:v>
      </x:c>
    </x:row>
    <x:row r="39">
      <x:c r="A39" s="56" t="str">
        <x:v>featured_partner</x:v>
      </x:c>
      <x:c r="B39" s="57" t="str">
        <x:v>Retained master attribute</x:v>
      </x:c>
      <x:c r="C39" s="14" t="str">
        <x:v>boolean / formula</x:v>
      </x:c>
    </x:row>
    <x:row r="40">
      <x:c r="A40" s="56" t="str">
        <x:v>verification_status</x:v>
      </x:c>
      <x:c r="B40" s="57" t="str">
        <x:v>Retained master attribute</x:v>
      </x:c>
      <x:c r="C40" s="14" t="str">
        <x:v>text</x:v>
      </x:c>
    </x:row>
    <x:row r="41">
      <x:c r="A41" s="56" t="str">
        <x:v>verification_source_url</x:v>
      </x:c>
      <x:c r="B41" s="57" t="str">
        <x:v>Primary specification evidence</x:v>
      </x:c>
      <x:c r="C41" s="14" t="str">
        <x:v>text</x:v>
      </x:c>
    </x:row>
    <x:row r="42">
      <x:c r="A42" s="56" t="str">
        <x:v>last_verified_at</x:v>
      </x:c>
      <x:c r="B42" s="57" t="str">
        <x:v>Retained master attribute</x:v>
      </x:c>
      <x:c r="C42" s="14" t="str">
        <x:v>text</x:v>
      </x:c>
    </x:row>
    <x:row r="43">
      <x:c r="A43" s="56" t="str">
        <x:v>phone</x:v>
      </x:c>
      <x:c r="B43" s="57" t="str">
        <x:v>Current contact number in the national register</x:v>
      </x:c>
      <x:c r="C43" s="14" t="str">
        <x:v>text</x:v>
      </x:c>
    </x:row>
    <x:row r="44">
      <x:c r="A44" s="58" t="str">
        <x:v>notes</x:v>
      </x:c>
      <x:c r="B44" s="59" t="str">
        <x:v>Consolidation, correction and uncertainty notes</x:v>
      </x:c>
      <x:c r="C44" s="16" t="str">
        <x:v>text</x:v>
      </x:c>
    </x:row>
  </x:sheetData>
  <x:mergeCells>
    <x:mergeCell ref="A1:C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2"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56" hidden="0" customWidth="1"/>
  </x:cols>
  <x:sheetData>
    <x:row r="1">
      <x:c r="A1" s="4" t="str">
        <x:v>NETHERLANDS COVERAGE AND COMPLETENESS QA</x:v>
      </x:c>
      <x:c r="B1" s="4"/>
      <x:c r="C1" s="4"/>
      <x:c r="D1" s="4"/>
      <x:c r="E1" s="4"/>
      <x:c r="F1" s="4"/>
      <x:c r="G1" s="4"/>
      <x:c r="H1" s="4"/>
    </x:row>
    <x:row r="2">
      <x:c r="A2" s="25" t="str">
        <x:v>Province</x:v>
      </x:c>
      <x:c r="B2" s="26" t="str">
        <x:v>Facilities</x:v>
      </x:c>
      <x:c r="C2" s="26" t="str">
        <x:v>Layouts</x:v>
      </x:c>
      <x:c r="D2" s="26" t="str">
        <x:v>Map-ready</x:v>
      </x:c>
      <x:c r="E2" s="26" t="str">
        <x:v>Websites</x:v>
      </x:c>
      <x:c r="F2" s="26" t="str">
        <x:v>Lengths</x:v>
      </x:c>
      <x:c r="G2" s="26" t="str">
        <x:v>All holes/par</x:v>
      </x:c>
      <x:c r="H2" s="27" t="str">
        <x:v>Coverage note</x:v>
      </x:c>
    </x:row>
    <x:row r="3">
      <x:c r="A3" s="44" t="str">
        <x:v>Drenthe</x:v>
      </x:c>
      <x:c r="B3" s="45" t="n">
        <x:v>11</x:v>
      </x:c>
      <x:c r="C3" s="45" t="n">
        <x:v>19</x:v>
      </x:c>
      <x:c r="D3" s="45" t="n">
        <x:v>19</x:v>
      </x:c>
      <x:c r="E3" s="45" t="n">
        <x:v>19</x:v>
      </x:c>
      <x:c r="F3" s="45" t="n">
        <x:v>19</x:v>
      </x:c>
      <x:c r="G3" s="64" t="b">
        <x:v>1</x:v>
      </x:c>
      <x:c r="H3" s="46" t="str">
        <x:v>Current qualifying boundary represented from national register</x:v>
      </x:c>
    </x:row>
    <x:row r="4">
      <x:c r="A4" s="47" t="str">
        <x:v>Flevoland</x:v>
      </x:c>
      <x:c r="B4" s="48" t="n">
        <x:v>10</x:v>
      </x:c>
      <x:c r="C4" s="48" t="n">
        <x:v>17</x:v>
      </x:c>
      <x:c r="D4" s="48" t="n">
        <x:v>17</x:v>
      </x:c>
      <x:c r="E4" s="48" t="n">
        <x:v>17</x:v>
      </x:c>
      <x:c r="F4" s="48" t="n">
        <x:v>17</x:v>
      </x:c>
      <x:c r="G4" s="65" t="b">
        <x:v>1</x:v>
      </x:c>
      <x:c r="H4" s="49" t="str">
        <x:v>Current qualifying boundary represented from national register</x:v>
      </x:c>
    </x:row>
    <x:row r="5">
      <x:c r="A5" s="47" t="str">
        <x:v>Friesland</x:v>
      </x:c>
      <x:c r="B5" s="48" t="n">
        <x:v>11</x:v>
      </x:c>
      <x:c r="C5" s="48" t="n">
        <x:v>15</x:v>
      </x:c>
      <x:c r="D5" s="48" t="n">
        <x:v>15</x:v>
      </x:c>
      <x:c r="E5" s="48" t="n">
        <x:v>15</x:v>
      </x:c>
      <x:c r="F5" s="48" t="n">
        <x:v>15</x:v>
      </x:c>
      <x:c r="G5" s="65" t="b">
        <x:v>1</x:v>
      </x:c>
      <x:c r="H5" s="49" t="str">
        <x:v>Current qualifying boundary represented from national register</x:v>
      </x:c>
    </x:row>
    <x:row r="6">
      <x:c r="A6" s="47" t="str">
        <x:v>Gelderland</x:v>
      </x:c>
      <x:c r="B6" s="48" t="n">
        <x:v>32</x:v>
      </x:c>
      <x:c r="C6" s="48" t="n">
        <x:v>54</x:v>
      </x:c>
      <x:c r="D6" s="48" t="n">
        <x:v>54</x:v>
      </x:c>
      <x:c r="E6" s="48" t="n">
        <x:v>54</x:v>
      </x:c>
      <x:c r="F6" s="48" t="n">
        <x:v>54</x:v>
      </x:c>
      <x:c r="G6" s="65" t="b">
        <x:v>1</x:v>
      </x:c>
      <x:c r="H6" s="49" t="str">
        <x:v>Current qualifying boundary represented from national register</x:v>
      </x:c>
    </x:row>
    <x:row r="7">
      <x:c r="A7" s="47" t="str">
        <x:v>Groningen</x:v>
      </x:c>
      <x:c r="B7" s="48" t="n">
        <x:v>11</x:v>
      </x:c>
      <x:c r="C7" s="48" t="n">
        <x:v>13</x:v>
      </x:c>
      <x:c r="D7" s="48" t="n">
        <x:v>13</x:v>
      </x:c>
      <x:c r="E7" s="48" t="n">
        <x:v>13</x:v>
      </x:c>
      <x:c r="F7" s="48" t="n">
        <x:v>13</x:v>
      </x:c>
      <x:c r="G7" s="65" t="b">
        <x:v>1</x:v>
      </x:c>
      <x:c r="H7" s="49" t="str">
        <x:v>Current qualifying boundary represented from national register</x:v>
      </x:c>
    </x:row>
    <x:row r="8">
      <x:c r="A8" s="47" t="str">
        <x:v>Limburg</x:v>
      </x:c>
      <x:c r="B8" s="48" t="n">
        <x:v>22</x:v>
      </x:c>
      <x:c r="C8" s="48" t="n">
        <x:v>35</x:v>
      </x:c>
      <x:c r="D8" s="48" t="n">
        <x:v>35</x:v>
      </x:c>
      <x:c r="E8" s="48" t="n">
        <x:v>35</x:v>
      </x:c>
      <x:c r="F8" s="48" t="n">
        <x:v>35</x:v>
      </x:c>
      <x:c r="G8" s="65" t="b">
        <x:v>1</x:v>
      </x:c>
      <x:c r="H8" s="49" t="str">
        <x:v>Current qualifying boundary represented from national register</x:v>
      </x:c>
    </x:row>
    <x:row r="9">
      <x:c r="A9" s="47" t="str">
        <x:v>Noord-Brabant</x:v>
      </x:c>
      <x:c r="B9" s="48" t="n">
        <x:v>52</x:v>
      </x:c>
      <x:c r="C9" s="48" t="n">
        <x:v>77</x:v>
      </x:c>
      <x:c r="D9" s="48" t="n">
        <x:v>77</x:v>
      </x:c>
      <x:c r="E9" s="48" t="n">
        <x:v>77</x:v>
      </x:c>
      <x:c r="F9" s="48" t="n">
        <x:v>77</x:v>
      </x:c>
      <x:c r="G9" s="65" t="b">
        <x:v>1</x:v>
      </x:c>
      <x:c r="H9" s="49" t="str">
        <x:v>Current qualifying boundary represented from national register</x:v>
      </x:c>
    </x:row>
    <x:row r="10">
      <x:c r="A10" s="47" t="str">
        <x:v>Noord-Holland</x:v>
      </x:c>
      <x:c r="B10" s="48" t="n">
        <x:v>36</x:v>
      </x:c>
      <x:c r="C10" s="48" t="n">
        <x:v>62</x:v>
      </x:c>
      <x:c r="D10" s="48" t="n">
        <x:v>62</x:v>
      </x:c>
      <x:c r="E10" s="48" t="n">
        <x:v>62</x:v>
      </x:c>
      <x:c r="F10" s="48" t="n">
        <x:v>62</x:v>
      </x:c>
      <x:c r="G10" s="65" t="b">
        <x:v>1</x:v>
      </x:c>
      <x:c r="H10" s="49" t="str">
        <x:v>Current qualifying boundary represented from national register</x:v>
      </x:c>
    </x:row>
    <x:row r="11">
      <x:c r="A11" s="47" t="str">
        <x:v>Overijssel</x:v>
      </x:c>
      <x:c r="B11" s="48" t="n">
        <x:v>22</x:v>
      </x:c>
      <x:c r="C11" s="48" t="n">
        <x:v>28</x:v>
      </x:c>
      <x:c r="D11" s="48" t="n">
        <x:v>28</x:v>
      </x:c>
      <x:c r="E11" s="48" t="n">
        <x:v>28</x:v>
      </x:c>
      <x:c r="F11" s="48" t="n">
        <x:v>28</x:v>
      </x:c>
      <x:c r="G11" s="65" t="b">
        <x:v>1</x:v>
      </x:c>
      <x:c r="H11" s="49" t="str">
        <x:v>Current qualifying boundary represented from national register</x:v>
      </x:c>
    </x:row>
    <x:row r="12">
      <x:c r="A12" s="47" t="str">
        <x:v>Utrecht</x:v>
      </x:c>
      <x:c r="B12" s="48" t="n">
        <x:v>21</x:v>
      </x:c>
      <x:c r="C12" s="48" t="n">
        <x:v>28</x:v>
      </x:c>
      <x:c r="D12" s="48" t="n">
        <x:v>28</x:v>
      </x:c>
      <x:c r="E12" s="48" t="n">
        <x:v>28</x:v>
      </x:c>
      <x:c r="F12" s="48" t="n">
        <x:v>28</x:v>
      </x:c>
      <x:c r="G12" s="65" t="b">
        <x:v>1</x:v>
      </x:c>
      <x:c r="H12" s="49" t="str">
        <x:v>Current qualifying boundary represented from national register</x:v>
      </x:c>
    </x:row>
    <x:row r="13">
      <x:c r="A13" s="47" t="str">
        <x:v>Zeeland</x:v>
      </x:c>
      <x:c r="B13" s="48" t="n">
        <x:v>8</x:v>
      </x:c>
      <x:c r="C13" s="48" t="n">
        <x:v>12</x:v>
      </x:c>
      <x:c r="D13" s="48" t="n">
        <x:v>12</x:v>
      </x:c>
      <x:c r="E13" s="48" t="n">
        <x:v>12</x:v>
      </x:c>
      <x:c r="F13" s="48" t="n">
        <x:v>12</x:v>
      </x:c>
      <x:c r="G13" s="65" t="b">
        <x:v>1</x:v>
      </x:c>
      <x:c r="H13" s="49" t="str">
        <x:v>Current qualifying boundary represented from national register</x:v>
      </x:c>
    </x:row>
    <x:row r="14">
      <x:c r="A14" s="50" t="str">
        <x:v>Zuid-Holland</x:v>
      </x:c>
      <x:c r="B14" s="51" t="n">
        <x:v>41</x:v>
      </x:c>
      <x:c r="C14" s="51" t="n">
        <x:v>59</x:v>
      </x:c>
      <x:c r="D14" s="51" t="n">
        <x:v>59</x:v>
      </x:c>
      <x:c r="E14" s="51" t="n">
        <x:v>59</x:v>
      </x:c>
      <x:c r="F14" s="51" t="n">
        <x:v>57</x:v>
      </x:c>
      <x:c r="G14" s="66" t="b">
        <x:v>1</x:v>
      </x:c>
      <x:c r="H14" s="52" t="str">
        <x:v>Current qualifying boundary represented from national register</x:v>
      </x:c>
    </x:row>
    <x:row r="15">
      <x:c r="A15" s="69" t="str">
        <x:v>TOTAL</x:v>
      </x:c>
      <x:c r="B15" s="70" t="n">
        <x:v>277</x:v>
      </x:c>
      <x:c r="C15" s="70" t="n">
        <x:v>419</x:v>
      </x:c>
      <x:c r="D15" s="70" t="n">
        <x:v>419</x:v>
      </x:c>
      <x:c r="E15" s="70" t="n">
        <x:v>419</x:v>
      </x:c>
      <x:c r="F15" s="70" t="n">
        <x:v>417</x:v>
      </x:c>
      <x:c r="G15" s="71" t="b">
        <x:v>1</x:v>
      </x:c>
      <x:c r="H15" s="72" t="str">
        <x:v>All retained records passed structural QA</x:v>
      </x:c>
    </x:row>
  </x:sheetData>
  <x:mergeCells>
    <x:mergeCell ref="A1:H1"/>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8" hidden="0" customWidth="1"/>
    <x:col min="2" max="2" width="20" hidden="0" customWidth="1"/>
    <x:col min="3" max="3" width="68" hidden="0" customWidth="1"/>
  </x:cols>
  <x:sheetData>
    <x:row r="1">
      <x:c r="A1" s="4" t="str">
        <x:v>RESEARCH STATUS</x:v>
      </x:c>
      <x:c r="B1" s="4"/>
      <x:c r="C1" s="4"/>
    </x:row>
    <x:row r="2">
      <x:c r="A2" s="25" t="str">
        <x:v>Metric</x:v>
      </x:c>
      <x:c r="B2" s="26" t="str">
        <x:v>Result</x:v>
      </x:c>
      <x:c r="C2" s="27" t="str">
        <x:v>QA rule</x:v>
      </x:c>
    </x:row>
    <x:row r="3">
      <x:c r="A3" s="44" t="str">
        <x:v>Raw active playable NGF loops</x:v>
      </x:c>
      <x:c r="B3" s="45" t="n">
        <x:v>530</x:v>
      </x:c>
      <x:c r="C3" s="46" t="str">
        <x:v>Before paired numbered-loop consolidation</x:v>
      </x:c>
    </x:row>
    <x:row r="4">
      <x:c r="A4" s="47" t="str">
        <x:v>Final physical layouts</x:v>
      </x:c>
      <x:c r="B4" s="48" t="n">
        <x:v>419</x:v>
      </x:c>
      <x:c r="C4" s="49" t="str">
        <x:v>One row per named layout or consolidated numbered course</x:v>
      </x:c>
    </x:row>
    <x:row r="5">
      <x:c r="A5" s="47" t="str">
        <x:v>Facilities</x:v>
      </x:c>
      <x:c r="B5" s="48" t="n">
        <x:v>277</x:v>
      </x:c>
      <x:c r="C5" s="49" t="str">
        <x:v>Shared hl_club_id at one address</x:v>
      </x:c>
    </x:row>
    <x:row r="6">
      <x:c r="A6" s="47" t="str">
        <x:v>Unique course IDs</x:v>
      </x:c>
      <x:c r="B6" s="48" t="n">
        <x:v>419</x:v>
      </x:c>
      <x:c r="C6" s="49" t="str">
        <x:v>Must equal final record count</x:v>
      </x:c>
    </x:row>
    <x:row r="7">
      <x:c r="A7" s="47" t="str">
        <x:v>Valid WGS84 pairs</x:v>
      </x:c>
      <x:c r="B7" s="48" t="n">
        <x:v>419</x:v>
      </x:c>
      <x:c r="C7" s="49" t="str">
        <x:v>Netherlands bounding-box check</x:v>
      </x:c>
    </x:row>
    <x:row r="8">
      <x:c r="A8" s="47" t="str">
        <x:v>Websites</x:v>
      </x:c>
      <x:c r="B8" s="48" t="n">
        <x:v>419</x:v>
      </x:c>
      <x:c r="C8" s="49" t="str">
        <x:v>Valid HTTP(S) URL</x:v>
      </x:c>
    </x:row>
    <x:row r="9">
      <x:c r="A9" s="47" t="str">
        <x:v>Hole counts</x:v>
      </x:c>
      <x:c r="B9" s="48" t="n">
        <x:v>419</x:v>
      </x:c>
      <x:c r="C9" s="49" t="str">
        <x:v>Physical layout count</x:v>
      </x:c>
    </x:row>
    <x:row r="10">
      <x:c r="A10" s="47" t="str">
        <x:v>Par totals</x:v>
      </x:c>
      <x:c r="B10" s="48" t="n">
        <x:v>419</x:v>
      </x:c>
      <x:c r="C10" s="49" t="str">
        <x:v>Published or exact arithmetic total</x:v>
      </x:c>
    </x:row>
    <x:row r="11">
      <x:c r="A11" s="47" t="str">
        <x:v>Course lengths</x:v>
      </x:c>
      <x:c r="B11" s="48" t="n">
        <x:v>417</x:v>
      </x:c>
      <x:c r="C11" s="49" t="str">
        <x:v>Only exact sourced totals</x:v>
      </x:c>
    </x:row>
    <x:row r="12">
      <x:c r="A12" s="47" t="str">
        <x:v>Unresolved length totals</x:v>
      </x:c>
      <x:c r="B12" s="48" t="n">
        <x:v>2</x:v>
      </x:c>
      <x:c r="C12" s="49" t="str">
        <x:v>Intentionally blank</x:v>
      </x:c>
    </x:row>
    <x:row r="13">
      <x:c r="A13" s="47" t="str">
        <x:v>Excluded practice-hole rows</x:v>
      </x:c>
      <x:c r="B13" s="48" t="n">
        <x:v>40</x:v>
      </x:c>
      <x:c r="C13" s="49" t="str">
        <x:v>Outside agreed production boundary</x:v>
      </x:c>
    </x:row>
    <x:row r="14">
      <x:c r="A14" s="47" t="str">
        <x:v>Verified postcode corrections</x:v>
      </x:c>
      <x:c r="B14" s="48" t="n">
        <x:v>6</x:v>
      </x:c>
      <x:c r="C14" s="49" t="str">
        <x:v>Official facility contact page + exact BAG address</x:v>
      </x:c>
    </x:row>
    <x:row r="15">
      <x:c r="A15" s="47" t="str">
        <x:v>Verified par corrections</x:v>
      </x:c>
      <x:c r="B15" s="48" t="n">
        <x:v>2</x:v>
      </x:c>
      <x:c r="C15" s="49" t="str">
        <x:v>Official/exact course evidence</x:v>
      </x:c>
    </x:row>
    <x:row r="16">
      <x:c r="A16" s="47" t="str">
        <x:v>Formula errors</x:v>
      </x:c>
      <x:c r="B16" s="48" t="n">
        <x:v>0</x:v>
      </x:c>
      <x:c r="C16" s="49" t="str">
        <x:v>Checked after workbook build</x:v>
      </x:c>
    </x:row>
    <x:row r="17">
      <x:c r="A17" s="50" t="str">
        <x:v>Verification date</x:v>
      </x:c>
      <x:c r="B17" s="51" t="str">
        <x:v>2026-08-15</x:v>
      </x:c>
      <x:c r="C17" s="52" t="str">
        <x:v>Current research pass</x:v>
      </x:c>
    </x:row>
    <x:row r="18">
      <x:c r="A18" t="str">
        <x:v>Second-pass unresolved exact lengths</x:v>
      </x:c>
      <x:c r="B18" t="n">
        <x:v>2</x:v>
      </x:c>
      <x:c r="C18" t="str">
        <x:v>Kept blank: official course page publishes no exact total and current third-party scorecards conflict</x:v>
      </x:c>
    </x:row>
  </x:sheetData>
  <x:mergeCells>
    <x:mergeCell ref="A1:C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48" hidden="0" customWidth="1"/>
    <x:col min="2" max="2" width="20" hidden="0" customWidth="1"/>
    <x:col min="3" max="3" width="20" hidden="0" customWidth="1"/>
    <x:col min="4" max="4" width="72" hidden="0" customWidth="1"/>
    <x:col min="5" max="5" width="78" hidden="0" customWidth="1"/>
  </x:cols>
  <x:sheetData>
    <x:row r="1">
      <x:c r="A1" s="4" t="str">
        <x:v>RECONCILIATION LOG — CORRECTIONS AND EXCLUDED PRACTICE LAYOUTS</x:v>
      </x:c>
      <x:c r="B1" s="4"/>
      <x:c r="C1" s="4"/>
      <x:c r="D1" s="4"/>
      <x:c r="E1" s="4"/>
    </x:row>
    <x:row r="2">
      <x:c r="A2" s="25" t="str">
        <x:v>Candidate / issue</x:v>
      </x:c>
      <x:c r="B2" s="26" t="str">
        <x:v>Province / scope</x:v>
      </x:c>
      <x:c r="C2" s="26" t="str">
        <x:v>Decision</x:v>
      </x:c>
      <x:c r="D2" s="26" t="str">
        <x:v>Reason</x:v>
      </x:c>
      <x:c r="E2" s="27" t="str">
        <x:v>Evidence</x:v>
      </x:c>
    </x:row>
    <x:row r="3">
      <x:c r="A3" s="92" t="str">
        <x:v>Six facility postcode records</x:v>
      </x:c>
      <x:c r="B3" s="93" t="str">
        <x:v>National</x:v>
      </x:c>
      <x:c r="C3" s="93" t="str">
        <x:v>Corrected</x:v>
      </x:c>
      <x:c r="D3" s="93" t="str">
        <x:v>NGF overview postcode typo corrected only where the current official facility contact page and exact BAG address agreed</x:v>
      </x:c>
      <x:c r="E3" s="94" t="str">
        <x:v>Individual official and PDOK URLs retained in Source_Records</x:v>
      </x:c>
    </x:row>
    <x:row r="4">
      <x:c r="A4" s="95" t="str">
        <x:v>Chi Chi - The Golf Venue</x:v>
      </x:c>
      <x:c r="B4" s="96" t="str">
        <x:v>Utrecht</x:v>
      </x:c>
      <x:c r="C4" s="96" t="str">
        <x:v>Corrected</x:v>
      </x:c>
      <x:c r="D4" s="96" t="str">
        <x:v>Nine-hole par-3 course totals par 27; rejected overview par-18 value</x:v>
      </x:c>
      <x:c r="E4" s="97" t="str">
        <x:v>https://www.chichiutrecht.nl/gvb-cursus</x:v>
      </x:c>
    </x:row>
    <x:row r="5">
      <x:c r="A5" s="95" t="str">
        <x:v>Golfbaan Landgoed Bergvliet — Lus B</x:v>
      </x:c>
      <x:c r="B5" s="96" t="str">
        <x:v>Noord-Brabant</x:v>
      </x:c>
      <x:c r="C5" s="96" t="str">
        <x:v>Corrected</x:v>
      </x:c>
      <x:c r="D5" s="96" t="str">
        <x:v>Exact nine-hole scorecard totals par 35; rejected overview par-45 value</x:v>
      </x:c>
      <x:c r="E5" s="97" t="str">
        <x:v>https://18birdies.com/golf-courses/club/d0fdd330-86ac-11e4-8c28-020000005b00/landgoed-bergvliet</x:v>
      </x:c>
    </x:row>
    <x:row r="6">
      <x:c r="A6" s="95" t="str">
        <x:v>Golfbaan Zuid-Drenthe</x:v>
      </x:c>
      <x:c r="B6" s="96" t="str">
        <x:v>Drenthe</x:v>
      </x:c>
      <x:c r="C6" s="96" t="str">
        <x:v>Excluded</x:v>
      </x:c>
      <x:c r="D6" s="96" t="str">
        <x:v>Explicitly labelled Oefenholes (practice holes) in the national register; outside the agreed playable-course boundary</x:v>
      </x:c>
      <x:c r="E6" s="97" t="str">
        <x:v>https://www.golf.nl/de-baan-op/banenzoeker/overzicht</x:v>
      </x:c>
    </x:row>
    <x:row r="7">
      <x:c r="A7" s="95" t="str">
        <x:v>Golfclub Gaasterland — Pitch &amp; Putt baan</x:v>
      </x:c>
      <x:c r="B7" s="96" t="str">
        <x:v>Friesland</x:v>
      </x:c>
      <x:c r="C7" s="96" t="str">
        <x:v>Excluded</x:v>
      </x:c>
      <x:c r="D7" s="96" t="str">
        <x:v>Explicitly labelled Oefenholes (practice holes) in the national register; outside the agreed playable-course boundary</x:v>
      </x:c>
      <x:c r="E7" s="97" t="str">
        <x:v>https://www.golf.nl/de-baan-op/banenzoeker/overzicht</x:v>
      </x:c>
    </x:row>
    <x:row r="8">
      <x:c r="A8" s="95" t="str">
        <x:v>Leeuwarder Golfclub De Groene Ster</x:v>
      </x:c>
      <x:c r="B8" s="96" t="str">
        <x:v>Friesland</x:v>
      </x:c>
      <x:c r="C8" s="96" t="str">
        <x:v>Excluded</x:v>
      </x:c>
      <x:c r="D8" s="96" t="str">
        <x:v>Explicitly labelled Oefenholes (practice holes) in the national register; outside the agreed playable-course boundary</x:v>
      </x:c>
      <x:c r="E8" s="97" t="str">
        <x:v>https://www.golf.nl/de-baan-op/banenzoeker/overzicht</x:v>
      </x:c>
    </x:row>
    <x:row r="9">
      <x:c r="A9" s="95" t="str">
        <x:v>Golfbaan De Voortwisch</x:v>
      </x:c>
      <x:c r="B9" s="96" t="str">
        <x:v>Gelderland</x:v>
      </x:c>
      <x:c r="C9" s="96" t="str">
        <x:v>Excluded</x:v>
      </x:c>
      <x:c r="D9" s="96" t="str">
        <x:v>Explicitly labelled Oefenholes (practice holes) in the national register; outside the agreed playable-course boundary</x:v>
      </x:c>
      <x:c r="E9" s="97" t="str">
        <x:v>https://www.golf.nl/de-baan-op/banenzoeker/overzicht</x:v>
      </x:c>
    </x:row>
    <x:row r="10">
      <x:c r="A10" s="95" t="str">
        <x:v>Golfbaan Het Rijk van Nijmegen — Oefenbaan 't Siepke</x:v>
      </x:c>
      <x:c r="B10" s="96" t="str">
        <x:v>Gelderland</x:v>
      </x:c>
      <x:c r="C10" s="96" t="str">
        <x:v>Excluded</x:v>
      </x:c>
      <x:c r="D10" s="96" t="str">
        <x:v>Explicitly labelled Oefenholes (practice holes) in the national register; outside the agreed playable-course boundary</x:v>
      </x:c>
      <x:c r="E10" s="97" t="str">
        <x:v>https://www.golf.nl/de-baan-op/banenzoeker/overzicht</x:v>
      </x:c>
    </x:row>
    <x:row r="11">
      <x:c r="A11" s="95" t="str">
        <x:v>Golfbaan Het Rijk van Nunspeet — Dennenbaan</x:v>
      </x:c>
      <x:c r="B11" s="96" t="str">
        <x:v>Gelderland</x:v>
      </x:c>
      <x:c r="C11" s="96" t="str">
        <x:v>Excluded</x:v>
      </x:c>
      <x:c r="D11" s="96" t="str">
        <x:v>Explicitly labelled Oefenholes (practice holes) in the national register; outside the agreed playable-course boundary</x:v>
      </x:c>
      <x:c r="E11" s="97" t="str">
        <x:v>https://www.golf.nl/de-baan-op/banenzoeker/overzicht</x:v>
      </x:c>
    </x:row>
    <x:row r="12">
      <x:c r="A12" s="95" t="str">
        <x:v>Golfbaan Landgoed Welderen — Pitch &amp; putt baan</x:v>
      </x:c>
      <x:c r="B12" s="96" t="str">
        <x:v>Gelderland</x:v>
      </x:c>
      <x:c r="C12" s="96" t="str">
        <x:v>Excluded</x:v>
      </x:c>
      <x:c r="D12" s="96" t="str">
        <x:v>Explicitly labelled Oefenholes (practice holes) in the national register; outside the agreed playable-course boundary</x:v>
      </x:c>
      <x:c r="E12" s="97" t="str">
        <x:v>https://www.golf.nl/de-baan-op/banenzoeker/overzicht</x:v>
      </x:c>
    </x:row>
    <x:row r="13">
      <x:c r="A13" s="95" t="str">
        <x:v>Lochemse Golfclub</x:v>
      </x:c>
      <x:c r="B13" s="96" t="str">
        <x:v>Gelderland</x:v>
      </x:c>
      <x:c r="C13" s="96" t="str">
        <x:v>Excluded</x:v>
      </x:c>
      <x:c r="D13" s="96" t="str">
        <x:v>Explicitly labelled Oefenholes (practice holes) in the national register; outside the agreed playable-course boundary</x:v>
      </x:c>
      <x:c r="E13" s="97" t="str">
        <x:v>https://www.golf.nl/de-baan-op/banenzoeker/overzicht</x:v>
      </x:c>
    </x:row>
    <x:row r="14">
      <x:c r="A14" s="95" t="str">
        <x:v>Rosendaelsche Golfclub</x:v>
      </x:c>
      <x:c r="B14" s="96" t="str">
        <x:v>Gelderland</x:v>
      </x:c>
      <x:c r="C14" s="96" t="str">
        <x:v>Excluded</x:v>
      </x:c>
      <x:c r="D14" s="96" t="str">
        <x:v>Explicitly labelled Oefenholes (practice holes) in the national register; outside the agreed playable-course boundary</x:v>
      </x:c>
      <x:c r="E14" s="97" t="str">
        <x:v>https://www.golf.nl/de-baan-op/banenzoeker/overzicht</x:v>
      </x:c>
    </x:row>
    <x:row r="15">
      <x:c r="A15" s="95" t="str">
        <x:v>Groningse Golfclub Duurswold</x:v>
      </x:c>
      <x:c r="B15" s="96" t="str">
        <x:v>Groningen</x:v>
      </x:c>
      <x:c r="C15" s="96" t="str">
        <x:v>Excluded</x:v>
      </x:c>
      <x:c r="D15" s="96" t="str">
        <x:v>Explicitly labelled Oefenholes (practice holes) in the national register; outside the agreed playable-course boundary</x:v>
      </x:c>
      <x:c r="E15" s="97" t="str">
        <x:v>https://www.golf.nl/de-baan-op/banenzoeker/overzicht</x:v>
      </x:c>
    </x:row>
    <x:row r="16">
      <x:c r="A16" s="95" t="str">
        <x:v>Golf- &amp; Countryclub Geijsteren</x:v>
      </x:c>
      <x:c r="B16" s="96" t="str">
        <x:v>Limburg</x:v>
      </x:c>
      <x:c r="C16" s="96" t="str">
        <x:v>Excluded</x:v>
      </x:c>
      <x:c r="D16" s="96" t="str">
        <x:v>Explicitly labelled Oefenholes (practice holes) in the national register; outside the agreed playable-course boundary</x:v>
      </x:c>
      <x:c r="E16" s="97" t="str">
        <x:v>https://www.golf.nl/de-baan-op/banenzoeker/overzicht</x:v>
      </x:c>
    </x:row>
    <x:row r="17">
      <x:c r="A17" s="95" t="str">
        <x:v>Golfclub De Berckt — Pitch &amp; Chip baan</x:v>
      </x:c>
      <x:c r="B17" s="96" t="str">
        <x:v>Limburg</x:v>
      </x:c>
      <x:c r="C17" s="96" t="str">
        <x:v>Excluded</x:v>
      </x:c>
      <x:c r="D17" s="96" t="str">
        <x:v>Explicitly labelled Oefenholes (practice holes) in the national register; outside the agreed playable-course boundary</x:v>
      </x:c>
      <x:c r="E17" s="97" t="str">
        <x:v>https://www.golf.nl/de-baan-op/banenzoeker/overzicht</x:v>
      </x:c>
    </x:row>
    <x:row r="18">
      <x:c r="A18" s="95" t="str">
        <x:v>Golfpark Land van Thorn — oefenholes</x:v>
      </x:c>
      <x:c r="B18" s="96" t="str">
        <x:v>Limburg</x:v>
      </x:c>
      <x:c r="C18" s="96" t="str">
        <x:v>Excluded</x:v>
      </x:c>
      <x:c r="D18" s="96" t="str">
        <x:v>Explicitly labelled Oefenholes (practice holes) in the national register; outside the agreed playable-course boundary</x:v>
      </x:c>
      <x:c r="E18" s="97" t="str">
        <x:v>https://www.golf.nl/de-baan-op/banenzoeker/overzicht</x:v>
      </x:c>
    </x:row>
    <x:row r="19">
      <x:c r="A19" s="95" t="str">
        <x:v>Hoenshuis Golf</x:v>
      </x:c>
      <x:c r="B19" s="96" t="str">
        <x:v>Limburg</x:v>
      </x:c>
      <x:c r="C19" s="96" t="str">
        <x:v>Excluded</x:v>
      </x:c>
      <x:c r="D19" s="96" t="str">
        <x:v>Explicitly labelled Oefenholes (practice holes) in the national register; outside the agreed playable-course boundary</x:v>
      </x:c>
      <x:c r="E19" s="97" t="str">
        <x:v>https://www.golf.nl/de-baan-op/banenzoeker/overzicht</x:v>
      </x:c>
    </x:row>
    <x:row r="20">
      <x:c r="A20" s="95" t="str">
        <x:v>Eindhovensche Golf</x:v>
      </x:c>
      <x:c r="B20" s="96" t="str">
        <x:v>Noord-Brabant</x:v>
      </x:c>
      <x:c r="C20" s="96" t="str">
        <x:v>Excluded</x:v>
      </x:c>
      <x:c r="D20" s="96" t="str">
        <x:v>Explicitly labelled Oefenholes (practice holes) in the national register; outside the agreed playable-course boundary</x:v>
      </x:c>
      <x:c r="E20" s="97" t="str">
        <x:v>https://www.golf.nl/de-baan-op/banenzoeker/overzicht</x:v>
      </x:c>
    </x:row>
    <x:row r="21">
      <x:c r="A21" s="95" t="str">
        <x:v>Golf &amp; Country Course De Schoot — par 3 baan</x:v>
      </x:c>
      <x:c r="B21" s="96" t="str">
        <x:v>Noord-Brabant</x:v>
      </x:c>
      <x:c r="C21" s="96" t="str">
        <x:v>Excluded</x:v>
      </x:c>
      <x:c r="D21" s="96" t="str">
        <x:v>Explicitly labelled Oefenholes (practice holes) in the national register; outside the agreed playable-course boundary</x:v>
      </x:c>
      <x:c r="E21" s="97" t="str">
        <x:v>https://www.golf.nl/de-baan-op/banenzoeker/overzicht</x:v>
      </x:c>
    </x:row>
    <x:row r="22">
      <x:c r="A22" s="95" t="str">
        <x:v>Golfcentrum Dongen</x:v>
      </x:c>
      <x:c r="B22" s="96" t="str">
        <x:v>Noord-Brabant</x:v>
      </x:c>
      <x:c r="C22" s="96" t="str">
        <x:v>Excluded</x:v>
      </x:c>
      <x:c r="D22" s="96" t="str">
        <x:v>Explicitly labelled Oefenholes (practice holes) in the national register; outside the agreed playable-course boundary</x:v>
      </x:c>
      <x:c r="E22" s="97" t="str">
        <x:v>https://www.golf.nl/de-baan-op/banenzoeker/overzicht</x:v>
      </x:c>
    </x:row>
    <x:row r="23">
      <x:c r="A23" s="95" t="str">
        <x:v>Golfclub Landgoed Coudewater</x:v>
      </x:c>
      <x:c r="B23" s="96" t="str">
        <x:v>Noord-Brabant</x:v>
      </x:c>
      <x:c r="C23" s="96" t="str">
        <x:v>Excluded</x:v>
      </x:c>
      <x:c r="D23" s="96" t="str">
        <x:v>Explicitly labelled Oefenholes (practice holes) in the national register; outside the agreed playable-course boundary</x:v>
      </x:c>
      <x:c r="E23" s="97" t="str">
        <x:v>https://www.golf.nl/de-baan-op/banenzoeker/overzicht</x:v>
      </x:c>
    </x:row>
    <x:row r="24">
      <x:c r="A24" s="95" t="str">
        <x:v>Golfclub Riel — Zes gehuchten</x:v>
      </x:c>
      <x:c r="B24" s="96" t="str">
        <x:v>Noord-Brabant</x:v>
      </x:c>
      <x:c r="C24" s="96" t="str">
        <x:v>Excluded</x:v>
      </x:c>
      <x:c r="D24" s="96" t="str">
        <x:v>Explicitly labelled Oefenholes (practice holes) in the national register; outside the agreed playable-course boundary</x:v>
      </x:c>
      <x:c r="E24" s="97" t="str">
        <x:v>https://www.golf.nl/de-baan-op/banenzoeker/overzicht</x:v>
      </x:c>
    </x:row>
    <x:row r="25">
      <x:c r="A25" s="95" t="str">
        <x:v>Golfclub Wouwse Plantage</x:v>
      </x:c>
      <x:c r="B25" s="96" t="str">
        <x:v>Noord-Brabant</x:v>
      </x:c>
      <x:c r="C25" s="96" t="str">
        <x:v>Excluded</x:v>
      </x:c>
      <x:c r="D25" s="96" t="str">
        <x:v>Explicitly labelled Oefenholes (practice holes) in the national register; outside the agreed playable-course boundary</x:v>
      </x:c>
      <x:c r="E25" s="97" t="str">
        <x:v>https://www.golf.nl/de-baan-op/banenzoeker/overzicht</x:v>
      </x:c>
    </x:row>
    <x:row r="26">
      <x:c r="A26" s="95" t="str">
        <x:v>Golfpark De Bonte Bij</x:v>
      </x:c>
      <x:c r="B26" s="96" t="str">
        <x:v>Noord-Brabant</x:v>
      </x:c>
      <x:c r="C26" s="96" t="str">
        <x:v>Excluded</x:v>
      </x:c>
      <x:c r="D26" s="96" t="str">
        <x:v>Explicitly labelled Oefenholes (practice holes) in the national register; outside the agreed playable-course boundary</x:v>
      </x:c>
      <x:c r="E26" s="97" t="str">
        <x:v>https://www.golf.nl/de-baan-op/banenzoeker/overzicht</x:v>
      </x:c>
    </x:row>
    <x:row r="27">
      <x:c r="A27" s="95" t="str">
        <x:v>Golfpark De Turfvaert</x:v>
      </x:c>
      <x:c r="B27" s="96" t="str">
        <x:v>Noord-Brabant</x:v>
      </x:c>
      <x:c r="C27" s="96" t="str">
        <x:v>Excluded</x:v>
      </x:c>
      <x:c r="D27" s="96" t="str">
        <x:v>Explicitly labelled Oefenholes (practice holes) in the national register; outside the agreed playable-course boundary</x:v>
      </x:c>
      <x:c r="E27" s="97" t="str">
        <x:v>https://www.golf.nl/de-baan-op/banenzoeker/overzicht</x:v>
      </x:c>
    </x:row>
    <x:row r="28">
      <x:c r="A28" s="95" t="str">
        <x:v>The Duke</x:v>
      </x:c>
      <x:c r="B28" s="96" t="str">
        <x:v>Noord-Brabant</x:v>
      </x:c>
      <x:c r="C28" s="96" t="str">
        <x:v>Excluded</x:v>
      </x:c>
      <x:c r="D28" s="96" t="str">
        <x:v>Explicitly labelled Oefenholes (practice holes) in the national register; outside the agreed playable-course boundary</x:v>
      </x:c>
      <x:c r="E28" s="97" t="str">
        <x:v>https://www.golf.nl/de-baan-op/banenzoeker/overzicht</x:v>
      </x:c>
    </x:row>
    <x:row r="29">
      <x:c r="A29" s="95" t="str">
        <x:v>Amsterdamse Golfclub</x:v>
      </x:c>
      <x:c r="B29" s="96" t="str">
        <x:v>Noord-Holland</x:v>
      </x:c>
      <x:c r="C29" s="96" t="str">
        <x:v>Excluded</x:v>
      </x:c>
      <x:c r="D29" s="96" t="str">
        <x:v>Explicitly labelled Oefenholes (practice holes) in the national register; outside the agreed playable-course boundary</x:v>
      </x:c>
      <x:c r="E29" s="97" t="str">
        <x:v>https://www.golf.nl/de-baan-op/banenzoeker/overzicht</x:v>
      </x:c>
    </x:row>
    <x:row r="30">
      <x:c r="A30" s="95" t="str">
        <x:v>Golf- &amp; Countryclub Heiloo</x:v>
      </x:c>
      <x:c r="B30" s="96" t="str">
        <x:v>Noord-Holland</x:v>
      </x:c>
      <x:c r="C30" s="96" t="str">
        <x:v>Excluded</x:v>
      </x:c>
      <x:c r="D30" s="96" t="str">
        <x:v>Explicitly labelled Oefenholes (practice holes) in the national register; outside the agreed playable-course boundary</x:v>
      </x:c>
      <x:c r="E30" s="97" t="str">
        <x:v>https://www.golf.nl/de-baan-op/banenzoeker/overzicht</x:v>
      </x:c>
    </x:row>
    <x:row r="31">
      <x:c r="A31" s="95" t="str">
        <x:v>Golfclub Houtrak</x:v>
      </x:c>
      <x:c r="B31" s="96" t="str">
        <x:v>Noord-Holland</x:v>
      </x:c>
      <x:c r="C31" s="96" t="str">
        <x:v>Excluded</x:v>
      </x:c>
      <x:c r="D31" s="96" t="str">
        <x:v>Explicitly labelled Oefenholes (practice holes) in the national register; outside the agreed playable-course boundary</x:v>
      </x:c>
      <x:c r="E31" s="97" t="str">
        <x:v>https://www.golf.nl/de-baan-op/banenzoeker/overzicht</x:v>
      </x:c>
    </x:row>
    <x:row r="32">
      <x:c r="A32" s="95" t="str">
        <x:v>Zaanse Golfclub</x:v>
      </x:c>
      <x:c r="B32" s="96" t="str">
        <x:v>Noord-Holland</x:v>
      </x:c>
      <x:c r="C32" s="96" t="str">
        <x:v>Excluded</x:v>
      </x:c>
      <x:c r="D32" s="96" t="str">
        <x:v>Explicitly labelled Oefenholes (practice holes) in the national register; outside the agreed playable-course boundary</x:v>
      </x:c>
      <x:c r="E32" s="97" t="str">
        <x:v>https://www.golf.nl/de-baan-op/banenzoeker/overzicht</x:v>
      </x:c>
    </x:row>
    <x:row r="33">
      <x:c r="A33" s="95" t="str">
        <x:v>Golfclub Driene</x:v>
      </x:c>
      <x:c r="B33" s="96" t="str">
        <x:v>Overijssel</x:v>
      </x:c>
      <x:c r="C33" s="96" t="str">
        <x:v>Excluded</x:v>
      </x:c>
      <x:c r="D33" s="96" t="str">
        <x:v>Explicitly labelled Oefenholes (practice holes) in the national register; outside the agreed playable-course boundary</x:v>
      </x:c>
      <x:c r="E33" s="97" t="str">
        <x:v>https://www.golf.nl/de-baan-op/banenzoeker/overzicht</x:v>
      </x:c>
    </x:row>
    <x:row r="34">
      <x:c r="A34" s="95" t="str">
        <x:v>Sallandsche Golfclub De Hoek</x:v>
      </x:c>
      <x:c r="B34" s="96" t="str">
        <x:v>Overijssel</x:v>
      </x:c>
      <x:c r="C34" s="96" t="str">
        <x:v>Excluded</x:v>
      </x:c>
      <x:c r="D34" s="96" t="str">
        <x:v>Explicitly labelled Oefenholes (practice holes) in the national register; outside the agreed playable-course boundary</x:v>
      </x:c>
      <x:c r="E34" s="97" t="str">
        <x:v>https://www.golf.nl/de-baan-op/banenzoeker/overzicht</x:v>
      </x:c>
    </x:row>
    <x:row r="35">
      <x:c r="A35" s="95" t="str">
        <x:v>Twentsche Golfclub</x:v>
      </x:c>
      <x:c r="B35" s="96" t="str">
        <x:v>Overijssel</x:v>
      </x:c>
      <x:c r="C35" s="96" t="str">
        <x:v>Excluded</x:v>
      </x:c>
      <x:c r="D35" s="96" t="str">
        <x:v>Explicitly labelled Oefenholes (practice holes) in the national register; outside the agreed playable-course boundary</x:v>
      </x:c>
      <x:c r="E35" s="97" t="str">
        <x:v>https://www.golf.nl/de-baan-op/banenzoeker/overzicht</x:v>
      </x:c>
    </x:row>
    <x:row r="36">
      <x:c r="A36" s="95" t="str">
        <x:v>Golfclub Anderstein</x:v>
      </x:c>
      <x:c r="B36" s="96" t="str">
        <x:v>Utrecht</x:v>
      </x:c>
      <x:c r="C36" s="96" t="str">
        <x:v>Excluded</x:v>
      </x:c>
      <x:c r="D36" s="96" t="str">
        <x:v>Explicitly labelled Oefenholes (practice holes) in the national register; outside the agreed playable-course boundary</x:v>
      </x:c>
      <x:c r="E36" s="97" t="str">
        <x:v>https://www.golf.nl/de-baan-op/banenzoeker/overzicht</x:v>
      </x:c>
    </x:row>
    <x:row r="37">
      <x:c r="A37" s="95" t="str">
        <x:v>Golfclub De Hoge Kleij</x:v>
      </x:c>
      <x:c r="B37" s="96" t="str">
        <x:v>Utrecht</x:v>
      </x:c>
      <x:c r="C37" s="96" t="str">
        <x:v>Excluded</x:v>
      </x:c>
      <x:c r="D37" s="96" t="str">
        <x:v>Explicitly labelled Oefenholes (practice holes) in the national register; outside the agreed playable-course boundary</x:v>
      </x:c>
      <x:c r="E37" s="97" t="str">
        <x:v>https://www.golf.nl/de-baan-op/banenzoeker/overzicht</x:v>
      </x:c>
    </x:row>
    <x:row r="38">
      <x:c r="A38" s="95" t="str">
        <x:v>Goyer Golf &amp; Country Club — South Course</x:v>
      </x:c>
      <x:c r="B38" s="96" t="str">
        <x:v>Utrecht</x:v>
      </x:c>
      <x:c r="C38" s="96" t="str">
        <x:v>Excluded</x:v>
      </x:c>
      <x:c r="D38" s="96" t="str">
        <x:v>Explicitly labelled Oefenholes (practice holes) in the national register; outside the agreed playable-course boundary</x:v>
      </x:c>
      <x:c r="E38" s="97" t="str">
        <x:v>https://www.golf.nl/de-baan-op/banenzoeker/overzicht</x:v>
      </x:c>
    </x:row>
    <x:row r="39">
      <x:c r="A39" s="95" t="str">
        <x:v>Utrechtse Golfclub De Pan</x:v>
      </x:c>
      <x:c r="B39" s="96" t="str">
        <x:v>Utrecht</x:v>
      </x:c>
      <x:c r="C39" s="96" t="str">
        <x:v>Excluded</x:v>
      </x:c>
      <x:c r="D39" s="96" t="str">
        <x:v>Explicitly labelled Oefenholes (practice holes) in the national register; outside the agreed playable-course boundary</x:v>
      </x:c>
      <x:c r="E39" s="97" t="str">
        <x:v>https://www.golf.nl/de-baan-op/banenzoeker/overzicht</x:v>
      </x:c>
    </x:row>
    <x:row r="40">
      <x:c r="A40" s="95" t="str">
        <x:v>Golfpark Reymerswael</x:v>
      </x:c>
      <x:c r="B40" s="96" t="str">
        <x:v>Zeeland</x:v>
      </x:c>
      <x:c r="C40" s="96" t="str">
        <x:v>Excluded</x:v>
      </x:c>
      <x:c r="D40" s="96" t="str">
        <x:v>Explicitly labelled Oefenholes (practice holes) in the national register; outside the agreed playable-course boundary</x:v>
      </x:c>
      <x:c r="E40" s="97" t="str">
        <x:v>https://www.golf.nl/de-baan-op/banenzoeker/overzicht</x:v>
      </x:c>
    </x:row>
    <x:row r="41">
      <x:c r="A41" s="95" t="str">
        <x:v>De Strijensche Golfclub</x:v>
      </x:c>
      <x:c r="B41" s="96" t="str">
        <x:v>Zuid-Holland</x:v>
      </x:c>
      <x:c r="C41" s="96" t="str">
        <x:v>Excluded</x:v>
      </x:c>
      <x:c r="D41" s="96" t="str">
        <x:v>Explicitly labelled Oefenholes (practice holes) in the national register; outside the agreed playable-course boundary</x:v>
      </x:c>
      <x:c r="E41" s="97" t="str">
        <x:v>https://www.golf.nl/de-baan-op/banenzoeker/overzicht</x:v>
      </x:c>
    </x:row>
    <x:row r="42">
      <x:c r="A42" s="95" t="str">
        <x:v>Golfbaan Schinkelshoek — Par 3</x:v>
      </x:c>
      <x:c r="B42" s="96" t="str">
        <x:v>Zuid-Holland</x:v>
      </x:c>
      <x:c r="C42" s="96" t="str">
        <x:v>Excluded</x:v>
      </x:c>
      <x:c r="D42" s="96" t="str">
        <x:v>Explicitly labelled Oefenholes (practice holes) in the national register; outside the agreed playable-course boundary</x:v>
      </x:c>
      <x:c r="E42" s="97" t="str">
        <x:v>https://www.golf.nl/de-baan-op/banenzoeker/overzicht</x:v>
      </x:c>
    </x:row>
    <x:row r="43">
      <x:c r="A43" s="95" t="str">
        <x:v>Golfclub Kagerzoom</x:v>
      </x:c>
      <x:c r="B43" s="96" t="str">
        <x:v>Zuid-Holland</x:v>
      </x:c>
      <x:c r="C43" s="96" t="str">
        <x:v>Excluded</x:v>
      </x:c>
      <x:c r="D43" s="96" t="str">
        <x:v>Explicitly labelled Oefenholes (practice holes) in the national register; outside the agreed playable-course boundary</x:v>
      </x:c>
      <x:c r="E43" s="97" t="str">
        <x:v>https://www.golf.nl/de-baan-op/banenzoeker/overzicht</x:v>
      </x:c>
    </x:row>
    <x:row r="44">
      <x:c r="A44" s="95" t="str">
        <x:v>Golfpark Westerpark</x:v>
      </x:c>
      <x:c r="B44" s="96" t="str">
        <x:v>Zuid-Holland</x:v>
      </x:c>
      <x:c r="C44" s="96" t="str">
        <x:v>Excluded</x:v>
      </x:c>
      <x:c r="D44" s="96" t="str">
        <x:v>Explicitly labelled Oefenholes (practice holes) in the national register; outside the agreed playable-course boundary</x:v>
      </x:c>
      <x:c r="E44" s="97" t="str">
        <x:v>https://www.golf.nl/de-baan-op/banenzoeker/overzicht</x:v>
      </x:c>
    </x:row>
    <x:row r="45">
      <x:c r="A45" s="98" t="str">
        <x:v>Wassenaarse Golfclub Rozenstein</x:v>
      </x:c>
      <x:c r="B45" s="99" t="str">
        <x:v>Zuid-Holland</x:v>
      </x:c>
      <x:c r="C45" s="99" t="str">
        <x:v>Excluded</x:v>
      </x:c>
      <x:c r="D45" s="99" t="str">
        <x:v>Explicitly labelled Oefenholes (practice holes) in the national register; outside the agreed playable-course boundary</x:v>
      </x:c>
      <x:c r="E45" s="100" t="str">
        <x:v>https://www.golf.nl/de-baan-op/banenzoeker/overzicht</x:v>
      </x:c>
    </x:row>
    <x:row r="46" ht="48" customHeight="1">
      <x:c r="A46" t="str">
        <x:v>Golfbaan Schinkelshoek — Serie B Waterland exact length</x:v>
      </x:c>
      <x:c r="B46" t="str">
        <x:v>Zuid-Holland</x:v>
      </x:c>
      <x:c r="C46" t="str">
        <x:v>Kept blank</x:v>
      </x:c>
      <x:c r="D46" t="str">
        <x:v>The current official course page confirms 9 holes and par 36 but gives no exact total length. Current third-party scorecards publish inconsistent tee totals, so no value was inserted.</x:v>
      </x:c>
      <x:c r="E46" t="str">
        <x:v>https://www.golfbaanschinkelshoek.nl/golfbaan/baaninformatie/ | https://www.golfpass.com/travel-advisor/courses/35654-schinkelshoek-golf-b-course | https://www.golfingrecord.com/golf-scorecard/2e5cde7f-de70-4e7c-bd08-503dd4e39286</x:v>
      </x:c>
    </x:row>
    <x:row r="47" ht="48" customHeight="1">
      <x:c r="A47" t="str">
        <x:v>Golfbaan Schinkelshoek — Serie C Delfland exact length</x:v>
      </x:c>
      <x:c r="B47" t="str">
        <x:v>Zuid-Holland</x:v>
      </x:c>
      <x:c r="C47" t="str">
        <x:v>Kept blank</x:v>
      </x:c>
      <x:c r="D47" t="str">
        <x:v>The current official course page confirms 9 holes and par 36 but gives no exact total length. Current third-party scorecards differ and one source has unit ambiguity, so no value was inserted.</x:v>
      </x:c>
      <x:c r="E47" t="str">
        <x:v>https://www.golfbaanschinkelshoek.nl/golfbaan/baaninformatie/ | https://www.golfpass.com/travel-advisor/courses/35655-schinkelshoek-golf-c-course | https://www.hole19golf.com/courses/golfbaan-schinkelshoek | https://www.golfingrecord.com/golf-scorecard/37771e0b-419e-4699-8684-1cb1ddc75161</x:v>
      </x:c>
    </x:row>
  </x:sheetData>
  <x:mergeCells>
    <x:mergeCell ref="A1:E1"/>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5" hidden="0" customWidth="1"/>
    <x:col min="4" max="4" width="86" hidden="0" customWidth="1"/>
    <x:col min="5" max="5" width="48" hidden="0" customWidth="1"/>
    <x:col min="6" max="6" width="16" hidden="0" customWidth="1"/>
    <x:col min="7" max="7" width="82" hidden="0" customWidth="1"/>
  </x:cols>
  <x:sheetData>
    <x:row r="1">
      <x:c r="A1" s="4" t="str">
        <x:v>SOURCE RECORDS — COURSE-BY-COURSE EVIDENCE</x:v>
      </x:c>
      <x:c r="B1" s="4"/>
      <x:c r="C1" s="4"/>
      <x:c r="D1" s="4"/>
      <x:c r="E1" s="4"/>
      <x:c r="F1" s="4"/>
      <x:c r="G1" s="4"/>
    </x:row>
    <x:row r="2">
      <x:c r="A2" s="25" t="str">
        <x:v>hl_course_id</x:v>
      </x:c>
      <x:c r="B2" s="26" t="str">
        <x:v>display_name</x:v>
      </x:c>
      <x:c r="C2" s="26" t="str">
        <x:v>evidence_for</x:v>
      </x:c>
      <x:c r="D2" s="26" t="str">
        <x:v>source_url</x:v>
      </x:c>
      <x:c r="E2" s="26" t="str">
        <x:v>source_class</x:v>
      </x:c>
      <x:c r="F2" s="26" t="str">
        <x:v>checked_at</x:v>
      </x:c>
      <x:c r="G2" s="27" t="str">
        <x:v>notes</x:v>
      </x:c>
    </x:row>
    <x:row r="3">
      <x:c r="A3" s="53" t="str">
        <x:v>NL-0001</x:v>
      </x:c>
      <x:c r="B3" s="54" t="str">
        <x:v>Country Golf Ees — Par-3 Course</x:v>
      </x:c>
      <x:c r="C3" s="54" t="str">
        <x:v>Course identity/specification</x:v>
      </x:c>
      <x:c r="D3" s="54" t="str">
        <x:v>https://www.golf.nl/de-baan-op/banenzoeker/overzicht</x:v>
      </x:c>
      <x:c r="E3" s="54" t="str">
        <x:v>Current national federation course register</x:v>
      </x:c>
      <x:c r="F3" s="54" t="str">
        <x:v>2026-08-15</x:v>
      </x:c>
      <x:c r="G3" s="55" t="str">
        <x:v>Current NGF/GOLF.NL listing: 18 holes, par 54, 1355 metres. Combined from exact NGF-listed constituent nine-hole loops: 1ste negen (9 holes, par 27, 628 m); 2de negen (9 holes, par 27, 727 m) Listed as non-qualifying.</x:v>
      </x:c>
    </x:row>
    <x:row r="4">
      <x:c r="A4" s="56" t="str">
        <x:v>NL-0001</x:v>
      </x:c>
      <x:c r="B4" s="57" t="str">
        <x:v>Country Golf Ees — Par-3 Course</x:v>
      </x:c>
      <x:c r="C4" s="57" t="str">
        <x:v>Coordinates/address</x:v>
      </x:c>
      <x:c r="D4" s="57" t="str">
        <x:v>https://api.pdok.nl/bzk/locatieserver/search/v3_1/free?q=Oosterweg+1%2C+9536+PR+Ees&amp;fq=type%3Aadres&amp;rows=10</x:v>
      </x:c>
      <x:c r="E4" s="57" t="str">
        <x:v>Dutch BAG address point via PDOK Locatieserver</x:v>
      </x:c>
      <x:c r="F4" s="57" t="str">
        <x:v>2026-08-15</x:v>
      </x:c>
      <x:c r="G4" s="14" t="str">
        <x:v>Exact postcode-matched address point: Oosterweg 1, 9536PR Ees.</x:v>
      </x:c>
    </x:row>
    <x:row r="5">
      <x:c r="A5" s="56" t="str">
        <x:v>NL-0002</x:v>
      </x:c>
      <x:c r="B5" s="57" t="str">
        <x:v>Drentsche Golf &amp; Country Club — Geel</x:v>
      </x:c>
      <x:c r="C5" s="57" t="str">
        <x:v>Course identity/specification</x:v>
      </x:c>
      <x:c r="D5" s="57" t="str">
        <x:v>https://www.golf.nl/de-baan-op/banenzoeker/overzicht</x:v>
      </x:c>
      <x:c r="E5" s="57" t="str">
        <x:v>Current national federation course register</x:v>
      </x:c>
      <x:c r="F5" s="57" t="str">
        <x:v>2026-08-15</x:v>
      </x:c>
      <x:c r="G5" s="14" t="str">
        <x:v>Current NGF/GOLF.NL listing: 9 holes, par 35, 2603 metres. Listed as qualifying.</x:v>
      </x:c>
    </x:row>
    <x:row r="6">
      <x:c r="A6" s="56" t="str">
        <x:v>NL-0002</x:v>
      </x:c>
      <x:c r="B6" s="57" t="str">
        <x:v>Drentsche Golf &amp; Country Club — Geel</x:v>
      </x:c>
      <x:c r="C6" s="57" t="str">
        <x:v>Coordinates/address</x:v>
      </x:c>
      <x:c r="D6" s="57" t="str">
        <x:v>https://api.pdok.nl/bzk/locatieserver/search/v3_1/free?q=Ten+Oeverstraat+13%2C+9489+TH+Zeijerveen&amp;fq=type%3Aadres&amp;rows=10</x:v>
      </x:c>
      <x:c r="E6" s="57" t="str">
        <x:v>Dutch BAG address point via PDOK Locatieserver</x:v>
      </x:c>
      <x:c r="F6" s="57" t="str">
        <x:v>2026-08-15</x:v>
      </x:c>
      <x:c r="G6" s="14" t="str">
        <x:v>Exact postcode-matched address point: ten Oeverstraat 13, 9489TH Zeijerveen.</x:v>
      </x:c>
    </x:row>
    <x:row r="7">
      <x:c r="A7" s="56" t="str">
        <x:v>NL-0003</x:v>
      </x:c>
      <x:c r="B7" s="57" t="str">
        <x:v>Drentsche Golf &amp; Country Club — Par-3 Course</x:v>
      </x:c>
      <x:c r="C7" s="57" t="str">
        <x:v>Course identity/specification</x:v>
      </x:c>
      <x:c r="D7" s="57" t="str">
        <x:v>https://www.golf.nl/de-baan-op/banenzoeker/overzicht</x:v>
      </x:c>
      <x:c r="E7" s="57" t="str">
        <x:v>Current national federation course register</x:v>
      </x:c>
      <x:c r="F7" s="57" t="str">
        <x:v>2026-08-15</x:v>
      </x:c>
      <x:c r="G7" s="14" t="str">
        <x:v>Current NGF/GOLF.NL listing: 9 holes, par 27, 878 metres. Listed as qualifying.</x:v>
      </x:c>
    </x:row>
    <x:row r="8">
      <x:c r="A8" s="56" t="str">
        <x:v>NL-0003</x:v>
      </x:c>
      <x:c r="B8" s="57" t="str">
        <x:v>Drentsche Golf &amp; Country Club — Par-3 Course</x:v>
      </x:c>
      <x:c r="C8" s="57" t="str">
        <x:v>Coordinates/address</x:v>
      </x:c>
      <x:c r="D8" s="57" t="str">
        <x:v>https://api.pdok.nl/bzk/locatieserver/search/v3_1/free?q=Ten+Oeverstraat+13%2C+9489+TH+Zeijerveen&amp;fq=type%3Aadres&amp;rows=10</x:v>
      </x:c>
      <x:c r="E8" s="57" t="str">
        <x:v>Dutch BAG address point via PDOK Locatieserver</x:v>
      </x:c>
      <x:c r="F8" s="57" t="str">
        <x:v>2026-08-15</x:v>
      </x:c>
      <x:c r="G8" s="14" t="str">
        <x:v>Exact postcode-matched address point: ten Oeverstraat 13, 9489TH Zeijerveen.</x:v>
      </x:c>
    </x:row>
    <x:row r="9">
      <x:c r="A9" s="56" t="str">
        <x:v>NL-0004</x:v>
      </x:c>
      <x:c r="B9" s="57" t="str">
        <x:v>Drentsche Golf &amp; Country Club — Rood</x:v>
      </x:c>
      <x:c r="C9" s="57" t="str">
        <x:v>Course identity/specification</x:v>
      </x:c>
      <x:c r="D9" s="57" t="str">
        <x:v>https://www.golf.nl/de-baan-op/banenzoeker/overzicht</x:v>
      </x:c>
      <x:c r="E9" s="57" t="str">
        <x:v>Current national federation course register</x:v>
      </x:c>
      <x:c r="F9" s="57" t="str">
        <x:v>2026-08-15</x:v>
      </x:c>
      <x:c r="G9" s="14" t="str">
        <x:v>Current NGF/GOLF.NL listing: 9 holes, par 37, 2940 metres. Listed as qualifying.</x:v>
      </x:c>
    </x:row>
    <x:row r="10">
      <x:c r="A10" s="56" t="str">
        <x:v>NL-0004</x:v>
      </x:c>
      <x:c r="B10" s="57" t="str">
        <x:v>Drentsche Golf &amp; Country Club — Rood</x:v>
      </x:c>
      <x:c r="C10" s="57" t="str">
        <x:v>Coordinates/address</x:v>
      </x:c>
      <x:c r="D10" s="57" t="str">
        <x:v>https://api.pdok.nl/bzk/locatieserver/search/v3_1/free?q=Ten+Oeverstraat+13%2C+9489+TH+Zeijerveen&amp;fq=type%3Aadres&amp;rows=10</x:v>
      </x:c>
      <x:c r="E10" s="57" t="str">
        <x:v>Dutch BAG address point via PDOK Locatieserver</x:v>
      </x:c>
      <x:c r="F10" s="57" t="str">
        <x:v>2026-08-15</x:v>
      </x:c>
      <x:c r="G10" s="14" t="str">
        <x:v>Exact postcode-matched address point: ten Oeverstraat 13, 9489TH Zeijerveen.</x:v>
      </x:c>
    </x:row>
    <x:row r="11">
      <x:c r="A11" s="56" t="str">
        <x:v>NL-0005</x:v>
      </x:c>
      <x:c r="B11" s="57" t="str">
        <x:v>Drentsche Golf &amp; Country Club — Wit</x:v>
      </x:c>
      <x:c r="C11" s="57" t="str">
        <x:v>Course identity/specification</x:v>
      </x:c>
      <x:c r="D11" s="57" t="str">
        <x:v>https://www.golf.nl/de-baan-op/banenzoeker/overzicht</x:v>
      </x:c>
      <x:c r="E11" s="57" t="str">
        <x:v>Current national federation course register</x:v>
      </x:c>
      <x:c r="F11" s="57" t="str">
        <x:v>2026-08-15</x:v>
      </x:c>
      <x:c r="G11" s="14" t="str">
        <x:v>Current NGF/GOLF.NL listing: 9 holes, par 36, 2703 metres. Listed as qualifying.</x:v>
      </x:c>
    </x:row>
    <x:row r="12">
      <x:c r="A12" s="56" t="str">
        <x:v>NL-0005</x:v>
      </x:c>
      <x:c r="B12" s="57" t="str">
        <x:v>Drentsche Golf &amp; Country Club — Wit</x:v>
      </x:c>
      <x:c r="C12" s="57" t="str">
        <x:v>Coordinates/address</x:v>
      </x:c>
      <x:c r="D12" s="57" t="str">
        <x:v>https://api.pdok.nl/bzk/locatieserver/search/v3_1/free?q=Ten+Oeverstraat+13%2C+9489+TH+Zeijerveen&amp;fq=type%3Aadres&amp;rows=10</x:v>
      </x:c>
      <x:c r="E12" s="57" t="str">
        <x:v>Dutch BAG address point via PDOK Locatieserver</x:v>
      </x:c>
      <x:c r="F12" s="57" t="str">
        <x:v>2026-08-15</x:v>
      </x:c>
      <x:c r="G12" s="14" t="str">
        <x:v>Exact postcode-matched address point: ten Oeverstraat 13, 9489TH Zeijerveen.</x:v>
      </x:c>
    </x:row>
    <x:row r="13">
      <x:c r="A13" s="56" t="str">
        <x:v>NL-0006</x:v>
      </x:c>
      <x:c r="B13" s="57" t="str">
        <x:v>Drentse Golfclub De Gelpenberg — Main Course</x:v>
      </x:c>
      <x:c r="C13" s="57" t="str">
        <x:v>Course identity/specification</x:v>
      </x:c>
      <x:c r="D13" s="57" t="str">
        <x:v>https://www.golf.nl/de-baan-op/banenzoeker/overzicht</x:v>
      </x:c>
      <x:c r="E13" s="57" t="str">
        <x:v>Current national federation course register</x:v>
      </x:c>
      <x:c r="F13" s="57" t="str">
        <x:v>2026-08-15</x:v>
      </x:c>
      <x:c r="G13" s="14" t="str">
        <x:v>Current NGF/GOLF.NL listing: 18 holes, par 72, 6321 metres. Combined from exact NGF-listed constituent nine-hole loops: 1ste negen (9 holes, par 36, 3166 m); 2de negen (9 holes, par 36, 3155 m) Listed as qualifying.</x:v>
      </x:c>
    </x:row>
    <x:row r="14">
      <x:c r="A14" s="56" t="str">
        <x:v>NL-0006</x:v>
      </x:c>
      <x:c r="B14" s="57" t="str">
        <x:v>Drentse Golfclub De Gelpenberg — Main Course</x:v>
      </x:c>
      <x:c r="C14" s="57" t="str">
        <x:v>Coordinates/address</x:v>
      </x:c>
      <x:c r="D14" s="57" t="str">
        <x:v>https://api.pdok.nl/bzk/locatieserver/search/v3_1/free?q=Gebbeveenweg+1%2C+7854+TD+Aalden&amp;fq=type%3Aadres&amp;rows=10</x:v>
      </x:c>
      <x:c r="E14" s="57" t="str">
        <x:v>Dutch BAG address point via PDOK Locatieserver</x:v>
      </x:c>
      <x:c r="F14" s="57" t="str">
        <x:v>2026-08-15</x:v>
      </x:c>
      <x:c r="G14" s="14" t="str">
        <x:v>Exact postcode-matched address point: Gebbeveenweg 1A, 7854TD Aalden.</x:v>
      </x:c>
    </x:row>
    <x:row r="15">
      <x:c r="A15" s="56" t="str">
        <x:v>NL-0007</x:v>
      </x:c>
      <x:c r="B15" s="57" t="str">
        <x:v>Drentse Golfclub De Gelpenberg — Par-3 Course</x:v>
      </x:c>
      <x:c r="C15" s="57" t="str">
        <x:v>Course identity/specification</x:v>
      </x:c>
      <x:c r="D15" s="57" t="str">
        <x:v>https://www.golf.nl/de-baan-op/banenzoeker/overzicht</x:v>
      </x:c>
      <x:c r="E15" s="57" t="str">
        <x:v>Current national federation course register</x:v>
      </x:c>
      <x:c r="F15" s="57" t="str">
        <x:v>2026-08-15</x:v>
      </x:c>
      <x:c r="G15" s="14" t="str">
        <x:v>Current NGF/GOLF.NL listing: 9 holes, par 27, 814 metres. Listed as qualifying.</x:v>
      </x:c>
    </x:row>
    <x:row r="16">
      <x:c r="A16" s="56" t="str">
        <x:v>NL-0007</x:v>
      </x:c>
      <x:c r="B16" s="57" t="str">
        <x:v>Drentse Golfclub De Gelpenberg — Par-3 Course</x:v>
      </x:c>
      <x:c r="C16" s="57" t="str">
        <x:v>Coordinates/address</x:v>
      </x:c>
      <x:c r="D16" s="57" t="str">
        <x:v>https://api.pdok.nl/bzk/locatieserver/search/v3_1/free?q=Gebbeveenweg+1%2C+7854+TD+Aalden&amp;fq=type%3Aadres&amp;rows=10</x:v>
      </x:c>
      <x:c r="E16" s="57" t="str">
        <x:v>Dutch BAG address point via PDOK Locatieserver</x:v>
      </x:c>
      <x:c r="F16" s="57" t="str">
        <x:v>2026-08-15</x:v>
      </x:c>
      <x:c r="G16" s="14" t="str">
        <x:v>Exact postcode-matched address point: Gebbeveenweg 1A, 7854TD Aalden.</x:v>
      </x:c>
    </x:row>
    <x:row r="17">
      <x:c r="A17" s="56" t="str">
        <x:v>NL-0008</x:v>
      </x:c>
      <x:c r="B17" s="57" t="str">
        <x:v>Golf Club Havelte — Main Course</x:v>
      </x:c>
      <x:c r="C17" s="57" t="str">
        <x:v>Course identity/specification</x:v>
      </x:c>
      <x:c r="D17" s="57" t="str">
        <x:v>https://www.golf.nl/de-baan-op/banenzoeker/overzicht</x:v>
      </x:c>
      <x:c r="E17" s="57" t="str">
        <x:v>Current national federation course register</x:v>
      </x:c>
      <x:c r="F17" s="57" t="str">
        <x:v>2026-08-15</x:v>
      </x:c>
      <x:c r="G17" s="14" t="str">
        <x:v>Current NGF/GOLF.NL listing: 18 holes, par 72, 6363 metres. Combined from exact NGF-listed constituent nine-hole loops: 1ste negen (9 holes, par 36, 3107 m); 2de negen (9 holes, par 36, 3256 m) Listed as qualifying.</x:v>
      </x:c>
    </x:row>
    <x:row r="18">
      <x:c r="A18" s="56" t="str">
        <x:v>NL-0008</x:v>
      </x:c>
      <x:c r="B18" s="57" t="str">
        <x:v>Golf Club Havelte — Main Course</x:v>
      </x:c>
      <x:c r="C18" s="57" t="str">
        <x:v>Coordinates/address</x:v>
      </x:c>
      <x:c r="D18" s="57" t="str">
        <x:v>https://api.pdok.nl/bzk/locatieserver/search/v3_1/free?q=Kolonieweg+2%2C+7971+RA+Havelte&amp;fq=type%3Aadres&amp;rows=10</x:v>
      </x:c>
      <x:c r="E18" s="57" t="str">
        <x:v>Dutch BAG address point via PDOK Locatieserver</x:v>
      </x:c>
      <x:c r="F18" s="57" t="str">
        <x:v>2026-08-15</x:v>
      </x:c>
      <x:c r="G18" s="14" t="str">
        <x:v>Exact postcode-matched address point: Kolonieweg 2a, 7971RA Havelte.</x:v>
      </x:c>
    </x:row>
    <x:row r="19">
      <x:c r="A19" s="56" t="str">
        <x:v>NL-0009</x:v>
      </x:c>
      <x:c r="B19" s="57" t="str">
        <x:v>Golfbaan Zuid-Drenthe</x:v>
      </x:c>
      <x:c r="C19" s="57" t="str">
        <x:v>Course identity/specification</x:v>
      </x:c>
      <x:c r="D19" s="57" t="str">
        <x:v>https://www.golf.nl/de-baan-op/banenzoeker/overzicht</x:v>
      </x:c>
      <x:c r="E19" s="57" t="str">
        <x:v>Current national federation course register</x:v>
      </x:c>
      <x:c r="F19" s="57" t="str">
        <x:v>2026-08-15</x:v>
      </x:c>
      <x:c r="G19" s="14" t="str">
        <x:v>Current NGF/GOLF.NL listing: 9 holes, par 35, 2885 metres. Listed as qualifying.</x:v>
      </x:c>
    </x:row>
    <x:row r="20">
      <x:c r="A20" s="56" t="str">
        <x:v>NL-0009</x:v>
      </x:c>
      <x:c r="B20" s="57" t="str">
        <x:v>Golfbaan Zuid-Drenthe</x:v>
      </x:c>
      <x:c r="C20" s="57" t="str">
        <x:v>Coordinates/address</x:v>
      </x:c>
      <x:c r="D20" s="57" t="str">
        <x:v>https://api.pdok.nl/bzk/locatieserver/search/v3_1/free?q=Amsterdamscheveldlaan+9-10%2C+7887+VD+Erica&amp;fq=type%3Aadres&amp;rows=10</x:v>
      </x:c>
      <x:c r="E20" s="57" t="str">
        <x:v>Dutch BAG address point via PDOK Locatieserver</x:v>
      </x:c>
      <x:c r="F20" s="57" t="str">
        <x:v>2026-08-15</x:v>
      </x:c>
      <x:c r="G20" s="14" t="str">
        <x:v>Exact postcode-matched address point: Amsterdamscheveldlaan 9, 7887VD Erica.</x:v>
      </x:c>
    </x:row>
    <x:row r="21">
      <x:c r="A21" s="56" t="str">
        <x:v>NL-0010</x:v>
      </x:c>
      <x:c r="B21" s="57" t="str">
        <x:v>Golfclub De Semslanden — Boerveen</x:v>
      </x:c>
      <x:c r="C21" s="57" t="str">
        <x:v>Course identity/specification</x:v>
      </x:c>
      <x:c r="D21" s="57" t="str">
        <x:v>https://www.golf.nl/de-baan-op/banenzoeker/overzicht</x:v>
      </x:c>
      <x:c r="E21" s="57" t="str">
        <x:v>Current national federation course register</x:v>
      </x:c>
      <x:c r="F21" s="57" t="str">
        <x:v>2026-08-15</x:v>
      </x:c>
      <x:c r="G21" s="14" t="str">
        <x:v>Current NGF/GOLF.NL listing: 9 holes, par 36, 3090 metres. Listed as qualifying.</x:v>
      </x:c>
    </x:row>
    <x:row r="22">
      <x:c r="A22" s="56" t="str">
        <x:v>NL-0010</x:v>
      </x:c>
      <x:c r="B22" s="57" t="str">
        <x:v>Golfclub De Semslanden — Boerveen</x:v>
      </x:c>
      <x:c r="C22" s="57" t="str">
        <x:v>Coordinates/address</x:v>
      </x:c>
      <x:c r="D22" s="57" t="str">
        <x:v>https://api.pdok.nl/bzk/locatieserver/search/v3_1/free?q=Nieuwe+Dijk+1%2C+9514+BX+Gasselternijveen&amp;fq=type%3Aadres&amp;rows=10</x:v>
      </x:c>
      <x:c r="E22" s="57" t="str">
        <x:v>Dutch BAG address point via PDOK Locatieserver</x:v>
      </x:c>
      <x:c r="F22" s="57" t="str">
        <x:v>2026-08-15</x:v>
      </x:c>
      <x:c r="G22" s="14" t="str">
        <x:v>Exact postcode-matched address point: Nieuwe Dijk 1, 9514BX Gasselternijveen.</x:v>
      </x:c>
    </x:row>
    <x:row r="23">
      <x:c r="A23" s="56" t="str">
        <x:v>NL-0011</x:v>
      </x:c>
      <x:c r="B23" s="57" t="str">
        <x:v>Golfclub De Semslanden — Drieveld</x:v>
      </x:c>
      <x:c r="C23" s="57" t="str">
        <x:v>Course identity/specification</x:v>
      </x:c>
      <x:c r="D23" s="57" t="str">
        <x:v>https://www.golf.nl/de-baan-op/banenzoeker/overzicht</x:v>
      </x:c>
      <x:c r="E23" s="57" t="str">
        <x:v>Current national federation course register</x:v>
      </x:c>
      <x:c r="F23" s="57" t="str">
        <x:v>2026-08-15</x:v>
      </x:c>
      <x:c r="G23" s="14" t="str">
        <x:v>Current NGF/GOLF.NL listing: 9 holes, par 27, 769 metres. Listed as qualifying.</x:v>
      </x:c>
    </x:row>
    <x:row r="24">
      <x:c r="A24" s="56" t="str">
        <x:v>NL-0011</x:v>
      </x:c>
      <x:c r="B24" s="57" t="str">
        <x:v>Golfclub De Semslanden — Drieveld</x:v>
      </x:c>
      <x:c r="C24" s="57" t="str">
        <x:v>Coordinates/address</x:v>
      </x:c>
      <x:c r="D24" s="57" t="str">
        <x:v>https://api.pdok.nl/bzk/locatieserver/search/v3_1/free?q=Nieuwe+Dijk+1%2C+9514+BX+Gasselternijveen&amp;fq=type%3Aadres&amp;rows=10</x:v>
      </x:c>
      <x:c r="E24" s="57" t="str">
        <x:v>Dutch BAG address point via PDOK Locatieserver</x:v>
      </x:c>
      <x:c r="F24" s="57" t="str">
        <x:v>2026-08-15</x:v>
      </x:c>
      <x:c r="G24" s="14" t="str">
        <x:v>Exact postcode-matched address point: Nieuwe Dijk 1, 9514BX Gasselternijveen.</x:v>
      </x:c>
    </x:row>
    <x:row r="25">
      <x:c r="A25" s="56" t="str">
        <x:v>NL-0012</x:v>
      </x:c>
      <x:c r="B25" s="57" t="str">
        <x:v>Golfclub De Semslanden — Hondsrug</x:v>
      </x:c>
      <x:c r="C25" s="57" t="str">
        <x:v>Course identity/specification</x:v>
      </x:c>
      <x:c r="D25" s="57" t="str">
        <x:v>https://www.golf.nl/de-baan-op/banenzoeker/overzicht</x:v>
      </x:c>
      <x:c r="E25" s="57" t="str">
        <x:v>Current national federation course register</x:v>
      </x:c>
      <x:c r="F25" s="57" t="str">
        <x:v>2026-08-15</x:v>
      </x:c>
      <x:c r="G25" s="14" t="str">
        <x:v>Current NGF/GOLF.NL listing: 9 holes, par 36, 3212 metres. Listed as qualifying.</x:v>
      </x:c>
    </x:row>
    <x:row r="26">
      <x:c r="A26" s="56" t="str">
        <x:v>NL-0012</x:v>
      </x:c>
      <x:c r="B26" s="57" t="str">
        <x:v>Golfclub De Semslanden — Hondsrug</x:v>
      </x:c>
      <x:c r="C26" s="57" t="str">
        <x:v>Coordinates/address</x:v>
      </x:c>
      <x:c r="D26" s="57" t="str">
        <x:v>https://api.pdok.nl/bzk/locatieserver/search/v3_1/free?q=Nieuwe+Dijk+1%2C+9514+BX+Gasselternijveen&amp;fq=type%3Aadres&amp;rows=10</x:v>
      </x:c>
      <x:c r="E26" s="57" t="str">
        <x:v>Dutch BAG address point via PDOK Locatieserver</x:v>
      </x:c>
      <x:c r="F26" s="57" t="str">
        <x:v>2026-08-15</x:v>
      </x:c>
      <x:c r="G26" s="14" t="str">
        <x:v>Exact postcode-matched address point: Nieuwe Dijk 1, 9514BX Gasselternijveen.</x:v>
      </x:c>
    </x:row>
    <x:row r="27">
      <x:c r="A27" s="56" t="str">
        <x:v>NL-0013</x:v>
      </x:c>
      <x:c r="B27" s="57" t="str">
        <x:v>Golfclub Holthuizen — Main Course</x:v>
      </x:c>
      <x:c r="C27" s="57" t="str">
        <x:v>Course identity/specification</x:v>
      </x:c>
      <x:c r="D27" s="57" t="str">
        <x:v>https://www.golf.nl/de-baan-op/banenzoeker/overzicht</x:v>
      </x:c>
      <x:c r="E27" s="57" t="str">
        <x:v>Current national federation course register</x:v>
      </x:c>
      <x:c r="F27" s="57" t="str">
        <x:v>2026-08-15</x:v>
      </x:c>
      <x:c r="G27" s="14" t="str">
        <x:v>Current NGF/GOLF.NL listing: 9 holes, par 37, 2990 metres. Listed as qualifying.</x:v>
      </x:c>
    </x:row>
    <x:row r="28">
      <x:c r="A28" s="56" t="str">
        <x:v>NL-0013</x:v>
      </x:c>
      <x:c r="B28" s="57" t="str">
        <x:v>Golfclub Holthuizen — Main Course</x:v>
      </x:c>
      <x:c r="C28" s="57" t="str">
        <x:v>Coordinates/address</x:v>
      </x:c>
      <x:c r="D28" s="57" t="str">
        <x:v>https://api.pdok.nl/bzk/locatieserver/search/v3_1/free?q=Oosteinde+7a%2C+9301+ZP+Roden&amp;fq=type%3Aadres&amp;rows=10</x:v>
      </x:c>
      <x:c r="E28" s="57" t="str">
        <x:v>Dutch BAG address point via PDOK Locatieserver</x:v>
      </x:c>
      <x:c r="F28" s="57" t="str">
        <x:v>2026-08-15</x:v>
      </x:c>
      <x:c r="G28" s="14" t="str">
        <x:v>Exact postcode-matched address point: Oosteinde 7A, 9301ZP Roden.</x:v>
      </x:c>
    </x:row>
    <x:row r="29">
      <x:c r="A29" s="56" t="str">
        <x:v>NL-0014</x:v>
      </x:c>
      <x:c r="B29" s="57" t="str">
        <x:v>Golfclub Holthuizen — Par-3 Course</x:v>
      </x:c>
      <x:c r="C29" s="57" t="str">
        <x:v>Course identity/specification</x:v>
      </x:c>
      <x:c r="D29" s="57" t="str">
        <x:v>https://www.golf.nl/de-baan-op/banenzoeker/overzicht</x:v>
      </x:c>
      <x:c r="E29" s="57" t="str">
        <x:v>Current national federation course register</x:v>
      </x:c>
      <x:c r="F29" s="57" t="str">
        <x:v>2026-08-15</x:v>
      </x:c>
      <x:c r="G29" s="14" t="str">
        <x:v>Current NGF/GOLF.NL listing: 9 holes, par 27, 913 metres. Listed as qualifying.</x:v>
      </x:c>
    </x:row>
    <x:row r="30">
      <x:c r="A30" s="56" t="str">
        <x:v>NL-0014</x:v>
      </x:c>
      <x:c r="B30" s="57" t="str">
        <x:v>Golfclub Holthuizen — Par-3 Course</x:v>
      </x:c>
      <x:c r="C30" s="57" t="str">
        <x:v>Coordinates/address</x:v>
      </x:c>
      <x:c r="D30" s="57" t="str">
        <x:v>https://api.pdok.nl/bzk/locatieserver/search/v3_1/free?q=Oosteinde+7a%2C+9301+ZP+Roden&amp;fq=type%3Aadres&amp;rows=10</x:v>
      </x:c>
      <x:c r="E30" s="57" t="str">
        <x:v>Dutch BAG address point via PDOK Locatieserver</x:v>
      </x:c>
      <x:c r="F30" s="57" t="str">
        <x:v>2026-08-15</x:v>
      </x:c>
      <x:c r="G30" s="14" t="str">
        <x:v>Exact postcode-matched address point: Oosteinde 7A, 9301ZP Roden.</x:v>
      </x:c>
    </x:row>
    <x:row r="31">
      <x:c r="A31" s="56" t="str">
        <x:v>NL-0015</x:v>
      </x:c>
      <x:c r="B31" s="57" t="str">
        <x:v>Golfclub Martensplek — Main Course</x:v>
      </x:c>
      <x:c r="C31" s="57" t="str">
        <x:v>Course identity/specification</x:v>
      </x:c>
      <x:c r="D31" s="57" t="str">
        <x:v>https://www.golf.nl/de-baan-op/banenzoeker/overzicht</x:v>
      </x:c>
      <x:c r="E31" s="57" t="str">
        <x:v>Current national federation course register</x:v>
      </x:c>
      <x:c r="F31" s="57" t="str">
        <x:v>2026-08-15</x:v>
      </x:c>
      <x:c r="G31" s="14" t="str">
        <x:v>Current NGF/GOLF.NL listing: 18 holes, par 72, 6037 metres. Combined from exact NGF-listed constituent nine-hole loops: 1ste negen (9 holes, par 36, 2889 m); 2de negen (9 holes, par 36, 3148 m) Listed as qualifying.</x:v>
      </x:c>
    </x:row>
    <x:row r="32">
      <x:c r="A32" s="56" t="str">
        <x:v>NL-0015</x:v>
      </x:c>
      <x:c r="B32" s="57" t="str">
        <x:v>Golfclub Martensplek — Main Course</x:v>
      </x:c>
      <x:c r="C32" s="57" t="str">
        <x:v>Coordinates/address</x:v>
      </x:c>
      <x:c r="D32" s="57" t="str">
        <x:v>https://api.pdok.nl/bzk/locatieserver/search/v3_1/free?q=Haarweg+22%2C+7936+TP+Tiendeveen&amp;fq=type%3Aadres&amp;rows=10</x:v>
      </x:c>
      <x:c r="E32" s="57" t="str">
        <x:v>Dutch BAG address point via PDOK Locatieserver</x:v>
      </x:c>
      <x:c r="F32" s="57" t="str">
        <x:v>2026-08-15</x:v>
      </x:c>
      <x:c r="G32" s="14" t="str">
        <x:v>Exact postcode-matched address point: Haarweg 15b-22, 7936TP Tiendeveen.</x:v>
      </x:c>
    </x:row>
    <x:row r="33">
      <x:c r="A33" s="56" t="str">
        <x:v>NL-0016</x:v>
      </x:c>
      <x:c r="B33" s="57" t="str">
        <x:v>Golfclub Martensplek — Shortgolf / Pitch &amp; Putt Course</x:v>
      </x:c>
      <x:c r="C33" s="57" t="str">
        <x:v>Course identity/specification</x:v>
      </x:c>
      <x:c r="D33" s="57" t="str">
        <x:v>https://www.golf.nl/de-baan-op/banenzoeker/overzicht</x:v>
      </x:c>
      <x:c r="E33" s="57" t="str">
        <x:v>Current national federation course register</x:v>
      </x:c>
      <x:c r="F33" s="57" t="str">
        <x:v>2026-08-15</x:v>
      </x:c>
      <x:c r="G33" s="14" t="str">
        <x:v>Current NGF/GOLF.NL listing: 9 holes, par 27, 445 metres. Listed as non-qualifying.</x:v>
      </x:c>
    </x:row>
    <x:row r="34">
      <x:c r="A34" s="56" t="str">
        <x:v>NL-0016</x:v>
      </x:c>
      <x:c r="B34" s="57" t="str">
        <x:v>Golfclub Martensplek — Shortgolf / Pitch &amp; Putt Course</x:v>
      </x:c>
      <x:c r="C34" s="57" t="str">
        <x:v>Coordinates/address</x:v>
      </x:c>
      <x:c r="D34" s="57" t="str">
        <x:v>https://api.pdok.nl/bzk/locatieserver/search/v3_1/free?q=Haarweg+22%2C+7936+TP+Tiendeveen&amp;fq=type%3Aadres&amp;rows=10</x:v>
      </x:c>
      <x:c r="E34" s="57" t="str">
        <x:v>Dutch BAG address point via PDOK Locatieserver</x:v>
      </x:c>
      <x:c r="F34" s="57" t="str">
        <x:v>2026-08-15</x:v>
      </x:c>
      <x:c r="G34" s="14" t="str">
        <x:v>Exact postcode-matched address point: Haarweg 15b-22, 7936TP Tiendeveen.</x:v>
      </x:c>
    </x:row>
    <x:row r="35">
      <x:c r="A35" s="56" t="str">
        <x:v>NL-0017</x:v>
      </x:c>
      <x:c r="B35" s="57" t="str">
        <x:v>Golfparc Sandur</x:v>
      </x:c>
      <x:c r="C35" s="57" t="str">
        <x:v>Course identity/specification</x:v>
      </x:c>
      <x:c r="D35" s="57" t="str">
        <x:v>https://www.golf.nl/de-baan-op/banenzoeker/overzicht</x:v>
      </x:c>
      <x:c r="E35" s="57" t="str">
        <x:v>Current national federation course register</x:v>
      </x:c>
      <x:c r="F35" s="57" t="str">
        <x:v>2026-08-15</x:v>
      </x:c>
      <x:c r="G35" s="14" t="str">
        <x:v>Current NGF/GOLF.NL listing: 9 holes, par 34, 2415 metres. Listed as qualifying.</x:v>
      </x:c>
    </x:row>
    <x:row r="36">
      <x:c r="A36" s="56" t="str">
        <x:v>NL-0017</x:v>
      </x:c>
      <x:c r="B36" s="57" t="str">
        <x:v>Golfparc Sandur</x:v>
      </x:c>
      <x:c r="C36" s="57" t="str">
        <x:v>Coordinates/address</x:v>
      </x:c>
      <x:c r="D36" s="57" t="str">
        <x:v>https://api.pdok.nl/bzk/locatieserver/search/v3_1/free?q=Golfparkdreef+1%2C+7828+AL+Emmen&amp;fq=type%3Aadres&amp;rows=10</x:v>
      </x:c>
      <x:c r="E36" s="57" t="str">
        <x:v>Dutch BAG address point via PDOK Locatieserver</x:v>
      </x:c>
      <x:c r="F36" s="57" t="str">
        <x:v>2026-08-15</x:v>
      </x:c>
      <x:c r="G36" s="14" t="str">
        <x:v>Exact postcode-matched address point: Golfparkdreef 1, 7828AL Emmen.</x:v>
      </x:c>
    </x:row>
    <x:row r="37">
      <x:c r="A37" s="56" t="str">
        <x:v>NL-0018</x:v>
      </x:c>
      <x:c r="B37" s="57" t="str">
        <x:v>Landgoed Zwartemeer — Shortgolf / Pitch &amp; Putt Course</x:v>
      </x:c>
      <x:c r="C37" s="57" t="str">
        <x:v>Course identity/specification</x:v>
      </x:c>
      <x:c r="D37" s="57" t="str">
        <x:v>https://www.golf.nl/de-baan-op/banenzoeker/overzicht</x:v>
      </x:c>
      <x:c r="E37" s="57" t="str">
        <x:v>Current national federation course register</x:v>
      </x:c>
      <x:c r="F37" s="57" t="str">
        <x:v>2026-08-15</x:v>
      </x:c>
      <x:c r="G37" s="14" t="str">
        <x:v>Current NGF/GOLF.NL listing: 18 holes, par 54, 900 metres. Combined from exact NGF-listed constituent nine-hole loops: 1ste negen (9 holes, par 27, 450 m); 2de negen (9 holes, par 27, 450 m) Listed as non-qualifying.</x:v>
      </x:c>
    </x:row>
    <x:row r="38">
      <x:c r="A38" s="56" t="str">
        <x:v>NL-0018</x:v>
      </x:c>
      <x:c r="B38" s="57" t="str">
        <x:v>Landgoed Zwartemeer — Shortgolf / Pitch &amp; Putt Course</x:v>
      </x:c>
      <x:c r="C38" s="57" t="str">
        <x:v>Coordinates/address</x:v>
      </x:c>
      <x:c r="D38" s="57" t="str">
        <x:v>https://api.pdok.nl/bzk/locatieserver/search/v3_1/free?q=Verl.+van+Echtenskanaal+NZ+2%2C+7894+EA+Zwartemeer&amp;fq=type%3Aadres&amp;rows=10</x:v>
      </x:c>
      <x:c r="E38" s="57" t="str">
        <x:v>Dutch BAG address point via PDOK Locatieserver</x:v>
      </x:c>
      <x:c r="F38" s="57" t="str">
        <x:v>2026-08-15</x:v>
      </x:c>
      <x:c r="G38" s="14" t="str">
        <x:v>Exact postcode-matched address point: Verlengde van Echtenskanaal NZ 2, 7894EA Zwartemeer.</x:v>
      </x:c>
    </x:row>
    <x:row r="39">
      <x:c r="A39" s="56" t="str">
        <x:v>NL-0019</x:v>
      </x:c>
      <x:c r="B39" s="57" t="str">
        <x:v>Pitch &amp; putt Orvelte — Shortgolf / Pitch &amp; Putt Course</x:v>
      </x:c>
      <x:c r="C39" s="57" t="str">
        <x:v>Course identity/specification</x:v>
      </x:c>
      <x:c r="D39" s="57" t="str">
        <x:v>https://www.golf.nl/de-baan-op/banenzoeker/overzicht</x:v>
      </x:c>
      <x:c r="E39" s="57" t="str">
        <x:v>Current national federation course register</x:v>
      </x:c>
      <x:c r="F39" s="57" t="str">
        <x:v>2026-08-15</x:v>
      </x:c>
      <x:c r="G39" s="14" t="str">
        <x:v>Current NGF/GOLF.NL listing: 18 holes, par 54, 862 metres. Combined from exact NGF-listed constituent nine-hole loops: 1ste negen (9 holes, par 27, 468 m); 2de negen (9 holes, par 27, 394 m) Listed as non-qualifying.</x:v>
      </x:c>
    </x:row>
    <x:row r="40">
      <x:c r="A40" s="56" t="str">
        <x:v>NL-0019</x:v>
      </x:c>
      <x:c r="B40" s="57" t="str">
        <x:v>Pitch &amp; putt Orvelte — Shortgolf / Pitch &amp; Putt Course</x:v>
      </x:c>
      <x:c r="C40" s="57" t="str">
        <x:v>Coordinates/address</x:v>
      </x:c>
      <x:c r="D40" s="57" t="str">
        <x:v>https://api.pdok.nl/bzk/locatieserver/search/v3_1/free?q=Meester+J.b.+Kanweg+3%2C+9439+TD+Witteveen&amp;fq=type%3Aadres&amp;rows=10</x:v>
      </x:c>
      <x:c r="E40" s="57" t="str">
        <x:v>Dutch BAG address point via PDOK Locatieserver</x:v>
      </x:c>
      <x:c r="F40" s="57" t="str">
        <x:v>2026-08-15</x:v>
      </x:c>
      <x:c r="G40" s="14" t="str">
        <x:v>Exact postcode-matched address point: Mr. J.B. Kanweg 3B, 9439TD Witteveen.</x:v>
      </x:c>
    </x:row>
    <x:row r="41">
      <x:c r="A41" s="56" t="str">
        <x:v>NL-0020</x:v>
      </x:c>
      <x:c r="B41" s="57" t="str">
        <x:v>Golfbaan Dorhout Mees</x:v>
      </x:c>
      <x:c r="C41" s="57" t="str">
        <x:v>Course identity/specification</x:v>
      </x:c>
      <x:c r="D41" s="57" t="str">
        <x:v>https://www.golf.nl/de-baan-op/banenzoeker/overzicht</x:v>
      </x:c>
      <x:c r="E41" s="57" t="str">
        <x:v>Current national federation course register</x:v>
      </x:c>
      <x:c r="F41" s="57" t="str">
        <x:v>2026-08-15</x:v>
      </x:c>
      <x:c r="G41" s="14" t="str">
        <x:v>Current NGF/GOLF.NL listing: 9 holes, par 35, 2765 metres. Listed as qualifying.</x:v>
      </x:c>
    </x:row>
    <x:row r="42">
      <x:c r="A42" s="56" t="str">
        <x:v>NL-0020</x:v>
      </x:c>
      <x:c r="B42" s="57" t="str">
        <x:v>Golfbaan Dorhout Mees</x:v>
      </x:c>
      <x:c r="C42" s="57" t="str">
        <x:v>Coordinates/address</x:v>
      </x:c>
      <x:c r="D42" s="57" t="str">
        <x:v>https://api.pdok.nl/bzk/locatieserver/search/v3_1/free?q=Strandgaperweg+30%2C+8256+PZ+Biddinghuizen&amp;fq=type%3Aadres&amp;rows=10</x:v>
      </x:c>
      <x:c r="E42" s="57" t="str">
        <x:v>Dutch BAG address point via PDOK Locatieserver</x:v>
      </x:c>
      <x:c r="F42" s="57" t="str">
        <x:v>2026-08-15</x:v>
      </x:c>
      <x:c r="G42" s="14" t="str">
        <x:v>Exact postcode-matched address point: Strandgaperweg 30, 8256PZ Biddinghuizen.</x:v>
      </x:c>
    </x:row>
    <x:row r="43">
      <x:c r="A43" s="56" t="str">
        <x:v>NL-0021</x:v>
      </x:c>
      <x:c r="B43" s="57" t="str">
        <x:v>Golfclub Almeerderhout — Gooimeer</x:v>
      </x:c>
      <x:c r="C43" s="57" t="str">
        <x:v>Course identity/specification</x:v>
      </x:c>
      <x:c r="D43" s="57" t="str">
        <x:v>https://www.golf.nl/de-baan-op/banenzoeker/overzicht</x:v>
      </x:c>
      <x:c r="E43" s="57" t="str">
        <x:v>Current national federation course register</x:v>
      </x:c>
      <x:c r="F43" s="57" t="str">
        <x:v>2026-08-15</x:v>
      </x:c>
      <x:c r="G43" s="14" t="str">
        <x:v>Current NGF/GOLF.NL listing: 9 holes, par 36, 3113 metres. Listed as qualifying.</x:v>
      </x:c>
    </x:row>
    <x:row r="44">
      <x:c r="A44" s="56" t="str">
        <x:v>NL-0021</x:v>
      </x:c>
      <x:c r="B44" s="57" t="str">
        <x:v>Golfclub Almeerderhout — Gooimeer</x:v>
      </x:c>
      <x:c r="C44" s="57" t="str">
        <x:v>Coordinates/address</x:v>
      </x:c>
      <x:c r="D44" s="57" t="str">
        <x:v>https://api.pdok.nl/bzk/locatieserver/search/v3_1/free?q=Watersnipweg+19-21%2C+1341+AA+Almere&amp;fq=type%3Aadres&amp;rows=10</x:v>
      </x:c>
      <x:c r="E44" s="57" t="str">
        <x:v>Dutch BAG address point via PDOK Locatieserver</x:v>
      </x:c>
      <x:c r="F44" s="57" t="str">
        <x:v>2026-08-15</x:v>
      </x:c>
      <x:c r="G44" s="14" t="str">
        <x:v>Exact postcode-matched address point: Watersnipweg 21, 1341AA Almere.</x:v>
      </x:c>
    </x:row>
    <x:row r="45">
      <x:c r="A45" s="56" t="str">
        <x:v>NL-0022</x:v>
      </x:c>
      <x:c r="B45" s="57" t="str">
        <x:v>Golfclub Almeerderhout — IJmeer</x:v>
      </x:c>
      <x:c r="C45" s="57" t="str">
        <x:v>Course identity/specification</x:v>
      </x:c>
      <x:c r="D45" s="57" t="str">
        <x:v>https://www.golf.nl/de-baan-op/banenzoeker/overzicht</x:v>
      </x:c>
      <x:c r="E45" s="57" t="str">
        <x:v>Current national federation course register</x:v>
      </x:c>
      <x:c r="F45" s="57" t="str">
        <x:v>2026-08-15</x:v>
      </x:c>
      <x:c r="G45" s="14" t="str">
        <x:v>Current NGF/GOLF.NL listing: 9 holes, par 36, 3114 metres. Listed as qualifying.</x:v>
      </x:c>
    </x:row>
    <x:row r="46">
      <x:c r="A46" s="56" t="str">
        <x:v>NL-0022</x:v>
      </x:c>
      <x:c r="B46" s="57" t="str">
        <x:v>Golfclub Almeerderhout — IJmeer</x:v>
      </x:c>
      <x:c r="C46" s="57" t="str">
        <x:v>Coordinates/address</x:v>
      </x:c>
      <x:c r="D46" s="57" t="str">
        <x:v>https://api.pdok.nl/bzk/locatieserver/search/v3_1/free?q=Watersnipweg+19-21%2C+1341+AA+Almere&amp;fq=type%3Aadres&amp;rows=10</x:v>
      </x:c>
      <x:c r="E46" s="57" t="str">
        <x:v>Dutch BAG address point via PDOK Locatieserver</x:v>
      </x:c>
      <x:c r="F46" s="57" t="str">
        <x:v>2026-08-15</x:v>
      </x:c>
      <x:c r="G46" s="14" t="str">
        <x:v>Exact postcode-matched address point: Watersnipweg 21, 1341AA Almere.</x:v>
      </x:c>
    </x:row>
    <x:row r="47">
      <x:c r="A47" s="56" t="str">
        <x:v>NL-0023</x:v>
      </x:c>
      <x:c r="B47" s="57" t="str">
        <x:v>Golfclub Almeerderhout — Markermeer</x:v>
      </x:c>
      <x:c r="C47" s="57" t="str">
        <x:v>Course identity/specification</x:v>
      </x:c>
      <x:c r="D47" s="57" t="str">
        <x:v>https://www.golf.nl/de-baan-op/banenzoeker/overzicht</x:v>
      </x:c>
      <x:c r="E47" s="57" t="str">
        <x:v>Current national federation course register</x:v>
      </x:c>
      <x:c r="F47" s="57" t="str">
        <x:v>2026-08-15</x:v>
      </x:c>
      <x:c r="G47" s="14" t="str">
        <x:v>Current NGF/GOLF.NL listing: 9 holes, par 36, 3216 metres. Listed as qualifying.</x:v>
      </x:c>
    </x:row>
    <x:row r="48">
      <x:c r="A48" s="56" t="str">
        <x:v>NL-0023</x:v>
      </x:c>
      <x:c r="B48" s="57" t="str">
        <x:v>Golfclub Almeerderhout — Markermeer</x:v>
      </x:c>
      <x:c r="C48" s="57" t="str">
        <x:v>Coordinates/address</x:v>
      </x:c>
      <x:c r="D48" s="57" t="str">
        <x:v>https://api.pdok.nl/bzk/locatieserver/search/v3_1/free?q=Watersnipweg+19-21%2C+1341+AA+Almere&amp;fq=type%3Aadres&amp;rows=10</x:v>
      </x:c>
      <x:c r="E48" s="57" t="str">
        <x:v>Dutch BAG address point via PDOK Locatieserver</x:v>
      </x:c>
      <x:c r="F48" s="57" t="str">
        <x:v>2026-08-15</x:v>
      </x:c>
      <x:c r="G48" s="14" t="str">
        <x:v>Exact postcode-matched address point: Watersnipweg 21, 1341AA Almere.</x:v>
      </x:c>
    </x:row>
    <x:row r="49">
      <x:c r="A49" s="56" t="str">
        <x:v>NL-0024</x:v>
      </x:c>
      <x:c r="B49" s="57" t="str">
        <x:v>Golfclub Almeerderhout — Par-3 Course</x:v>
      </x:c>
      <x:c r="C49" s="57" t="str">
        <x:v>Course identity/specification</x:v>
      </x:c>
      <x:c r="D49" s="57" t="str">
        <x:v>https://www.golf.nl/de-baan-op/banenzoeker/overzicht</x:v>
      </x:c>
      <x:c r="E49" s="57" t="str">
        <x:v>Current national federation course register</x:v>
      </x:c>
      <x:c r="F49" s="57" t="str">
        <x:v>2026-08-15</x:v>
      </x:c>
      <x:c r="G49" s="14" t="str">
        <x:v>Current NGF/GOLF.NL listing: 9 holes, par 27, 1054 metres. Listed as qualifying.</x:v>
      </x:c>
    </x:row>
    <x:row r="50">
      <x:c r="A50" s="56" t="str">
        <x:v>NL-0024</x:v>
      </x:c>
      <x:c r="B50" s="57" t="str">
        <x:v>Golfclub Almeerderhout — Par-3 Course</x:v>
      </x:c>
      <x:c r="C50" s="57" t="str">
        <x:v>Coordinates/address</x:v>
      </x:c>
      <x:c r="D50" s="57" t="str">
        <x:v>https://api.pdok.nl/bzk/locatieserver/search/v3_1/free?q=Watersnipweg+19-21%2C+1341+AA+Almere&amp;fq=type%3Aadres&amp;rows=10</x:v>
      </x:c>
      <x:c r="E50" s="57" t="str">
        <x:v>Dutch BAG address point via PDOK Locatieserver</x:v>
      </x:c>
      <x:c r="F50" s="57" t="str">
        <x:v>2026-08-15</x:v>
      </x:c>
      <x:c r="G50" s="14" t="str">
        <x:v>Exact postcode-matched address point: Watersnipweg 21, 1341AA Almere.</x:v>
      </x:c>
    </x:row>
    <x:row r="51">
      <x:c r="A51" s="56" t="str">
        <x:v>NL-0025</x:v>
      </x:c>
      <x:c r="B51" s="57" t="str">
        <x:v>Golfclub Emmeloord — Main Course</x:v>
      </x:c>
      <x:c r="C51" s="57" t="str">
        <x:v>Course identity/specification</x:v>
      </x:c>
      <x:c r="D51" s="57" t="str">
        <x:v>https://www.golf.nl/de-baan-op/banenzoeker/overzicht</x:v>
      </x:c>
      <x:c r="E51" s="57" t="str">
        <x:v>Current national federation course register</x:v>
      </x:c>
      <x:c r="F51" s="57" t="str">
        <x:v>2026-08-15</x:v>
      </x:c>
      <x:c r="G51" s="14" t="str">
        <x:v>Current NGF/GOLF.NL listing: 9 holes, par 36, 3015 metres. Listed as qualifying.</x:v>
      </x:c>
    </x:row>
    <x:row r="52">
      <x:c r="A52" s="56" t="str">
        <x:v>NL-0025</x:v>
      </x:c>
      <x:c r="B52" s="57" t="str">
        <x:v>Golfclub Emmeloord — Main Course</x:v>
      </x:c>
      <x:c r="C52" s="57" t="str">
        <x:v>Coordinates/address</x:v>
      </x:c>
      <x:c r="D52" s="57" t="str">
        <x:v>https://api.pdok.nl/bzk/locatieserver/search/v3_1/free?q=Casteleynsweg+6%2C+8305+AN+Emmeloord&amp;fq=type%3Aadres&amp;rows=10</x:v>
      </x:c>
      <x:c r="E52" s="57" t="str">
        <x:v>Dutch BAG address point via PDOK Locatieserver</x:v>
      </x:c>
      <x:c r="F52" s="57" t="str">
        <x:v>2026-08-15</x:v>
      </x:c>
      <x:c r="G52" s="14" t="str">
        <x:v>Exact postcode-matched address point: Casteleynsweg 6, 8305AN Emmeloord.</x:v>
      </x:c>
    </x:row>
    <x:row r="53">
      <x:c r="A53" s="56" t="str">
        <x:v>NL-0026</x:v>
      </x:c>
      <x:c r="B53" s="57" t="str">
        <x:v>Golfclub Emmeloord — Par-3 Course</x:v>
      </x:c>
      <x:c r="C53" s="57" t="str">
        <x:v>Course identity/specification</x:v>
      </x:c>
      <x:c r="D53" s="57" t="str">
        <x:v>https://www.golf.nl/de-baan-op/banenzoeker/overzicht</x:v>
      </x:c>
      <x:c r="E53" s="57" t="str">
        <x:v>Current national federation course register</x:v>
      </x:c>
      <x:c r="F53" s="57" t="str">
        <x:v>2026-08-15</x:v>
      </x:c>
      <x:c r="G53" s="14" t="str">
        <x:v>Current NGF/GOLF.NL listing: 9 holes, par 27, 772 metres. Listed as qualifying.</x:v>
      </x:c>
    </x:row>
    <x:row r="54">
      <x:c r="A54" s="56" t="str">
        <x:v>NL-0026</x:v>
      </x:c>
      <x:c r="B54" s="57" t="str">
        <x:v>Golfclub Emmeloord — Par-3 Course</x:v>
      </x:c>
      <x:c r="C54" s="57" t="str">
        <x:v>Coordinates/address</x:v>
      </x:c>
      <x:c r="D54" s="57" t="str">
        <x:v>https://api.pdok.nl/bzk/locatieserver/search/v3_1/free?q=Casteleynsweg+6%2C+8305+AN+Emmeloord&amp;fq=type%3Aadres&amp;rows=10</x:v>
      </x:c>
      <x:c r="E54" s="57" t="str">
        <x:v>Dutch BAG address point via PDOK Locatieserver</x:v>
      </x:c>
      <x:c r="F54" s="57" t="str">
        <x:v>2026-08-15</x:v>
      </x:c>
      <x:c r="G54" s="14" t="str">
        <x:v>Exact postcode-matched address point: Casteleynsweg 6, 8305AN Emmeloord.</x:v>
      </x:c>
    </x:row>
    <x:row r="55">
      <x:c r="A55" s="56" t="str">
        <x:v>NL-0027</x:v>
      </x:c>
      <x:c r="B55" s="57" t="str">
        <x:v>Golfclub Flevoland</x:v>
      </x:c>
      <x:c r="C55" s="57" t="str">
        <x:v>Course identity/specification</x:v>
      </x:c>
      <x:c r="D55" s="57" t="str">
        <x:v>https://www.golf.nl/de-baan-op/banenzoeker/overzicht</x:v>
      </x:c>
      <x:c r="E55" s="57" t="str">
        <x:v>Current national federation course register</x:v>
      </x:c>
      <x:c r="F55" s="57" t="str">
        <x:v>2026-08-15</x:v>
      </x:c>
      <x:c r="G55" s="14" t="str">
        <x:v>Current NGF/GOLF.NL listing: 12 holes, par 47, 3754 metres. Listed as qualifying.</x:v>
      </x:c>
    </x:row>
    <x:row r="56">
      <x:c r="A56" s="56" t="str">
        <x:v>NL-0027</x:v>
      </x:c>
      <x:c r="B56" s="57" t="str">
        <x:v>Golfclub Flevoland</x:v>
      </x:c>
      <x:c r="C56" s="57" t="str">
        <x:v>Coordinates/address</x:v>
      </x:c>
      <x:c r="D56" s="57" t="str">
        <x:v>https://api.pdok.nl/bzk/locatieserver/search/v3_1/free?q=Parlaan+33%2C+8241+BE+Lelystad&amp;fq=type%3Aadres&amp;rows=10</x:v>
      </x:c>
      <x:c r="E56" s="57" t="str">
        <x:v>Dutch BAG address point via PDOK Locatieserver</x:v>
      </x:c>
      <x:c r="F56" s="57" t="str">
        <x:v>2026-08-15</x:v>
      </x:c>
      <x:c r="G56" s="14" t="str">
        <x:v>Exact postcode-matched address point: Parlaan 33, 8241BE Lelystad.</x:v>
      </x:c>
    </x:row>
    <x:row r="57">
      <x:c r="A57" s="56" t="str">
        <x:v>NL-0028</x:v>
      </x:c>
      <x:c r="B57" s="57" t="str">
        <x:v>Golfclub Golfresidentie Dronten — Main Course</x:v>
      </x:c>
      <x:c r="C57" s="57" t="str">
        <x:v>Course identity/specification</x:v>
      </x:c>
      <x:c r="D57" s="57" t="str">
        <x:v>https://www.golf.nl/de-baan-op/banenzoeker/overzicht</x:v>
      </x:c>
      <x:c r="E57" s="57" t="str">
        <x:v>Current national federation course register</x:v>
      </x:c>
      <x:c r="F57" s="57" t="str">
        <x:v>2026-08-15</x:v>
      </x:c>
      <x:c r="G57" s="14" t="str">
        <x:v>Current NGF/GOLF.NL listing: 18 holes, par 72, 6131 metres. Combined from exact NGF-listed constituent nine-hole loops: 1ste negen (9 holes, par 35, 2747 m); 2de negen (9 holes, par 37, 3384 m) Listed as qualifying.</x:v>
      </x:c>
    </x:row>
    <x:row r="58">
      <x:c r="A58" s="56" t="str">
        <x:v>NL-0028</x:v>
      </x:c>
      <x:c r="B58" s="57" t="str">
        <x:v>Golfclub Golfresidentie Dronten — Main Course</x:v>
      </x:c>
      <x:c r="C58" s="57" t="str">
        <x:v>Coordinates/address</x:v>
      </x:c>
      <x:c r="D58" s="57" t="str">
        <x:v>https://api.pdok.nl/bzk/locatieserver/search/v3_1/free?q=Golfresidentie+129%2C+8251+NS+Dronten&amp;fq=type%3Aadres&amp;rows=10</x:v>
      </x:c>
      <x:c r="E58" s="57" t="str">
        <x:v>Dutch BAG address point via PDOK Locatieserver</x:v>
      </x:c>
      <x:c r="F58" s="57" t="str">
        <x:v>2026-08-15</x:v>
      </x:c>
      <x:c r="G58" s="14" t="str">
        <x:v>Exact postcode-matched address point: Golfresidentie 129, 8251NS Dronten.</x:v>
      </x:c>
    </x:row>
    <x:row r="59">
      <x:c r="A59" s="56" t="str">
        <x:v>NL-0029</x:v>
      </x:c>
      <x:c r="B59" s="57" t="str">
        <x:v>Golfclub Zeewolde — Aak</x:v>
      </x:c>
      <x:c r="C59" s="57" t="str">
        <x:v>Course identity/specification</x:v>
      </x:c>
      <x:c r="D59" s="57" t="str">
        <x:v>https://www.golf.nl/de-baan-op/banenzoeker/overzicht</x:v>
      </x:c>
      <x:c r="E59" s="57" t="str">
        <x:v>Current national federation course register</x:v>
      </x:c>
      <x:c r="F59" s="57" t="str">
        <x:v>2026-08-15</x:v>
      </x:c>
      <x:c r="G59" s="14" t="str">
        <x:v>Current NGF/GOLF.NL listing: 9 holes, par 36, 3124 metres. Listed as qualifying.</x:v>
      </x:c>
    </x:row>
    <x:row r="60">
      <x:c r="A60" s="56" t="str">
        <x:v>NL-0029</x:v>
      </x:c>
      <x:c r="B60" s="57" t="str">
        <x:v>Golfclub Zeewolde — Aak</x:v>
      </x:c>
      <x:c r="C60" s="57" t="str">
        <x:v>Coordinates/address</x:v>
      </x:c>
      <x:c r="D60" s="57" t="str">
        <x:v>https://api.pdok.nl/bzk/locatieserver/search/v3_1/free?q=Golflaan+1%2C+3896+LL+Zeewolde&amp;fq=type%3Aadres&amp;rows=10</x:v>
      </x:c>
      <x:c r="E60" s="57" t="str">
        <x:v>Dutch BAG address point via PDOK Locatieserver</x:v>
      </x:c>
      <x:c r="F60" s="57" t="str">
        <x:v>2026-08-15</x:v>
      </x:c>
      <x:c r="G60" s="14" t="str">
        <x:v>Exact postcode-matched address point: Golflaan 1, 3896LL Zeewolde.</x:v>
      </x:c>
    </x:row>
    <x:row r="61">
      <x:c r="A61" s="56" t="str">
        <x:v>NL-0030</x:v>
      </x:c>
      <x:c r="B61" s="57" t="str">
        <x:v>Golfclub Zeewolde — Botter</x:v>
      </x:c>
      <x:c r="C61" s="57" t="str">
        <x:v>Course identity/specification</x:v>
      </x:c>
      <x:c r="D61" s="57" t="str">
        <x:v>https://www.golf.nl/de-baan-op/banenzoeker/overzicht</x:v>
      </x:c>
      <x:c r="E61" s="57" t="str">
        <x:v>Current national federation course register</x:v>
      </x:c>
      <x:c r="F61" s="57" t="str">
        <x:v>2026-08-15</x:v>
      </x:c>
      <x:c r="G61" s="14" t="str">
        <x:v>Current NGF/GOLF.NL listing: 9 holes, par 36, 3132 metres. Listed as qualifying.</x:v>
      </x:c>
    </x:row>
    <x:row r="62">
      <x:c r="A62" s="56" t="str">
        <x:v>NL-0030</x:v>
      </x:c>
      <x:c r="B62" s="57" t="str">
        <x:v>Golfclub Zeewolde — Botter</x:v>
      </x:c>
      <x:c r="C62" s="57" t="str">
        <x:v>Coordinates/address</x:v>
      </x:c>
      <x:c r="D62" s="57" t="str">
        <x:v>https://api.pdok.nl/bzk/locatieserver/search/v3_1/free?q=Golflaan+1%2C+3896+LL+Zeewolde&amp;fq=type%3Aadres&amp;rows=10</x:v>
      </x:c>
      <x:c r="E62" s="57" t="str">
        <x:v>Dutch BAG address point via PDOK Locatieserver</x:v>
      </x:c>
      <x:c r="F62" s="57" t="str">
        <x:v>2026-08-15</x:v>
      </x:c>
      <x:c r="G62" s="14" t="str">
        <x:v>Exact postcode-matched address point: Golflaan 1, 3896LL Zeewolde.</x:v>
      </x:c>
    </x:row>
    <x:row r="63">
      <x:c r="A63" s="56" t="str">
        <x:v>NL-0031</x:v>
      </x:c>
      <x:c r="B63" s="57" t="str">
        <x:v>Golfclub Zeewolde — Jol</x:v>
      </x:c>
      <x:c r="C63" s="57" t="str">
        <x:v>Course identity/specification</x:v>
      </x:c>
      <x:c r="D63" s="57" t="str">
        <x:v>https://www.golf.nl/de-baan-op/banenzoeker/overzicht</x:v>
      </x:c>
      <x:c r="E63" s="57" t="str">
        <x:v>Current national federation course register</x:v>
      </x:c>
      <x:c r="F63" s="57" t="str">
        <x:v>2026-08-15</x:v>
      </x:c>
      <x:c r="G63" s="14" t="str">
        <x:v>Current NGF/GOLF.NL listing: 9 holes, par 29, 1362 metres. Listed as qualifying.</x:v>
      </x:c>
    </x:row>
    <x:row r="64">
      <x:c r="A64" s="56" t="str">
        <x:v>NL-0031</x:v>
      </x:c>
      <x:c r="B64" s="57" t="str">
        <x:v>Golfclub Zeewolde — Jol</x:v>
      </x:c>
      <x:c r="C64" s="57" t="str">
        <x:v>Coordinates/address</x:v>
      </x:c>
      <x:c r="D64" s="57" t="str">
        <x:v>https://api.pdok.nl/bzk/locatieserver/search/v3_1/free?q=Golflaan+1%2C+3896+LL+Zeewolde&amp;fq=type%3Aadres&amp;rows=10</x:v>
      </x:c>
      <x:c r="E64" s="57" t="str">
        <x:v>Dutch BAG address point via PDOK Locatieserver</x:v>
      </x:c>
      <x:c r="F64" s="57" t="str">
        <x:v>2026-08-15</x:v>
      </x:c>
      <x:c r="G64" s="14" t="str">
        <x:v>Exact postcode-matched address point: Golflaan 1, 3896LL Zeewolde.</x:v>
      </x:c>
    </x:row>
    <x:row r="65">
      <x:c r="A65" s="56" t="str">
        <x:v>NL-0032</x:v>
      </x:c>
      <x:c r="B65" s="57" t="str">
        <x:v>Golfclub Zeewolde — Pluut</x:v>
      </x:c>
      <x:c r="C65" s="57" t="str">
        <x:v>Course identity/specification</x:v>
      </x:c>
      <x:c r="D65" s="57" t="str">
        <x:v>https://www.golf.nl/de-baan-op/banenzoeker/overzicht</x:v>
      </x:c>
      <x:c r="E65" s="57" t="str">
        <x:v>Current national federation course register</x:v>
      </x:c>
      <x:c r="F65" s="57" t="str">
        <x:v>2026-08-15</x:v>
      </x:c>
      <x:c r="G65" s="14" t="str">
        <x:v>Current NGF/GOLF.NL listing: 9 holes, par 36, 3122 metres. Listed as qualifying.</x:v>
      </x:c>
    </x:row>
    <x:row r="66">
      <x:c r="A66" s="56" t="str">
        <x:v>NL-0032</x:v>
      </x:c>
      <x:c r="B66" s="57" t="str">
        <x:v>Golfclub Zeewolde — Pluut</x:v>
      </x:c>
      <x:c r="C66" s="57" t="str">
        <x:v>Coordinates/address</x:v>
      </x:c>
      <x:c r="D66" s="57" t="str">
        <x:v>https://api.pdok.nl/bzk/locatieserver/search/v3_1/free?q=Golflaan+1%2C+3896+LL+Zeewolde&amp;fq=type%3Aadres&amp;rows=10</x:v>
      </x:c>
      <x:c r="E66" s="57" t="str">
        <x:v>Dutch BAG address point via PDOK Locatieserver</x:v>
      </x:c>
      <x:c r="F66" s="57" t="str">
        <x:v>2026-08-15</x:v>
      </x:c>
      <x:c r="G66" s="14" t="str">
        <x:v>Exact postcode-matched address point: Golflaan 1, 3896LL Zeewolde.</x:v>
      </x:c>
    </x:row>
    <x:row r="67">
      <x:c r="A67" s="56" t="str">
        <x:v>NL-0033</x:v>
      </x:c>
      <x:c r="B67" s="57" t="str">
        <x:v>Harderwold Golf &amp; Events</x:v>
      </x:c>
      <x:c r="C67" s="57" t="str">
        <x:v>Course identity/specification</x:v>
      </x:c>
      <x:c r="D67" s="57" t="str">
        <x:v>https://www.golf.nl/de-baan-op/banenzoeker/overzicht</x:v>
      </x:c>
      <x:c r="E67" s="57" t="str">
        <x:v>Current national federation course register</x:v>
      </x:c>
      <x:c r="F67" s="57" t="str">
        <x:v>2026-08-15</x:v>
      </x:c>
      <x:c r="G67" s="14" t="str">
        <x:v>Current NGF/GOLF.NL listing: 9 holes, par 31, 1439 metres. Listed as qualifying.</x:v>
      </x:c>
    </x:row>
    <x:row r="68">
      <x:c r="A68" s="56" t="str">
        <x:v>NL-0033</x:v>
      </x:c>
      <x:c r="B68" s="57" t="str">
        <x:v>Harderwold Golf &amp; Events</x:v>
      </x:c>
      <x:c r="C68" s="57" t="str">
        <x:v>Coordinates/address</x:v>
      </x:c>
      <x:c r="D68" s="57" t="str">
        <x:v>https://api.pdok.nl/bzk/locatieserver/search/v3_1/free?q=Pluvierenweg+5%2C+3898+LL+Zeewolde&amp;fq=type%3Aadres&amp;rows=10</x:v>
      </x:c>
      <x:c r="E68" s="57" t="str">
        <x:v>Dutch BAG address point via PDOK Locatieserver</x:v>
      </x:c>
      <x:c r="F68" s="57" t="str">
        <x:v>2026-08-15</x:v>
      </x:c>
      <x:c r="G68" s="14" t="str">
        <x:v>Exact postcode-matched address point: Pluvierenweg 5, 3898LL Zeewolde.</x:v>
      </x:c>
    </x:row>
    <x:row r="69">
      <x:c r="A69" s="56" t="str">
        <x:v>NL-0034</x:v>
      </x:c>
      <x:c r="B69" s="57" t="str">
        <x:v>Openbare Golfclub Dronten</x:v>
      </x:c>
      <x:c r="C69" s="57" t="str">
        <x:v>Course identity/specification</x:v>
      </x:c>
      <x:c r="D69" s="57" t="str">
        <x:v>https://www.golf.nl/de-baan-op/banenzoeker/overzicht</x:v>
      </x:c>
      <x:c r="E69" s="57" t="str">
        <x:v>Current national federation course register</x:v>
      </x:c>
      <x:c r="F69" s="57" t="str">
        <x:v>2026-08-15</x:v>
      </x:c>
      <x:c r="G69" s="14" t="str">
        <x:v>Current NGF/GOLF.NL listing: 9 holes, par 35, 2414 metres. Listed as qualifying.</x:v>
      </x:c>
    </x:row>
    <x:row r="70">
      <x:c r="A70" s="56" t="str">
        <x:v>NL-0034</x:v>
      </x:c>
      <x:c r="B70" s="57" t="str">
        <x:v>Openbare Golfclub Dronten</x:v>
      </x:c>
      <x:c r="C70" s="57" t="str">
        <x:v>Coordinates/address</x:v>
      </x:c>
      <x:c r="D70" s="57" t="str">
        <x:v>https://api.pdok.nl/bzk/locatieserver/search/v3_1/free?q=De+Pan+2%2C+8252+LG+Dronten&amp;fq=type%3Aadres&amp;rows=10</x:v>
      </x:c>
      <x:c r="E70" s="57" t="str">
        <x:v>Dutch BAG address point via PDOK Locatieserver</x:v>
      </x:c>
      <x:c r="F70" s="57" t="str">
        <x:v>2026-08-15</x:v>
      </x:c>
      <x:c r="G70" s="14" t="str">
        <x:v>Exact postcode-matched address point: De Pan 2, 8252LG Dronten.</x:v>
      </x:c>
    </x:row>
    <x:row r="71">
      <x:c r="A71" s="56" t="str">
        <x:v>NL-0035</x:v>
      </x:c>
      <x:c r="B71" s="57" t="str">
        <x:v>Pitch &amp; Putt Strand Horst</x:v>
      </x:c>
      <x:c r="C71" s="57" t="str">
        <x:v>Course identity/specification</x:v>
      </x:c>
      <x:c r="D71" s="57" t="str">
        <x:v>https://www.golf.nl/de-baan-op/banenzoeker/overzicht</x:v>
      </x:c>
      <x:c r="E71" s="57" t="str">
        <x:v>Current national federation course register</x:v>
      </x:c>
      <x:c r="F71" s="57" t="str">
        <x:v>2026-08-15</x:v>
      </x:c>
      <x:c r="G71" s="14" t="str">
        <x:v>Current NGF/GOLF.NL listing: 9 holes, par 27, 453 metres. Listed as non-qualifying.</x:v>
      </x:c>
    </x:row>
    <x:row r="72">
      <x:c r="A72" s="56" t="str">
        <x:v>NL-0035</x:v>
      </x:c>
      <x:c r="B72" s="57" t="str">
        <x:v>Pitch &amp; Putt Strand Horst</x:v>
      </x:c>
      <x:c r="C72" s="57" t="str">
        <x:v>Coordinates/address</x:v>
      </x:c>
      <x:c r="D72" s="57" t="str">
        <x:v>https://api.pdok.nl/bzk/locatieserver/search/v3_1/free?q=Palmbosweg+4%2C+3853+LB+Ermelo&amp;fq=type%3Aadres&amp;rows=10</x:v>
      </x:c>
      <x:c r="E72" s="57" t="str">
        <x:v>Dutch BAG address point via PDOK Locatieserver</x:v>
      </x:c>
      <x:c r="F72" s="57" t="str">
        <x:v>2026-08-15</x:v>
      </x:c>
      <x:c r="G72" s="14" t="str">
        <x:v>Exact postcode-matched address point: Palmbosweg 4, 3853LB Ermelo.</x:v>
      </x:c>
    </x:row>
    <x:row r="73">
      <x:c r="A73" s="56" t="str">
        <x:v>NL-0036</x:v>
      </x:c>
      <x:c r="B73" s="57" t="str">
        <x:v>Shortgolf Swifterbant/Flevoland — Par-3 Course</x:v>
      </x:c>
      <x:c r="C73" s="57" t="str">
        <x:v>Course identity/specification</x:v>
      </x:c>
      <x:c r="D73" s="57" t="str">
        <x:v>https://www.golf.nl/de-baan-op/banenzoeker/overzicht</x:v>
      </x:c>
      <x:c r="E73" s="57" t="str">
        <x:v>Current national federation course register</x:v>
      </x:c>
      <x:c r="F73" s="57" t="str">
        <x:v>2026-08-15</x:v>
      </x:c>
      <x:c r="G73" s="14" t="str">
        <x:v>Current NGF/GOLF.NL listing: 18 holes, par 54, 1377 metres. Combined from exact NGF-listed constituent nine-hole loops: 1ste negen (9 holes, par 27, 632 m); 2de negen (9 holes, par 27, 745 m) Listed as qualifying.</x:v>
      </x:c>
    </x:row>
    <x:row r="74">
      <x:c r="A74" s="56" t="str">
        <x:v>NL-0036</x:v>
      </x:c>
      <x:c r="B74" s="57" t="str">
        <x:v>Shortgolf Swifterbant/Flevoland — Par-3 Course</x:v>
      </x:c>
      <x:c r="C74" s="57" t="str">
        <x:v>Coordinates/address</x:v>
      </x:c>
      <x:c r="D74" s="57" t="str">
        <x:v>https://api.pdok.nl/bzk/locatieserver/search/v3_1/free?q=Rivierduinweg+9%2C+8255+PJ+Swifterbant&amp;fq=type%3Aadres&amp;rows=10</x:v>
      </x:c>
      <x:c r="E74" s="57" t="str">
        <x:v>Dutch BAG address point via PDOK Locatieserver</x:v>
      </x:c>
      <x:c r="F74" s="57" t="str">
        <x:v>2026-08-15</x:v>
      </x:c>
      <x:c r="G74" s="14" t="str">
        <x:v>Exact postcode-matched address point: Rivierduinweg 9, 8255PJ Swifterbant.</x:v>
      </x:c>
    </x:row>
    <x:row r="75">
      <x:c r="A75" s="56" t="str">
        <x:v>NL-0037</x:v>
      </x:c>
      <x:c r="B75" s="57" t="str">
        <x:v>Buiten-Land Pitch &amp; Putt Leeuwarden — Shortgolf / Pitch &amp; Putt Course</x:v>
      </x:c>
      <x:c r="C75" s="57" t="str">
        <x:v>Course identity/specification</x:v>
      </x:c>
      <x:c r="D75" s="57" t="str">
        <x:v>https://www.golf.nl/de-baan-op/banenzoeker/overzicht</x:v>
      </x:c>
      <x:c r="E75" s="57" t="str">
        <x:v>Current national federation course register</x:v>
      </x:c>
      <x:c r="F75" s="57" t="str">
        <x:v>2026-08-15</x:v>
      </x:c>
      <x:c r="G75" s="14" t="str">
        <x:v>Current NGF/GOLF.NL listing: 18 holes, par 54, 977 metres. Combined from exact NGF-listed constituent nine-hole loops: 1ste negen (9 holes, par 27, 507 m); 2de negen (9 holes, par 27, 470 m) Listed as non-qualifying.</x:v>
      </x:c>
    </x:row>
    <x:row r="76">
      <x:c r="A76" s="56" t="str">
        <x:v>NL-0037</x:v>
      </x:c>
      <x:c r="B76" s="57" t="str">
        <x:v>Buiten-Land Pitch &amp; Putt Leeuwarden — Shortgolf / Pitch &amp; Putt Course</x:v>
      </x:c>
      <x:c r="C76" s="57" t="str">
        <x:v>Coordinates/address</x:v>
      </x:c>
      <x:c r="D76" s="57" t="str">
        <x:v>https://api.pdok.nl/bzk/locatieserver/search/v3_1/free?q=Noarder+Stienplaat+3%2C+8939+DA+Leeuwarden&amp;fq=type%3Aadres&amp;rows=10</x:v>
      </x:c>
      <x:c r="E76" s="57" t="str">
        <x:v>Dutch BAG address point via PDOK Locatieserver</x:v>
      </x:c>
      <x:c r="F76" s="57" t="str">
        <x:v>2026-08-15</x:v>
      </x:c>
      <x:c r="G76" s="14" t="str">
        <x:v>Exact postcode-matched address point: Noarder Stienplaat 3, 8939DA Leeuwarden.</x:v>
      </x:c>
    </x:row>
    <x:row r="77">
      <x:c r="A77" s="56" t="str">
        <x:v>NL-0038</x:v>
      </x:c>
      <x:c r="B77" s="57" t="str">
        <x:v>Golfbaan Ameland — Main Course</x:v>
      </x:c>
      <x:c r="C77" s="57" t="str">
        <x:v>Course identity/specification</x:v>
      </x:c>
      <x:c r="D77" s="57" t="str">
        <x:v>https://www.golf.nl/de-baan-op/banenzoeker/overzicht</x:v>
      </x:c>
      <x:c r="E77" s="57" t="str">
        <x:v>Current national federation course register</x:v>
      </x:c>
      <x:c r="F77" s="57" t="str">
        <x:v>2026-08-15</x:v>
      </x:c>
      <x:c r="G77" s="14" t="str">
        <x:v>Current NGF/GOLF.NL listing: 9 holes, par 36, 3080 metres. Listed as qualifying.</x:v>
      </x:c>
    </x:row>
    <x:row r="78">
      <x:c r="A78" s="56" t="str">
        <x:v>NL-0038</x:v>
      </x:c>
      <x:c r="B78" s="57" t="str">
        <x:v>Golfbaan Ameland — Main Course</x:v>
      </x:c>
      <x:c r="C78" s="57" t="str">
        <x:v>Coordinates/address</x:v>
      </x:c>
      <x:c r="D78" s="57" t="str">
        <x:v>https://api.pdok.nl/bzk/locatieserver/search/v3_1/free?q=Oosterhiemweg+20%2C+9161+CZ+Hollum&amp;fq=type%3Aadres&amp;rows=10</x:v>
      </x:c>
      <x:c r="E78" s="57" t="str">
        <x:v>Dutch BAG address point via PDOK Locatieserver</x:v>
      </x:c>
      <x:c r="F78" s="57" t="str">
        <x:v>2026-08-15</x:v>
      </x:c>
      <x:c r="G78" s="14" t="str">
        <x:v>Exact postcode-matched address point: Oosterhiemweg 20, 9161CZ Hollum.</x:v>
      </x:c>
    </x:row>
    <x:row r="79">
      <x:c r="A79" s="56" t="str">
        <x:v>NL-0039</x:v>
      </x:c>
      <x:c r="B79" s="57" t="str">
        <x:v>Golfbaan Ameland — Par-3 Course</x:v>
      </x:c>
      <x:c r="C79" s="57" t="str">
        <x:v>Course identity/specification</x:v>
      </x:c>
      <x:c r="D79" s="57" t="str">
        <x:v>https://www.golf.nl/de-baan-op/banenzoeker/overzicht</x:v>
      </x:c>
      <x:c r="E79" s="57" t="str">
        <x:v>Current national federation course register</x:v>
      </x:c>
      <x:c r="F79" s="57" t="str">
        <x:v>2026-08-15</x:v>
      </x:c>
      <x:c r="G79" s="14" t="str">
        <x:v>Current NGF/GOLF.NL listing: 9 holes, par 27, 914 metres. Listed as qualifying.</x:v>
      </x:c>
    </x:row>
    <x:row r="80">
      <x:c r="A80" s="56" t="str">
        <x:v>NL-0039</x:v>
      </x:c>
      <x:c r="B80" s="57" t="str">
        <x:v>Golfbaan Ameland — Par-3 Course</x:v>
      </x:c>
      <x:c r="C80" s="57" t="str">
        <x:v>Coordinates/address</x:v>
      </x:c>
      <x:c r="D80" s="57" t="str">
        <x:v>https://api.pdok.nl/bzk/locatieserver/search/v3_1/free?q=Oosterhiemweg+20%2C+9161+CZ+Hollum&amp;fq=type%3Aadres&amp;rows=10</x:v>
      </x:c>
      <x:c r="E80" s="57" t="str">
        <x:v>Dutch BAG address point via PDOK Locatieserver</x:v>
      </x:c>
      <x:c r="F80" s="57" t="str">
        <x:v>2026-08-15</x:v>
      </x:c>
      <x:c r="G80" s="14" t="str">
        <x:v>Exact postcode-matched address point: Oosterhiemweg 20, 9161CZ Hollum.</x:v>
      </x:c>
    </x:row>
    <x:row r="81">
      <x:c r="A81" s="56" t="str">
        <x:v>NL-0040</x:v>
      </x:c>
      <x:c r="B81" s="57" t="str">
        <x:v>Golfbaan Terschelling</x:v>
      </x:c>
      <x:c r="C81" s="57" t="str">
        <x:v>Course identity/specification</x:v>
      </x:c>
      <x:c r="D81" s="57" t="str">
        <x:v>https://www.golf.nl/de-baan-op/banenzoeker/overzicht</x:v>
      </x:c>
      <x:c r="E81" s="57" t="str">
        <x:v>Current national federation course register</x:v>
      </x:c>
      <x:c r="F81" s="57" t="str">
        <x:v>2026-08-15</x:v>
      </x:c>
      <x:c r="G81" s="14" t="str">
        <x:v>Current NGF/GOLF.NL listing: 9 holes, par 27, 1127 metres. Listed as non-qualifying.</x:v>
      </x:c>
    </x:row>
    <x:row r="82">
      <x:c r="A82" s="56" t="str">
        <x:v>NL-0040</x:v>
      </x:c>
      <x:c r="B82" s="57" t="str">
        <x:v>Golfbaan Terschelling</x:v>
      </x:c>
      <x:c r="C82" s="57" t="str">
        <x:v>Coordinates/address</x:v>
      </x:c>
      <x:c r="D82" s="57" t="str">
        <x:v>https://api.pdok.nl/bzk/locatieserver/search/v3_1/free?q=Heester+Kooiweg+20%2C+8882+HE+Terschelling+Hee&amp;fq=type%3Aadres&amp;rows=10</x:v>
      </x:c>
      <x:c r="E82" s="57" t="str">
        <x:v>Dutch BAG address point via PDOK Locatieserver</x:v>
      </x:c>
      <x:c r="F82" s="57" t="str">
        <x:v>2026-08-15</x:v>
      </x:c>
      <x:c r="G82" s="14" t="str">
        <x:v>Exact postcode-matched address point: Heester Kooiweg 20, 8882HE Hee.</x:v>
      </x:c>
    </x:row>
    <x:row r="83">
      <x:c r="A83" s="56" t="str">
        <x:v>NL-0041</x:v>
      </x:c>
      <x:c r="B83" s="57" t="str">
        <x:v>Golfclub Gaasterland</x:v>
      </x:c>
      <x:c r="C83" s="57" t="str">
        <x:v>Course identity/specification</x:v>
      </x:c>
      <x:c r="D83" s="57" t="str">
        <x:v>https://www.golf.nl/de-baan-op/banenzoeker/overzicht</x:v>
      </x:c>
      <x:c r="E83" s="57" t="str">
        <x:v>Current national federation course register</x:v>
      </x:c>
      <x:c r="F83" s="57" t="str">
        <x:v>2026-08-15</x:v>
      </x:c>
      <x:c r="G83" s="14" t="str">
        <x:v>Current NGF/GOLF.NL listing: 9 holes, par 35, 2813 metres. Listed as qualifying.</x:v>
      </x:c>
    </x:row>
    <x:row r="84">
      <x:c r="A84" s="56" t="str">
        <x:v>NL-0041</x:v>
      </x:c>
      <x:c r="B84" s="57" t="str">
        <x:v>Golfclub Gaasterland</x:v>
      </x:c>
      <x:c r="C84" s="57" t="str">
        <x:v>Coordinates/address</x:v>
      </x:c>
      <x:c r="D84" s="57" t="str">
        <x:v>https://api.pdok.nl/bzk/locatieserver/search/v3_1/free?q=Sminkewei+10%2C+8567+HB+Oudemirdum&amp;fq=type%3Aadres&amp;rows=10</x:v>
      </x:c>
      <x:c r="E84" s="57" t="str">
        <x:v>Dutch BAG address point via PDOK Locatieserver</x:v>
      </x:c>
      <x:c r="F84" s="57" t="str">
        <x:v>2026-08-15</x:v>
      </x:c>
      <x:c r="G84" s="14" t="str">
        <x:v>Exact postcode-matched address point: Sminkewei 10, 8567HB Oudemirdum.</x:v>
      </x:c>
    </x:row>
    <x:row r="85">
      <x:c r="A85" s="56" t="str">
        <x:v>NL-0042</x:v>
      </x:c>
      <x:c r="B85" s="57" t="str">
        <x:v>Golfclub Heidemeer</x:v>
      </x:c>
      <x:c r="C85" s="57" t="str">
        <x:v>Course identity/specification</x:v>
      </x:c>
      <x:c r="D85" s="57" t="str">
        <x:v>https://www.golf.nl/de-baan-op/banenzoeker/overzicht</x:v>
      </x:c>
      <x:c r="E85" s="57" t="str">
        <x:v>Current national federation course register</x:v>
      </x:c>
      <x:c r="F85" s="57" t="str">
        <x:v>2026-08-15</x:v>
      </x:c>
      <x:c r="G85" s="14" t="str">
        <x:v>Current NGF/GOLF.NL listing: 9 holes, par 35, 2615 metres. Listed as qualifying.</x:v>
      </x:c>
    </x:row>
    <x:row r="86">
      <x:c r="A86" s="56" t="str">
        <x:v>NL-0042</x:v>
      </x:c>
      <x:c r="B86" s="57" t="str">
        <x:v>Golfclub Heidemeer</x:v>
      </x:c>
      <x:c r="C86" s="57" t="str">
        <x:v>Coordinates/address</x:v>
      </x:c>
      <x:c r="D86" s="57" t="str">
        <x:v>https://api.pdok.nl/bzk/locatieserver/search/v3_1/free?q=Heidemeer+2%2C+8445+SB+Heerenveen&amp;fq=type%3Aadres&amp;rows=10</x:v>
      </x:c>
      <x:c r="E86" s="57" t="str">
        <x:v>Dutch BAG address point via PDOK Locatieserver</x:v>
      </x:c>
      <x:c r="F86" s="57" t="str">
        <x:v>2026-08-15</x:v>
      </x:c>
      <x:c r="G86" s="14" t="str">
        <x:v>Exact postcode-matched address point: Heidemeer 2, 8445SB Heerenveen.</x:v>
      </x:c>
    </x:row>
    <x:row r="87">
      <x:c r="A87" s="56" t="str">
        <x:v>NL-0043</x:v>
      </x:c>
      <x:c r="B87" s="57" t="str">
        <x:v>Golfclub Lauswolt — Main Course</x:v>
      </x:c>
      <x:c r="C87" s="57" t="str">
        <x:v>Course identity/specification</x:v>
      </x:c>
      <x:c r="D87" s="57" t="str">
        <x:v>https://www.golf.nl/de-baan-op/banenzoeker/overzicht</x:v>
      </x:c>
      <x:c r="E87" s="57" t="str">
        <x:v>Current national federation course register</x:v>
      </x:c>
      <x:c r="F87" s="57" t="str">
        <x:v>2026-08-15</x:v>
      </x:c>
      <x:c r="G87" s="14" t="str">
        <x:v>Current NGF/GOLF.NL listing: 18 holes, par 73, 6239 metres. Combined from exact NGF-listed constituent nine-hole loops: 1ste negen (9 holes, par 36, 3099 m); 2de negen (9 holes, par 37, 3140 m) Listed as qualifying.</x:v>
      </x:c>
    </x:row>
    <x:row r="88">
      <x:c r="A88" s="56" t="str">
        <x:v>NL-0043</x:v>
      </x:c>
      <x:c r="B88" s="57" t="str">
        <x:v>Golfclub Lauswolt — Main Course</x:v>
      </x:c>
      <x:c r="C88" s="57" t="str">
        <x:v>Coordinates/address</x:v>
      </x:c>
      <x:c r="D88" s="57" t="str">
        <x:v>https://api.pdok.nl/bzk/locatieserver/search/v3_1/free?q=Van+Harinxmaweg+8a%2C+9244+CJ+Beetsterzwaag&amp;fq=type%3Aadres&amp;rows=10</x:v>
      </x:c>
      <x:c r="E88" s="57" t="str">
        <x:v>Dutch BAG address point via PDOK Locatieserver</x:v>
      </x:c>
      <x:c r="F88" s="57" t="str">
        <x:v>2026-08-15</x:v>
      </x:c>
      <x:c r="G88" s="14" t="str">
        <x:v>Exact postcode-matched address point: Van Harinxmaweg 8A, 9244CJ Beetsterzwaag.</x:v>
      </x:c>
    </x:row>
    <x:row r="89">
      <x:c r="A89" s="56" t="str">
        <x:v>NL-0044</x:v>
      </x:c>
      <x:c r="B89" s="57" t="str">
        <x:v>Golfpark De Hildenberg — Main Course</x:v>
      </x:c>
      <x:c r="C89" s="57" t="str">
        <x:v>Course identity/specification</x:v>
      </x:c>
      <x:c r="D89" s="57" t="str">
        <x:v>https://www.golf.nl/de-baan-op/banenzoeker/overzicht</x:v>
      </x:c>
      <x:c r="E89" s="57" t="str">
        <x:v>Current national federation course register</x:v>
      </x:c>
      <x:c r="F89" s="57" t="str">
        <x:v>2026-08-15</x:v>
      </x:c>
      <x:c r="G89" s="14" t="str">
        <x:v>Current NGF/GOLF.NL listing: 9 holes, par 35, 2452 metres. Listed as qualifying.</x:v>
      </x:c>
    </x:row>
    <x:row r="90">
      <x:c r="A90" s="56" t="str">
        <x:v>NL-0044</x:v>
      </x:c>
      <x:c r="B90" s="57" t="str">
        <x:v>Golfpark De Hildenberg — Main Course</x:v>
      </x:c>
      <x:c r="C90" s="57" t="str">
        <x:v>Coordinates/address</x:v>
      </x:c>
      <x:c r="D90" s="57" t="str">
        <x:v>https://api.pdok.nl/bzk/locatieserver/search/v3_1/free?q=Gruun+3%2C+8426+NA+Appelscha&amp;fq=type%3Aadres&amp;rows=10</x:v>
      </x:c>
      <x:c r="E90" s="57" t="str">
        <x:v>Dutch BAG address point via PDOK Locatieserver</x:v>
      </x:c>
      <x:c r="F90" s="57" t="str">
        <x:v>2026-08-15</x:v>
      </x:c>
      <x:c r="G90" s="14" t="str">
        <x:v>Exact postcode-matched address point: Gruun 3, 8426NA Appelscha.</x:v>
      </x:c>
    </x:row>
    <x:row r="91">
      <x:c r="A91" s="56" t="str">
        <x:v>NL-0045</x:v>
      </x:c>
      <x:c r="B91" s="57" t="str">
        <x:v>Golfpark De Hildenberg — Pitch en Put</x:v>
      </x:c>
      <x:c r="C91" s="57" t="str">
        <x:v>Course identity/specification</x:v>
      </x:c>
      <x:c r="D91" s="57" t="str">
        <x:v>https://www.golf.nl/de-baan-op/banenzoeker/overzicht</x:v>
      </x:c>
      <x:c r="E91" s="57" t="str">
        <x:v>Current national federation course register</x:v>
      </x:c>
      <x:c r="F91" s="57" t="str">
        <x:v>2026-08-15</x:v>
      </x:c>
      <x:c r="G91" s="14" t="str">
        <x:v>Current NGF/GOLF.NL listing: 9 holes, par 27, 250 metres. Listed as non-qualifying.</x:v>
      </x:c>
    </x:row>
    <x:row r="92">
      <x:c r="A92" s="56" t="str">
        <x:v>NL-0045</x:v>
      </x:c>
      <x:c r="B92" s="57" t="str">
        <x:v>Golfpark De Hildenberg — Pitch en Put</x:v>
      </x:c>
      <x:c r="C92" s="57" t="str">
        <x:v>Coordinates/address</x:v>
      </x:c>
      <x:c r="D92" s="57" t="str">
        <x:v>https://api.pdok.nl/bzk/locatieserver/search/v3_1/free?q=Gruun+3%2C+8426+NA+Appelscha&amp;fq=type%3Aadres&amp;rows=10</x:v>
      </x:c>
      <x:c r="E92" s="57" t="str">
        <x:v>Dutch BAG address point via PDOK Locatieserver</x:v>
      </x:c>
      <x:c r="F92" s="57" t="str">
        <x:v>2026-08-15</x:v>
      </x:c>
      <x:c r="G92" s="14" t="str">
        <x:v>Exact postcode-matched address point: Gruun 3, 8426NA Appelscha.</x:v>
      </x:c>
    </x:row>
    <x:row r="93">
      <x:c r="A93" s="56" t="str">
        <x:v>NL-0046</x:v>
      </x:c>
      <x:c r="B93" s="57" t="str">
        <x:v>Golfpark Sint Nyk — Red</x:v>
      </x:c>
      <x:c r="C93" s="57" t="str">
        <x:v>Course identity/specification</x:v>
      </x:c>
      <x:c r="D93" s="57" t="str">
        <x:v>https://www.golf.nl/de-baan-op/banenzoeker/overzicht</x:v>
      </x:c>
      <x:c r="E93" s="57" t="str">
        <x:v>Current national federation course register</x:v>
      </x:c>
      <x:c r="F93" s="57" t="str">
        <x:v>2026-08-15</x:v>
      </x:c>
      <x:c r="G93" s="14" t="str">
        <x:v>Current NGF/GOLF.NL listing: 9 holes, par 36, 3039 metres. Listed as qualifying.</x:v>
      </x:c>
    </x:row>
    <x:row r="94">
      <x:c r="A94" s="56" t="str">
        <x:v>NL-0046</x:v>
      </x:c>
      <x:c r="B94" s="57" t="str">
        <x:v>Golfpark Sint Nyk — Red</x:v>
      </x:c>
      <x:c r="C94" s="57" t="str">
        <x:v>Coordinates/address</x:v>
      </x:c>
      <x:c r="D94" s="57" t="str">
        <x:v>https://api.pdok.nl/bzk/locatieserver/search/v3_1/free?q=Legemeersterweg+16-18%2C+8527+DS+Legemeer&amp;fq=type%3Aadres&amp;rows=10</x:v>
      </x:c>
      <x:c r="E94" s="57" t="str">
        <x:v>Dutch BAG address point via PDOK Locatieserver</x:v>
      </x:c>
      <x:c r="F94" s="57" t="str">
        <x:v>2026-08-15</x:v>
      </x:c>
      <x:c r="G94" s="14" t="str">
        <x:v>Exact postcode-matched address point: Legemeersterweg 18, 8527DS Legemeer.</x:v>
      </x:c>
    </x:row>
    <x:row r="95">
      <x:c r="A95" s="56" t="str">
        <x:v>NL-0047</x:v>
      </x:c>
      <x:c r="B95" s="57" t="str">
        <x:v>Golfpark Sint Nyk — Yellow</x:v>
      </x:c>
      <x:c r="C95" s="57" t="str">
        <x:v>Course identity/specification</x:v>
      </x:c>
      <x:c r="D95" s="57" t="str">
        <x:v>https://www.golf.nl/de-baan-op/banenzoeker/overzicht</x:v>
      </x:c>
      <x:c r="E95" s="57" t="str">
        <x:v>Current national federation course register</x:v>
      </x:c>
      <x:c r="F95" s="57" t="str">
        <x:v>2026-08-15</x:v>
      </x:c>
      <x:c r="G95" s="14" t="str">
        <x:v>Current NGF/GOLF.NL listing: 9 holes, par 36, 2999 metres. Listed as qualifying.</x:v>
      </x:c>
    </x:row>
    <x:row r="96">
      <x:c r="A96" s="56" t="str">
        <x:v>NL-0047</x:v>
      </x:c>
      <x:c r="B96" s="57" t="str">
        <x:v>Golfpark Sint Nyk — Yellow</x:v>
      </x:c>
      <x:c r="C96" s="57" t="str">
        <x:v>Coordinates/address</x:v>
      </x:c>
      <x:c r="D96" s="57" t="str">
        <x:v>https://api.pdok.nl/bzk/locatieserver/search/v3_1/free?q=Legemeersterweg+16-18%2C+8527+DS+Legemeer&amp;fq=type%3Aadres&amp;rows=10</x:v>
      </x:c>
      <x:c r="E96" s="57" t="str">
        <x:v>Dutch BAG address point via PDOK Locatieserver</x:v>
      </x:c>
      <x:c r="F96" s="57" t="str">
        <x:v>2026-08-15</x:v>
      </x:c>
      <x:c r="G96" s="14" t="str">
        <x:v>Exact postcode-matched address point: Legemeersterweg 18, 8527DS Legemeer.</x:v>
      </x:c>
    </x:row>
    <x:row r="97">
      <x:c r="A97" s="56" t="str">
        <x:v>NL-0048</x:v>
      </x:c>
      <x:c r="B97" s="57" t="str">
        <x:v>Leeuwarder Golfclub De Groene Ster — Main Course</x:v>
      </x:c>
      <x:c r="C97" s="57" t="str">
        <x:v>Course identity/specification</x:v>
      </x:c>
      <x:c r="D97" s="57" t="str">
        <x:v>https://www.golf.nl/de-baan-op/banenzoeker/overzicht</x:v>
      </x:c>
      <x:c r="E97" s="57" t="str">
        <x:v>Current national federation course register</x:v>
      </x:c>
      <x:c r="F97" s="57" t="str">
        <x:v>2026-08-15</x:v>
      </x:c>
      <x:c r="G97" s="14" t="str">
        <x:v>Current NGF/GOLF.NL listing: 18 holes, par 72, 6188 metres. Combined from exact NGF-listed constituent nine-hole loops: 1ste negen (9 holes, par 37, 3187 m); 2de negen (9 holes, par 35, 3001 m) Listed as qualifying.</x:v>
      </x:c>
    </x:row>
    <x:row r="98">
      <x:c r="A98" s="56" t="str">
        <x:v>NL-0048</x:v>
      </x:c>
      <x:c r="B98" s="57" t="str">
        <x:v>Leeuwarder Golfclub De Groene Ster — Main Course</x:v>
      </x:c>
      <x:c r="C98" s="57" t="str">
        <x:v>Coordinates/address</x:v>
      </x:c>
      <x:c r="D98" s="57" t="str">
        <x:v>https://api.pdok.nl/bzk/locatieserver/search/v3_1/free?q=Woelwijk+101%2C+8926+XD+Leeuwarden&amp;fq=type%3Aadres&amp;rows=10</x:v>
      </x:c>
      <x:c r="E98" s="57" t="str">
        <x:v>Dutch BAG address point via PDOK Locatieserver</x:v>
      </x:c>
      <x:c r="F98" s="57" t="str">
        <x:v>2026-08-15</x:v>
      </x:c>
      <x:c r="G98" s="14" t="str">
        <x:v>Exact postcode-matched address point: Woelwijk 101, 8926XD Leeuwarden.</x:v>
      </x:c>
    </x:row>
    <x:row r="99">
      <x:c r="A99" s="56" t="str">
        <x:v>NL-0049</x:v>
      </x:c>
      <x:c r="B99" s="57" t="str">
        <x:v>Pitch &amp; Putt Esonstad — Seedyk, 1ste negen</x:v>
      </x:c>
      <x:c r="C99" s="57" t="str">
        <x:v>Course identity/specification</x:v>
      </x:c>
      <x:c r="D99" s="57" t="str">
        <x:v>https://www.golf.nl/de-baan-op/banenzoeker/overzicht</x:v>
      </x:c>
      <x:c r="E99" s="57" t="str">
        <x:v>Current national federation course register</x:v>
      </x:c>
      <x:c r="F99" s="57" t="str">
        <x:v>2026-08-15</x:v>
      </x:c>
      <x:c r="G99" s="14" t="str">
        <x:v>Current NGF/GOLF.NL listing: 9 holes, par 27, 450 metres. Listed as non-qualifying.</x:v>
      </x:c>
    </x:row>
    <x:row r="100">
      <x:c r="A100" s="56" t="str">
        <x:v>NL-0049</x:v>
      </x:c>
      <x:c r="B100" s="57" t="str">
        <x:v>Pitch &amp; Putt Esonstad — Seedyk, 1ste negen</x:v>
      </x:c>
      <x:c r="C100" s="57" t="str">
        <x:v>Coordinates/address</x:v>
      </x:c>
      <x:c r="D100" s="57" t="str">
        <x:v>https://api.pdok.nl/bzk/locatieserver/search/v3_1/free?q=Sk%C3%A2nserwei+28%2C+9133+DV+Eanjum&amp;fq=type%3Aadres&amp;rows=10</x:v>
      </x:c>
      <x:c r="E100" s="57" t="str">
        <x:v>Dutch BAG address point via PDOK Locatieserver</x:v>
      </x:c>
      <x:c r="F100" s="57" t="str">
        <x:v>2026-08-15</x:v>
      </x:c>
      <x:c r="G100" s="14" t="str">
        <x:v>Exact postcode-matched address point: Skânserwei 28A, 9133DV Eanjum.</x:v>
      </x:c>
    </x:row>
    <x:row r="101">
      <x:c r="A101" s="56" t="str">
        <x:v>NL-0050</x:v>
      </x:c>
      <x:c r="B101" s="57" t="str">
        <x:v>Pitch &amp; Putt Esonstad — Terpen, 2de negen</x:v>
      </x:c>
      <x:c r="C101" s="57" t="str">
        <x:v>Course identity/specification</x:v>
      </x:c>
      <x:c r="D101" s="57" t="str">
        <x:v>https://www.golf.nl/de-baan-op/banenzoeker/overzicht</x:v>
      </x:c>
      <x:c r="E101" s="57" t="str">
        <x:v>Current national federation course register</x:v>
      </x:c>
      <x:c r="F101" s="57" t="str">
        <x:v>2026-08-15</x:v>
      </x:c>
      <x:c r="G101" s="14" t="str">
        <x:v>Current NGF/GOLF.NL listing: 9 holes, par 27, 450 metres. Listed as non-qualifying.</x:v>
      </x:c>
    </x:row>
    <x:row r="102">
      <x:c r="A102" s="56" t="str">
        <x:v>NL-0050</x:v>
      </x:c>
      <x:c r="B102" s="57" t="str">
        <x:v>Pitch &amp; Putt Esonstad — Terpen, 2de negen</x:v>
      </x:c>
      <x:c r="C102" s="57" t="str">
        <x:v>Coordinates/address</x:v>
      </x:c>
      <x:c r="D102" s="57" t="str">
        <x:v>https://api.pdok.nl/bzk/locatieserver/search/v3_1/free?q=Sk%C3%A2nserwei+28%2C+9133+DV+Eanjum&amp;fq=type%3Aadres&amp;rows=10</x:v>
      </x:c>
      <x:c r="E102" s="57" t="str">
        <x:v>Dutch BAG address point via PDOK Locatieserver</x:v>
      </x:c>
      <x:c r="F102" s="57" t="str">
        <x:v>2026-08-15</x:v>
      </x:c>
      <x:c r="G102" s="14" t="str">
        <x:v>Exact postcode-matched address point: Skânserwei 28A, 9133DV Eanjum.</x:v>
      </x:c>
    </x:row>
    <x:row r="103">
      <x:c r="A103" s="56" t="str">
        <x:v>NL-0051</x:v>
      </x:c>
      <x:c r="B103" s="57" t="str">
        <x:v>Pitch &amp; putt Koudum — Shortgolf / Pitch &amp; Putt Course</x:v>
      </x:c>
      <x:c r="C103" s="57" t="str">
        <x:v>Course identity/specification</x:v>
      </x:c>
      <x:c r="D103" s="57" t="str">
        <x:v>https://www.golf.nl/de-baan-op/banenzoeker/overzicht</x:v>
      </x:c>
      <x:c r="E103" s="57" t="str">
        <x:v>Current national federation course register</x:v>
      </x:c>
      <x:c r="F103" s="57" t="str">
        <x:v>2026-08-15</x:v>
      </x:c>
      <x:c r="G103" s="14" t="str">
        <x:v>Current NGF/GOLF.NL listing: 18 holes, par 54, 900 metres. Combined from exact NGF-listed constituent nine-hole loops: 1ste negen (9 holes, par 27, 450 m); 2de negen (9 holes, par 27, 450 m) The current official facility contact page and BAG address replace the postcode typo in the NGF overview (Nieuweweg 42, 7823 EB Koudum). Listed as non-qualifying.</x:v>
      </x:c>
    </x:row>
    <x:row r="104">
      <x:c r="A104" s="56" t="str">
        <x:v>NL-0051</x:v>
      </x:c>
      <x:c r="B104" s="57" t="str">
        <x:v>Pitch &amp; putt Koudum — Shortgolf / Pitch &amp; Putt Course</x:v>
      </x:c>
      <x:c r="C104" s="57" t="str">
        <x:v>Coordinates/address</x:v>
      </x:c>
      <x:c r="D104" s="57" t="str">
        <x:v>https://api.pdok.nl/bzk/locatieserver/search/v3_1/free?q=Nieuweweg+42%2C+8723+EB+Koudum&amp;fq=type%3Aadres&amp;rows=10</x:v>
      </x:c>
      <x:c r="E104" s="57" t="str">
        <x:v>Dutch BAG address point via PDOK Locatieserver</x:v>
      </x:c>
      <x:c r="F104" s="57" t="str">
        <x:v>2026-08-15</x:v>
      </x:c>
      <x:c r="G104" s="14" t="str">
        <x:v>Exact postcode-matched address point: Nieuweweg 42, 8723EB Koudum. Corrected address verified on the facility's current contact page: https://www.pitch-putt.nl/locaties/koudum/.</x:v>
      </x:c>
    </x:row>
    <x:row r="105">
      <x:c r="A105" s="56" t="str">
        <x:v>NL-0052</x:v>
      </x:c>
      <x:c r="B105" s="57" t="str">
        <x:v>Edese Golf Club Papendal — Main Course</x:v>
      </x:c>
      <x:c r="C105" s="57" t="str">
        <x:v>Course identity/specification</x:v>
      </x:c>
      <x:c r="D105" s="57" t="str">
        <x:v>https://www.golf.nl/de-baan-op/banenzoeker/overzicht</x:v>
      </x:c>
      <x:c r="E105" s="57" t="str">
        <x:v>Current national federation course register</x:v>
      </x:c>
      <x:c r="F105" s="57" t="str">
        <x:v>2026-08-15</x:v>
      </x:c>
      <x:c r="G105" s="14" t="str">
        <x:v>Current NGF/GOLF.NL listing: 18 holes, par 71, 6033 metres. Combined from exact NGF-listed constituent nine-hole loops: 1ste negen (9 holes, par 35, 2882 m); 2de negen (9 holes, par 36, 3151 m) Listed as qualifying.</x:v>
      </x:c>
    </x:row>
    <x:row r="106">
      <x:c r="A106" s="56" t="str">
        <x:v>NL-0052</x:v>
      </x:c>
      <x:c r="B106" s="57" t="str">
        <x:v>Edese Golf Club Papendal — Main Course</x:v>
      </x:c>
      <x:c r="C106" s="57" t="str">
        <x:v>Coordinates/address</x:v>
      </x:c>
      <x:c r="D106" s="57" t="str">
        <x:v>https://api.pdok.nl/bzk/locatieserver/search/v3_1/free?q=Papendallaan+22%2C+6816+VD+Arnhem&amp;fq=type%3Aadres&amp;rows=10</x:v>
      </x:c>
      <x:c r="E106" s="57" t="str">
        <x:v>Dutch BAG address point via PDOK Locatieserver</x:v>
      </x:c>
      <x:c r="F106" s="57" t="str">
        <x:v>2026-08-15</x:v>
      </x:c>
      <x:c r="G106" s="14" t="str">
        <x:v>Exact postcode-matched address point: Papendallaan 22, 6816VD Arnhem.</x:v>
      </x:c>
    </x:row>
    <x:row r="107">
      <x:c r="A107" s="56" t="str">
        <x:v>NL-0053</x:v>
      </x:c>
      <x:c r="B107" s="57" t="str">
        <x:v>Golf &amp; Businessclub De Scherpenbergh — Berkenbaan</x:v>
      </x:c>
      <x:c r="C107" s="57" t="str">
        <x:v>Course identity/specification</x:v>
      </x:c>
      <x:c r="D107" s="57" t="str">
        <x:v>https://www.golf.nl/de-baan-op/banenzoeker/overzicht</x:v>
      </x:c>
      <x:c r="E107" s="57" t="str">
        <x:v>Current national federation course register</x:v>
      </x:c>
      <x:c r="F107" s="57" t="str">
        <x:v>2026-08-15</x:v>
      </x:c>
      <x:c r="G107" s="14" t="str">
        <x:v>Current NGF/GOLF.NL listing: 9 holes, par 31, 1519 metres. Listed as qualifying.</x:v>
      </x:c>
    </x:row>
    <x:row r="108">
      <x:c r="A108" s="56" t="str">
        <x:v>NL-0053</x:v>
      </x:c>
      <x:c r="B108" s="57" t="str">
        <x:v>Golf &amp; Businessclub De Scherpenbergh — Berkenbaan</x:v>
      </x:c>
      <x:c r="C108" s="57" t="str">
        <x:v>Coordinates/address</x:v>
      </x:c>
      <x:c r="D108" s="57" t="str">
        <x:v>https://api.pdok.nl/bzk/locatieserver/search/v3_1/free?q=Albaweg+43%2C+7364+CB+Lieren&amp;fq=type%3Aadres&amp;rows=10</x:v>
      </x:c>
      <x:c r="E108" s="57" t="str">
        <x:v>Dutch BAG address point via PDOK Locatieserver</x:v>
      </x:c>
      <x:c r="F108" s="57" t="str">
        <x:v>2026-08-15</x:v>
      </x:c>
      <x:c r="G108" s="14" t="str">
        <x:v>Exact postcode-matched address point: Albaweg 43, 7364CB Lieren.</x:v>
      </x:c>
    </x:row>
    <x:row r="109">
      <x:c r="A109" s="56" t="str">
        <x:v>NL-0054</x:v>
      </x:c>
      <x:c r="B109" s="57" t="str">
        <x:v>Golf &amp; Businessclub De Scherpenbergh — Dassenbaan</x:v>
      </x:c>
      <x:c r="C109" s="57" t="str">
        <x:v>Course identity/specification</x:v>
      </x:c>
      <x:c r="D109" s="57" t="str">
        <x:v>https://www.golf.nl/de-baan-op/banenzoeker/overzicht</x:v>
      </x:c>
      <x:c r="E109" s="57" t="str">
        <x:v>Current national federation course register</x:v>
      </x:c>
      <x:c r="F109" s="57" t="str">
        <x:v>2026-08-15</x:v>
      </x:c>
      <x:c r="G109" s="14" t="str">
        <x:v>Current NGF/GOLF.NL listing: 9 holes, par 36, 2766 metres. Listed as qualifying.</x:v>
      </x:c>
    </x:row>
    <x:row r="110">
      <x:c r="A110" s="56" t="str">
        <x:v>NL-0054</x:v>
      </x:c>
      <x:c r="B110" s="57" t="str">
        <x:v>Golf &amp; Businessclub De Scherpenbergh — Dassenbaan</x:v>
      </x:c>
      <x:c r="C110" s="57" t="str">
        <x:v>Coordinates/address</x:v>
      </x:c>
      <x:c r="D110" s="57" t="str">
        <x:v>https://api.pdok.nl/bzk/locatieserver/search/v3_1/free?q=Albaweg+43%2C+7364+CB+Lieren&amp;fq=type%3Aadres&amp;rows=10</x:v>
      </x:c>
      <x:c r="E110" s="57" t="str">
        <x:v>Dutch BAG address point via PDOK Locatieserver</x:v>
      </x:c>
      <x:c r="F110" s="57" t="str">
        <x:v>2026-08-15</x:v>
      </x:c>
      <x:c r="G110" s="14" t="str">
        <x:v>Exact postcode-matched address point: Albaweg 43, 7364CB Lieren.</x:v>
      </x:c>
    </x:row>
    <x:row r="111">
      <x:c r="A111" s="56" t="str">
        <x:v>NL-0055</x:v>
      </x:c>
      <x:c r="B111" s="57" t="str">
        <x:v>Golf &amp; Businessclub De Scherpenbergh — Zwaluwenbaan</x:v>
      </x:c>
      <x:c r="C111" s="57" t="str">
        <x:v>Course identity/specification</x:v>
      </x:c>
      <x:c r="D111" s="57" t="str">
        <x:v>https://www.golf.nl/de-baan-op/banenzoeker/overzicht</x:v>
      </x:c>
      <x:c r="E111" s="57" t="str">
        <x:v>Current national federation course register</x:v>
      </x:c>
      <x:c r="F111" s="57" t="str">
        <x:v>2026-08-15</x:v>
      </x:c>
      <x:c r="G111" s="14" t="str">
        <x:v>Current NGF/GOLF.NL listing: 9 holes, par 36, 2822 metres. Listed as qualifying.</x:v>
      </x:c>
    </x:row>
    <x:row r="112">
      <x:c r="A112" s="56" t="str">
        <x:v>NL-0055</x:v>
      </x:c>
      <x:c r="B112" s="57" t="str">
        <x:v>Golf &amp; Businessclub De Scherpenbergh — Zwaluwenbaan</x:v>
      </x:c>
      <x:c r="C112" s="57" t="str">
        <x:v>Coordinates/address</x:v>
      </x:c>
      <x:c r="D112" s="57" t="str">
        <x:v>https://api.pdok.nl/bzk/locatieserver/search/v3_1/free?q=Albaweg+43%2C+7364+CB+Lieren&amp;fq=type%3Aadres&amp;rows=10</x:v>
      </x:c>
      <x:c r="E112" s="57" t="str">
        <x:v>Dutch BAG address point via PDOK Locatieserver</x:v>
      </x:c>
      <x:c r="F112" s="57" t="str">
        <x:v>2026-08-15</x:v>
      </x:c>
      <x:c r="G112" s="14" t="str">
        <x:v>Exact postcode-matched address point: Albaweg 43, 7364CB Lieren.</x:v>
      </x:c>
    </x:row>
    <x:row r="113">
      <x:c r="A113" s="56" t="str">
        <x:v>NL-0056</x:v>
      </x:c>
      <x:c r="B113" s="57" t="str">
        <x:v>Golfbaan De Voortwisch — Main Course</x:v>
      </x:c>
      <x:c r="C113" s="57" t="str">
        <x:v>Course identity/specification</x:v>
      </x:c>
      <x:c r="D113" s="57" t="str">
        <x:v>https://www.golf.nl/de-baan-op/banenzoeker/overzicht</x:v>
      </x:c>
      <x:c r="E113" s="57" t="str">
        <x:v>Current national federation course register</x:v>
      </x:c>
      <x:c r="F113" s="57" t="str">
        <x:v>2026-08-15</x:v>
      </x:c>
      <x:c r="G113" s="14" t="str">
        <x:v>Current NGF/GOLF.NL listing: 18 holes, par 72, 5875 metres. Combined from exact NGF-listed constituent nine-hole loops: 1ste negen (9 holes, par 35, 2800 m); 2de negen (9 holes, par 37, 3075 m) Listed as qualifying.</x:v>
      </x:c>
    </x:row>
    <x:row r="114">
      <x:c r="A114" s="56" t="str">
        <x:v>NL-0056</x:v>
      </x:c>
      <x:c r="B114" s="57" t="str">
        <x:v>Golfbaan De Voortwisch — Main Course</x:v>
      </x:c>
      <x:c r="C114" s="57" t="str">
        <x:v>Coordinates/address</x:v>
      </x:c>
      <x:c r="D114" s="57" t="str">
        <x:v>https://api.pdok.nl/bzk/locatieserver/search/v3_1/free?q=Vredenseweg+150%2C+7113+AE+Winterswijk&amp;fq=type%3Aadres&amp;rows=10</x:v>
      </x:c>
      <x:c r="E114" s="57" t="str">
        <x:v>Dutch BAG address point via PDOK Locatieserver</x:v>
      </x:c>
      <x:c r="F114" s="57" t="str">
        <x:v>2026-08-15</x:v>
      </x:c>
      <x:c r="G114" s="14" t="str">
        <x:v>Exact postcode-matched address point: Vredenseweg 150, 7113AE Winterswijk Henxel.</x:v>
      </x:c>
    </x:row>
    <x:row r="115">
      <x:c r="A115" s="56" t="str">
        <x:v>NL-0057</x:v>
      </x:c>
      <x:c r="B115" s="57" t="str">
        <x:v>Golfbaan Engelenburg</x:v>
      </x:c>
      <x:c r="C115" s="57" t="str">
        <x:v>Course identity/specification</x:v>
      </x:c>
      <x:c r="D115" s="57" t="str">
        <x:v>https://www.golf.nl/de-baan-op/banenzoeker/overzicht</x:v>
      </x:c>
      <x:c r="E115" s="57" t="str">
        <x:v>Current national federation course register</x:v>
      </x:c>
      <x:c r="F115" s="57" t="str">
        <x:v>2026-08-15</x:v>
      </x:c>
      <x:c r="G115" s="14" t="str">
        <x:v>Current NGF/GOLF.NL listing: 9 holes, par 36, 2926 metres. Listed as qualifying.</x:v>
      </x:c>
    </x:row>
    <x:row r="116">
      <x:c r="A116" s="56" t="str">
        <x:v>NL-0057</x:v>
      </x:c>
      <x:c r="B116" s="57" t="str">
        <x:v>Golfbaan Engelenburg</x:v>
      </x:c>
      <x:c r="C116" s="57" t="str">
        <x:v>Coordinates/address</x:v>
      </x:c>
      <x:c r="D116" s="57" t="str">
        <x:v>https://api.pdok.nl/bzk/locatieserver/search/v3_1/free?q=Eerbeekseweg+6%2C+6971+LB+Brummen&amp;fq=type%3Aadres&amp;rows=10</x:v>
      </x:c>
      <x:c r="E116" s="57" t="str">
        <x:v>Dutch BAG address point via PDOK Locatieserver</x:v>
      </x:c>
      <x:c r="F116" s="57" t="str">
        <x:v>2026-08-15</x:v>
      </x:c>
      <x:c r="G116" s="14" t="str">
        <x:v>Exact postcode-matched address point: Eerbeekseweg 6, 6971LB Brummen.</x:v>
      </x:c>
    </x:row>
    <x:row r="117">
      <x:c r="A117" s="56" t="str">
        <x:v>NL-0058</x:v>
      </x:c>
      <x:c r="B117" s="57" t="str">
        <x:v>Golfbaan Het Rijk van Nijmegen — Groesbeekse baan Noord</x:v>
      </x:c>
      <x:c r="C117" s="57" t="str">
        <x:v>Course identity/specification</x:v>
      </x:c>
      <x:c r="D117" s="57" t="str">
        <x:v>https://www.golf.nl/de-baan-op/banenzoeker/overzicht</x:v>
      </x:c>
      <x:c r="E117" s="57" t="str">
        <x:v>Current national federation course register</x:v>
      </x:c>
      <x:c r="F117" s="57" t="str">
        <x:v>2026-08-15</x:v>
      </x:c>
      <x:c r="G117" s="14" t="str">
        <x:v>Current NGF/GOLF.NL listing: 9 holes, par 36, 2776 metres. Listed as qualifying.</x:v>
      </x:c>
    </x:row>
    <x:row r="118">
      <x:c r="A118" s="56" t="str">
        <x:v>NL-0058</x:v>
      </x:c>
      <x:c r="B118" s="57" t="str">
        <x:v>Golfbaan Het Rijk van Nijmegen — Groesbeekse baan Noord</x:v>
      </x:c>
      <x:c r="C118" s="57" t="str">
        <x:v>Coordinates/address</x:v>
      </x:c>
      <x:c r="D118" s="57" t="str">
        <x:v>https://api.pdok.nl/bzk/locatieserver/search/v3_1/free?q=Postweg+17%2C+6561+KJ+Groesbeek&amp;fq=type%3Aadres&amp;rows=10</x:v>
      </x:c>
      <x:c r="E118" s="57" t="str">
        <x:v>Dutch BAG address point via PDOK Locatieserver</x:v>
      </x:c>
      <x:c r="F118" s="57" t="str">
        <x:v>2026-08-15</x:v>
      </x:c>
      <x:c r="G118" s="14" t="str">
        <x:v>Exact postcode-matched address point: Postweg 17, 6561KJ Groesbeek.</x:v>
      </x:c>
    </x:row>
    <x:row r="119">
      <x:c r="A119" s="56" t="str">
        <x:v>NL-0059</x:v>
      </x:c>
      <x:c r="B119" s="57" t="str">
        <x:v>Golfbaan Het Rijk van Nijmegen — Groesbeekse baan Oost</x:v>
      </x:c>
      <x:c r="C119" s="57" t="str">
        <x:v>Course identity/specification</x:v>
      </x:c>
      <x:c r="D119" s="57" t="str">
        <x:v>https://www.golf.nl/de-baan-op/banenzoeker/overzicht</x:v>
      </x:c>
      <x:c r="E119" s="57" t="str">
        <x:v>Current national federation course register</x:v>
      </x:c>
      <x:c r="F119" s="57" t="str">
        <x:v>2026-08-15</x:v>
      </x:c>
      <x:c r="G119" s="14" t="str">
        <x:v>Current NGF/GOLF.NL listing: 9 holes, par 35, 2636 metres. Listed as qualifying.</x:v>
      </x:c>
    </x:row>
    <x:row r="120">
      <x:c r="A120" s="56" t="str">
        <x:v>NL-0059</x:v>
      </x:c>
      <x:c r="B120" s="57" t="str">
        <x:v>Golfbaan Het Rijk van Nijmegen — Groesbeekse baan Oost</x:v>
      </x:c>
      <x:c r="C120" s="57" t="str">
        <x:v>Coordinates/address</x:v>
      </x:c>
      <x:c r="D120" s="57" t="str">
        <x:v>https://api.pdok.nl/bzk/locatieserver/search/v3_1/free?q=Postweg+17%2C+6561+KJ+Groesbeek&amp;fq=type%3Aadres&amp;rows=10</x:v>
      </x:c>
      <x:c r="E120" s="57" t="str">
        <x:v>Dutch BAG address point via PDOK Locatieserver</x:v>
      </x:c>
      <x:c r="F120" s="57" t="str">
        <x:v>2026-08-15</x:v>
      </x:c>
      <x:c r="G120" s="14" t="str">
        <x:v>Exact postcode-matched address point: Postweg 17, 6561KJ Groesbeek.</x:v>
      </x:c>
    </x:row>
    <x:row r="121">
      <x:c r="A121" s="56" t="str">
        <x:v>NL-0060</x:v>
      </x:c>
      <x:c r="B121" s="57" t="str">
        <x:v>Golfbaan Het Rijk van Nijmegen — Groesbeekse baan Zuid</x:v>
      </x:c>
      <x:c r="C121" s="57" t="str">
        <x:v>Course identity/specification</x:v>
      </x:c>
      <x:c r="D121" s="57" t="str">
        <x:v>https://www.golf.nl/de-baan-op/banenzoeker/overzicht</x:v>
      </x:c>
      <x:c r="E121" s="57" t="str">
        <x:v>Current national federation course register</x:v>
      </x:c>
      <x:c r="F121" s="57" t="str">
        <x:v>2026-08-15</x:v>
      </x:c>
      <x:c r="G121" s="14" t="str">
        <x:v>Current NGF/GOLF.NL listing: 9 holes, par 36, 3104 metres. Listed as qualifying.</x:v>
      </x:c>
    </x:row>
    <x:row r="122">
      <x:c r="A122" s="56" t="str">
        <x:v>NL-0060</x:v>
      </x:c>
      <x:c r="B122" s="57" t="str">
        <x:v>Golfbaan Het Rijk van Nijmegen — Groesbeekse baan Zuid</x:v>
      </x:c>
      <x:c r="C122" s="57" t="str">
        <x:v>Coordinates/address</x:v>
      </x:c>
      <x:c r="D122" s="57" t="str">
        <x:v>https://api.pdok.nl/bzk/locatieserver/search/v3_1/free?q=Postweg+17%2C+6561+KJ+Groesbeek&amp;fq=type%3Aadres&amp;rows=10</x:v>
      </x:c>
      <x:c r="E122" s="57" t="str">
        <x:v>Dutch BAG address point via PDOK Locatieserver</x:v>
      </x:c>
      <x:c r="F122" s="57" t="str">
        <x:v>2026-08-15</x:v>
      </x:c>
      <x:c r="G122" s="14" t="str">
        <x:v>Exact postcode-matched address point: Postweg 17, 6561KJ Groesbeek.</x:v>
      </x:c>
    </x:row>
    <x:row r="123">
      <x:c r="A123" s="56" t="str">
        <x:v>NL-0061</x:v>
      </x:c>
      <x:c r="B123" s="57" t="str">
        <x:v>Golfbaan Het Rijk van Nijmegen — Nijmeegse baan</x:v>
      </x:c>
      <x:c r="C123" s="57" t="str">
        <x:v>Course identity/specification</x:v>
      </x:c>
      <x:c r="D123" s="57" t="str">
        <x:v>https://www.golf.nl/de-baan-op/banenzoeker/overzicht</x:v>
      </x:c>
      <x:c r="E123" s="57" t="str">
        <x:v>Current national federation course register</x:v>
      </x:c>
      <x:c r="F123" s="57" t="str">
        <x:v>2026-08-15</x:v>
      </x:c>
      <x:c r="G123" s="14" t="str">
        <x:v>Current NGF/GOLF.NL listing: 18 holes, par 72, 6037 metres. Combined from exact NGF-listed constituent nine-hole loops: Nijmeegse baan 1ste negen (9 holes, par 36, 3046 m); Nijmeegse baan 2de negen (9 holes, par 36, 2991 m) Listed as qualifying.</x:v>
      </x:c>
    </x:row>
    <x:row r="124">
      <x:c r="A124" s="56" t="str">
        <x:v>NL-0061</x:v>
      </x:c>
      <x:c r="B124" s="57" t="str">
        <x:v>Golfbaan Het Rijk van Nijmegen — Nijmeegse baan</x:v>
      </x:c>
      <x:c r="C124" s="57" t="str">
        <x:v>Coordinates/address</x:v>
      </x:c>
      <x:c r="D124" s="57" t="str">
        <x:v>https://api.pdok.nl/bzk/locatieserver/search/v3_1/free?q=Postweg+17%2C+6561+KJ+Groesbeek&amp;fq=type%3Aadres&amp;rows=10</x:v>
      </x:c>
      <x:c r="E124" s="57" t="str">
        <x:v>Dutch BAG address point via PDOK Locatieserver</x:v>
      </x:c>
      <x:c r="F124" s="57" t="str">
        <x:v>2026-08-15</x:v>
      </x:c>
      <x:c r="G124" s="14" t="str">
        <x:v>Exact postcode-matched address point: Postweg 17, 6561KJ Groesbeek.</x:v>
      </x:c>
    </x:row>
    <x:row r="125">
      <x:c r="A125" s="56" t="str">
        <x:v>NL-0062</x:v>
      </x:c>
      <x:c r="B125" s="57" t="str">
        <x:v>Golfbaan Het Rijk van Nunspeet — Noord</x:v>
      </x:c>
      <x:c r="C125" s="57" t="str">
        <x:v>Course identity/specification</x:v>
      </x:c>
      <x:c r="D125" s="57" t="str">
        <x:v>https://www.golf.nl/de-baan-op/banenzoeker/overzicht</x:v>
      </x:c>
      <x:c r="E125" s="57" t="str">
        <x:v>Current national federation course register</x:v>
      </x:c>
      <x:c r="F125" s="57" t="str">
        <x:v>2026-08-15</x:v>
      </x:c>
      <x:c r="G125" s="14" t="str">
        <x:v>Current NGF/GOLF.NL listing: 9 holes, par 36, 3033 metres. Listed as qualifying.</x:v>
      </x:c>
    </x:row>
    <x:row r="126">
      <x:c r="A126" s="56" t="str">
        <x:v>NL-0062</x:v>
      </x:c>
      <x:c r="B126" s="57" t="str">
        <x:v>Golfbaan Het Rijk van Nunspeet — Noord</x:v>
      </x:c>
      <x:c r="C126" s="57" t="str">
        <x:v>Coordinates/address</x:v>
      </x:c>
      <x:c r="D126" s="57" t="str">
        <x:v>https://api.pdok.nl/bzk/locatieserver/search/v3_1/free?q=Plesmanlaan+30%2C+8072+PT+Nunspeet&amp;fq=type%3Aadres&amp;rows=10</x:v>
      </x:c>
      <x:c r="E126" s="57" t="str">
        <x:v>Dutch BAG address point via PDOK Locatieserver</x:v>
      </x:c>
      <x:c r="F126" s="57" t="str">
        <x:v>2026-08-15</x:v>
      </x:c>
      <x:c r="G126" s="14" t="str">
        <x:v>Exact postcode-matched address point: Plesmanlaan 30, 8072PT Nunspeet.</x:v>
      </x:c>
    </x:row>
    <x:row r="127">
      <x:c r="A127" s="56" t="str">
        <x:v>NL-0063</x:v>
      </x:c>
      <x:c r="B127" s="57" t="str">
        <x:v>Golfbaan Het Rijk van Nunspeet — Oost</x:v>
      </x:c>
      <x:c r="C127" s="57" t="str">
        <x:v>Course identity/specification</x:v>
      </x:c>
      <x:c r="D127" s="57" t="str">
        <x:v>https://www.golf.nl/de-baan-op/banenzoeker/overzicht</x:v>
      </x:c>
      <x:c r="E127" s="57" t="str">
        <x:v>Current national federation course register</x:v>
      </x:c>
      <x:c r="F127" s="57" t="str">
        <x:v>2026-08-15</x:v>
      </x:c>
      <x:c r="G127" s="14" t="str">
        <x:v>Current NGF/GOLF.NL listing: 9 holes, par 36, 2979 metres. Listed as qualifying.</x:v>
      </x:c>
    </x:row>
    <x:row r="128">
      <x:c r="A128" s="56" t="str">
        <x:v>NL-0063</x:v>
      </x:c>
      <x:c r="B128" s="57" t="str">
        <x:v>Golfbaan Het Rijk van Nunspeet — Oost</x:v>
      </x:c>
      <x:c r="C128" s="57" t="str">
        <x:v>Coordinates/address</x:v>
      </x:c>
      <x:c r="D128" s="57" t="str">
        <x:v>https://api.pdok.nl/bzk/locatieserver/search/v3_1/free?q=Plesmanlaan+30%2C+8072+PT+Nunspeet&amp;fq=type%3Aadres&amp;rows=10</x:v>
      </x:c>
      <x:c r="E128" s="57" t="str">
        <x:v>Dutch BAG address point via PDOK Locatieserver</x:v>
      </x:c>
      <x:c r="F128" s="57" t="str">
        <x:v>2026-08-15</x:v>
      </x:c>
      <x:c r="G128" s="14" t="str">
        <x:v>Exact postcode-matched address point: Plesmanlaan 30, 8072PT Nunspeet.</x:v>
      </x:c>
    </x:row>
    <x:row r="129">
      <x:c r="A129" s="56" t="str">
        <x:v>NL-0064</x:v>
      </x:c>
      <x:c r="B129" s="57" t="str">
        <x:v>Golfbaan Het Rijk van Nunspeet — Zuid</x:v>
      </x:c>
      <x:c r="C129" s="57" t="str">
        <x:v>Course identity/specification</x:v>
      </x:c>
      <x:c r="D129" s="57" t="str">
        <x:v>https://www.golf.nl/de-baan-op/banenzoeker/overzicht</x:v>
      </x:c>
      <x:c r="E129" s="57" t="str">
        <x:v>Current national federation course register</x:v>
      </x:c>
      <x:c r="F129" s="57" t="str">
        <x:v>2026-08-15</x:v>
      </x:c>
      <x:c r="G129" s="14" t="str">
        <x:v>Current NGF/GOLF.NL listing: 9 holes, par 36, 2969 metres. Listed as qualifying.</x:v>
      </x:c>
    </x:row>
    <x:row r="130">
      <x:c r="A130" s="56" t="str">
        <x:v>NL-0064</x:v>
      </x:c>
      <x:c r="B130" s="57" t="str">
        <x:v>Golfbaan Het Rijk van Nunspeet — Zuid</x:v>
      </x:c>
      <x:c r="C130" s="57" t="str">
        <x:v>Coordinates/address</x:v>
      </x:c>
      <x:c r="D130" s="57" t="str">
        <x:v>https://api.pdok.nl/bzk/locatieserver/search/v3_1/free?q=Plesmanlaan+30%2C+8072+PT+Nunspeet&amp;fq=type%3Aadres&amp;rows=10</x:v>
      </x:c>
      <x:c r="E130" s="57" t="str">
        <x:v>Dutch BAG address point via PDOK Locatieserver</x:v>
      </x:c>
      <x:c r="F130" s="57" t="str">
        <x:v>2026-08-15</x:v>
      </x:c>
      <x:c r="G130" s="14" t="str">
        <x:v>Exact postcode-matched address point: Plesmanlaan 30, 8072PT Nunspeet.</x:v>
      </x:c>
    </x:row>
    <x:row r="131">
      <x:c r="A131" s="56" t="str">
        <x:v>NL-0065</x:v>
      </x:c>
      <x:c r="B131" s="57" t="str">
        <x:v>Golfbaan Landgoed Welderen — Main Course</x:v>
      </x:c>
      <x:c r="C131" s="57" t="str">
        <x:v>Course identity/specification</x:v>
      </x:c>
      <x:c r="D131" s="57" t="str">
        <x:v>https://www.golf.nl/de-baan-op/banenzoeker/overzicht</x:v>
      </x:c>
      <x:c r="E131" s="57" t="str">
        <x:v>Current national federation course register</x:v>
      </x:c>
      <x:c r="F131" s="57" t="str">
        <x:v>2026-08-15</x:v>
      </x:c>
      <x:c r="G131" s="14" t="str">
        <x:v>Current NGF/GOLF.NL listing: 18 holes, par 72, 6141 metres. Combined from exact NGF-listed constituent nine-hole loops: 1ste negen (9 holes, par 36, 3010 m); 2de negen (9 holes, par 36, 3131 m) Listed as qualifying.</x:v>
      </x:c>
    </x:row>
    <x:row r="132">
      <x:c r="A132" s="56" t="str">
        <x:v>NL-0065</x:v>
      </x:c>
      <x:c r="B132" s="57" t="str">
        <x:v>Golfbaan Landgoed Welderen — Main Course</x:v>
      </x:c>
      <x:c r="C132" s="57" t="str">
        <x:v>Coordinates/address</x:v>
      </x:c>
      <x:c r="D132" s="57" t="str">
        <x:v>https://api.pdok.nl/bzk/locatieserver/search/v3_1/free?q=Grote+Molenstraat+173%2C+6661+NH+Elst&amp;fq=type%3Aadres&amp;rows=10</x:v>
      </x:c>
      <x:c r="E132" s="57" t="str">
        <x:v>Dutch BAG address point via PDOK Locatieserver</x:v>
      </x:c>
      <x:c r="F132" s="57" t="str">
        <x:v>2026-08-15</x:v>
      </x:c>
      <x:c r="G132" s="14" t="str">
        <x:v>Exact postcode-matched address point: Grote Molenstraat 173a, 6661NH Elst.</x:v>
      </x:c>
    </x:row>
    <x:row r="133">
      <x:c r="A133" s="56" t="str">
        <x:v>NL-0066</x:v>
      </x:c>
      <x:c r="B133" s="57" t="str">
        <x:v>Golfbaan Landgoed Welderen — Par 3-4 baan</x:v>
      </x:c>
      <x:c r="C133" s="57" t="str">
        <x:v>Course identity/specification</x:v>
      </x:c>
      <x:c r="D133" s="57" t="str">
        <x:v>https://www.golf.nl/de-baan-op/banenzoeker/overzicht</x:v>
      </x:c>
      <x:c r="E133" s="57" t="str">
        <x:v>Current national federation course register</x:v>
      </x:c>
      <x:c r="F133" s="57" t="str">
        <x:v>2026-08-15</x:v>
      </x:c>
      <x:c r="G133" s="14" t="str">
        <x:v>Current NGF/GOLF.NL listing: 9 holes, par 29, 1217 metres. Listed as qualifying.</x:v>
      </x:c>
    </x:row>
    <x:row r="134">
      <x:c r="A134" s="56" t="str">
        <x:v>NL-0066</x:v>
      </x:c>
      <x:c r="B134" s="57" t="str">
        <x:v>Golfbaan Landgoed Welderen — Par 3-4 baan</x:v>
      </x:c>
      <x:c r="C134" s="57" t="str">
        <x:v>Coordinates/address</x:v>
      </x:c>
      <x:c r="D134" s="57" t="str">
        <x:v>https://api.pdok.nl/bzk/locatieserver/search/v3_1/free?q=Grote+Molenstraat+173%2C+6661+NH+Elst&amp;fq=type%3Aadres&amp;rows=10</x:v>
      </x:c>
      <x:c r="E134" s="57" t="str">
        <x:v>Dutch BAG address point via PDOK Locatieserver</x:v>
      </x:c>
      <x:c r="F134" s="57" t="str">
        <x:v>2026-08-15</x:v>
      </x:c>
      <x:c r="G134" s="14" t="str">
        <x:v>Exact postcode-matched address point: Grote Molenstraat 173a, 6661NH Elst.</x:v>
      </x:c>
    </x:row>
    <x:row r="135">
      <x:c r="A135" s="56" t="str">
        <x:v>NL-0067</x:v>
      </x:c>
      <x:c r="B135" s="57" t="str">
        <x:v>Golfcentrum De Batouwe — Appel</x:v>
      </x:c>
      <x:c r="C135" s="57" t="str">
        <x:v>Course identity/specification</x:v>
      </x:c>
      <x:c r="D135" s="57" t="str">
        <x:v>https://www.golf.nl/de-baan-op/banenzoeker/overzicht</x:v>
      </x:c>
      <x:c r="E135" s="57" t="str">
        <x:v>Current national federation course register</x:v>
      </x:c>
      <x:c r="F135" s="57" t="str">
        <x:v>2026-08-15</x:v>
      </x:c>
      <x:c r="G135" s="14" t="str">
        <x:v>Current NGF/GOLF.NL listing: 9 holes, par 35, 2802 metres. Listed as qualifying.</x:v>
      </x:c>
    </x:row>
    <x:row r="136">
      <x:c r="A136" s="56" t="str">
        <x:v>NL-0067</x:v>
      </x:c>
      <x:c r="B136" s="57" t="str">
        <x:v>Golfcentrum De Batouwe — Appel</x:v>
      </x:c>
      <x:c r="C136" s="57" t="str">
        <x:v>Coordinates/address</x:v>
      </x:c>
      <x:c r="D136" s="57" t="str">
        <x:v>https://api.pdok.nl/bzk/locatieserver/search/v3_1/free?q=Oost+Kanaalweg+1%2C+4011+LA+Zoelen&amp;fq=type%3Aadres&amp;rows=10</x:v>
      </x:c>
      <x:c r="E136" s="57" t="str">
        <x:v>Dutch BAG address point via PDOK Locatieserver</x:v>
      </x:c>
      <x:c r="F136" s="57" t="str">
        <x:v>2026-08-15</x:v>
      </x:c>
      <x:c r="G136" s="14" t="str">
        <x:v>Exact postcode-matched address point: Oost Kanaalweg 1, 4011LA Zoelen.</x:v>
      </x:c>
    </x:row>
    <x:row r="137">
      <x:c r="A137" s="56" t="str">
        <x:v>NL-0068</x:v>
      </x:c>
      <x:c r="B137" s="57" t="str">
        <x:v>Golfcentrum De Batouwe — Kers</x:v>
      </x:c>
      <x:c r="C137" s="57" t="str">
        <x:v>Course identity/specification</x:v>
      </x:c>
      <x:c r="D137" s="57" t="str">
        <x:v>https://www.golf.nl/de-baan-op/banenzoeker/overzicht</x:v>
      </x:c>
      <x:c r="E137" s="57" t="str">
        <x:v>Current national federation course register</x:v>
      </x:c>
      <x:c r="F137" s="57" t="str">
        <x:v>2026-08-15</x:v>
      </x:c>
      <x:c r="G137" s="14" t="str">
        <x:v>Current NGF/GOLF.NL listing: 9 holes, par 36, 2810 metres. Listed as qualifying.</x:v>
      </x:c>
    </x:row>
    <x:row r="138">
      <x:c r="A138" s="56" t="str">
        <x:v>NL-0068</x:v>
      </x:c>
      <x:c r="B138" s="57" t="str">
        <x:v>Golfcentrum De Batouwe — Kers</x:v>
      </x:c>
      <x:c r="C138" s="57" t="str">
        <x:v>Coordinates/address</x:v>
      </x:c>
      <x:c r="D138" s="57" t="str">
        <x:v>https://api.pdok.nl/bzk/locatieserver/search/v3_1/free?q=Oost+Kanaalweg+1%2C+4011+LA+Zoelen&amp;fq=type%3Aadres&amp;rows=10</x:v>
      </x:c>
      <x:c r="E138" s="57" t="str">
        <x:v>Dutch BAG address point via PDOK Locatieserver</x:v>
      </x:c>
      <x:c r="F138" s="57" t="str">
        <x:v>2026-08-15</x:v>
      </x:c>
      <x:c r="G138" s="14" t="str">
        <x:v>Exact postcode-matched address point: Oost Kanaalweg 1, 4011LA Zoelen.</x:v>
      </x:c>
    </x:row>
    <x:row r="139">
      <x:c r="A139" s="56" t="str">
        <x:v>NL-0069</x:v>
      </x:c>
      <x:c r="B139" s="57" t="str">
        <x:v>Golfcentrum De Batouwe — Peer</x:v>
      </x:c>
      <x:c r="C139" s="57" t="str">
        <x:v>Course identity/specification</x:v>
      </x:c>
      <x:c r="D139" s="57" t="str">
        <x:v>https://www.golf.nl/de-baan-op/banenzoeker/overzicht</x:v>
      </x:c>
      <x:c r="E139" s="57" t="str">
        <x:v>Current national federation course register</x:v>
      </x:c>
      <x:c r="F139" s="57" t="str">
        <x:v>2026-08-15</x:v>
      </x:c>
      <x:c r="G139" s="14" t="str">
        <x:v>Current NGF/GOLF.NL listing: 9 holes, par 36, 2978 metres. Listed as qualifying.</x:v>
      </x:c>
    </x:row>
    <x:row r="140">
      <x:c r="A140" s="56" t="str">
        <x:v>NL-0069</x:v>
      </x:c>
      <x:c r="B140" s="57" t="str">
        <x:v>Golfcentrum De Batouwe — Peer</x:v>
      </x:c>
      <x:c r="C140" s="57" t="str">
        <x:v>Coordinates/address</x:v>
      </x:c>
      <x:c r="D140" s="57" t="str">
        <x:v>https://api.pdok.nl/bzk/locatieserver/search/v3_1/free?q=Oost+Kanaalweg+1%2C+4011+LA+Zoelen&amp;fq=type%3Aadres&amp;rows=10</x:v>
      </x:c>
      <x:c r="E140" s="57" t="str">
        <x:v>Dutch BAG address point via PDOK Locatieserver</x:v>
      </x:c>
      <x:c r="F140" s="57" t="str">
        <x:v>2026-08-15</x:v>
      </x:c>
      <x:c r="G140" s="14" t="str">
        <x:v>Exact postcode-matched address point: Oost Kanaalweg 1, 4011LA Zoelen.</x:v>
      </x:c>
    </x:row>
    <x:row r="141">
      <x:c r="A141" s="56" t="str">
        <x:v>NL-0070</x:v>
      </x:c>
      <x:c r="B141" s="57" t="str">
        <x:v>Golfclub 't Lohr — Par-3 Course</x:v>
      </x:c>
      <x:c r="C141" s="57" t="str">
        <x:v>Course identity/specification</x:v>
      </x:c>
      <x:c r="D141" s="57" t="str">
        <x:v>https://www.golf.nl/de-baan-op/banenzoeker/overzicht</x:v>
      </x:c>
      <x:c r="E141" s="57" t="str">
        <x:v>Current national federation course register</x:v>
      </x:c>
      <x:c r="F141" s="57" t="str">
        <x:v>2026-08-15</x:v>
      </x:c>
      <x:c r="G141" s="14" t="str">
        <x:v>Current NGF/GOLF.NL listing: 9 holes, par 27, 717 metres. Listed as qualifying.</x:v>
      </x:c>
    </x:row>
    <x:row r="142">
      <x:c r="A142" s="56" t="str">
        <x:v>NL-0070</x:v>
      </x:c>
      <x:c r="B142" s="57" t="str">
        <x:v>Golfclub 't Lohr — Par-3 Course</x:v>
      </x:c>
      <x:c r="C142" s="57" t="str">
        <x:v>Coordinates/address</x:v>
      </x:c>
      <x:c r="D142" s="57" t="str">
        <x:v>https://api.pdok.nl/bzk/locatieserver/search/v3_1/free?q=Lohrpad+2%2C+7083+AX+Voorst&amp;fq=type%3Aadres&amp;rows=10</x:v>
      </x:c>
      <x:c r="E142" s="57" t="str">
        <x:v>Dutch BAG address point via PDOK Locatieserver</x:v>
      </x:c>
      <x:c r="F142" s="57" t="str">
        <x:v>2026-08-15</x:v>
      </x:c>
      <x:c r="G142" s="14" t="str">
        <x:v>Exact postcode-matched address point: Lohrpad 2, 7083AX Voorst.</x:v>
      </x:c>
    </x:row>
    <x:row r="143">
      <x:c r="A143" s="56" t="str">
        <x:v>NL-0071</x:v>
      </x:c>
      <x:c r="B143" s="57" t="str">
        <x:v>Golfclub 't Lohr — Shortgolf / Pitch &amp; Putt Course</x:v>
      </x:c>
      <x:c r="C143" s="57" t="str">
        <x:v>Course identity/specification</x:v>
      </x:c>
      <x:c r="D143" s="57" t="str">
        <x:v>https://www.golf.nl/de-baan-op/banenzoeker/overzicht</x:v>
      </x:c>
      <x:c r="E143" s="57" t="str">
        <x:v>Current national federation course register</x:v>
      </x:c>
      <x:c r="F143" s="57" t="str">
        <x:v>2026-08-15</x:v>
      </x:c>
      <x:c r="G143" s="14" t="str">
        <x:v>Current NGF/GOLF.NL listing: 18 holes, par 54, 946 metres. Combined from exact NGF-listed constituent nine-hole loops: 1ste negen (9 holes, par 27, 411 m); 2de negen (9 holes, par 27, 535 m) Listed as non-qualifying.</x:v>
      </x:c>
    </x:row>
    <x:row r="144">
      <x:c r="A144" s="56" t="str">
        <x:v>NL-0071</x:v>
      </x:c>
      <x:c r="B144" s="57" t="str">
        <x:v>Golfclub 't Lohr — Shortgolf / Pitch &amp; Putt Course</x:v>
      </x:c>
      <x:c r="C144" s="57" t="str">
        <x:v>Coordinates/address</x:v>
      </x:c>
      <x:c r="D144" s="57" t="str">
        <x:v>https://api.pdok.nl/bzk/locatieserver/search/v3_1/free?q=Lohrpad+2%2C+7083+AX+Voorst&amp;fq=type%3Aadres&amp;rows=10</x:v>
      </x:c>
      <x:c r="E144" s="57" t="str">
        <x:v>Dutch BAG address point via PDOK Locatieserver</x:v>
      </x:c>
      <x:c r="F144" s="57" t="str">
        <x:v>2026-08-15</x:v>
      </x:c>
      <x:c r="G144" s="14" t="str">
        <x:v>Exact postcode-matched address point: Lohrpad 2, 7083AX Voorst.</x:v>
      </x:c>
    </x:row>
    <x:row r="145">
      <x:c r="A145" s="56" t="str">
        <x:v>NL-0072</x:v>
      </x:c>
      <x:c r="B145" s="57" t="str">
        <x:v>Golfclub 't Zelle — Bosrijk</x:v>
      </x:c>
      <x:c r="C145" s="57" t="str">
        <x:v>Course identity/specification</x:v>
      </x:c>
      <x:c r="D145" s="57" t="str">
        <x:v>https://www.golf.nl/de-baan-op/banenzoeker/overzicht</x:v>
      </x:c>
      <x:c r="E145" s="57" t="str">
        <x:v>Current national federation course register</x:v>
      </x:c>
      <x:c r="F145" s="57" t="str">
        <x:v>2026-08-15</x:v>
      </x:c>
      <x:c r="G145" s="14" t="str">
        <x:v>Current NGF/GOLF.NL listing: 9 holes, par 36, 3002 metres. Listed as qualifying.</x:v>
      </x:c>
    </x:row>
    <x:row r="146">
      <x:c r="A146" s="56" t="str">
        <x:v>NL-0072</x:v>
      </x:c>
      <x:c r="B146" s="57" t="str">
        <x:v>Golfclub 't Zelle — Bosrijk</x:v>
      </x:c>
      <x:c r="C146" s="57" t="str">
        <x:v>Coordinates/address</x:v>
      </x:c>
      <x:c r="D146" s="57" t="str">
        <x:v>https://api.pdok.nl/bzk/locatieserver/search/v3_1/free?q=Varsselseweg+45%2C+7255+NR+Hengelo&amp;fq=type%3Aadres&amp;rows=10</x:v>
      </x:c>
      <x:c r="E146" s="57" t="str">
        <x:v>Dutch BAG address point via PDOK Locatieserver</x:v>
      </x:c>
      <x:c r="F146" s="57" t="str">
        <x:v>2026-08-15</x:v>
      </x:c>
      <x:c r="G146" s="14" t="str">
        <x:v>Exact postcode-matched address point: Varsselseweg 45A, 7255NR Hengelo (Gld).</x:v>
      </x:c>
    </x:row>
    <x:row r="147">
      <x:c r="A147" s="56" t="str">
        <x:v>NL-0073</x:v>
      </x:c>
      <x:c r="B147" s="57" t="str">
        <x:v>Golfclub 't Zelle — Veldrijk</x:v>
      </x:c>
      <x:c r="C147" s="57" t="str">
        <x:v>Course identity/specification</x:v>
      </x:c>
      <x:c r="D147" s="57" t="str">
        <x:v>https://www.golf.nl/de-baan-op/banenzoeker/overzicht</x:v>
      </x:c>
      <x:c r="E147" s="57" t="str">
        <x:v>Current national federation course register</x:v>
      </x:c>
      <x:c r="F147" s="57" t="str">
        <x:v>2026-08-15</x:v>
      </x:c>
      <x:c r="G147" s="14" t="str">
        <x:v>Current NGF/GOLF.NL listing: 9 holes, par 27, 854 metres. Listed as qualifying.</x:v>
      </x:c>
    </x:row>
    <x:row r="148">
      <x:c r="A148" s="56" t="str">
        <x:v>NL-0073</x:v>
      </x:c>
      <x:c r="B148" s="57" t="str">
        <x:v>Golfclub 't Zelle — Veldrijk</x:v>
      </x:c>
      <x:c r="C148" s="57" t="str">
        <x:v>Coordinates/address</x:v>
      </x:c>
      <x:c r="D148" s="57" t="str">
        <x:v>https://api.pdok.nl/bzk/locatieserver/search/v3_1/free?q=Varsselseweg+45%2C+7255+NR+Hengelo&amp;fq=type%3Aadres&amp;rows=10</x:v>
      </x:c>
      <x:c r="E148" s="57" t="str">
        <x:v>Dutch BAG address point via PDOK Locatieserver</x:v>
      </x:c>
      <x:c r="F148" s="57" t="str">
        <x:v>2026-08-15</x:v>
      </x:c>
      <x:c r="G148" s="14" t="str">
        <x:v>Exact postcode-matched address point: Varsselseweg 45A, 7255NR Hengelo (Gld).</x:v>
      </x:c>
    </x:row>
    <x:row r="149">
      <x:c r="A149" s="56" t="str">
        <x:v>NL-0074</x:v>
      </x:c>
      <x:c r="B149" s="57" t="str">
        <x:v>Golfclub 't Zelle — Waterrijk</x:v>
      </x:c>
      <x:c r="C149" s="57" t="str">
        <x:v>Course identity/specification</x:v>
      </x:c>
      <x:c r="D149" s="57" t="str">
        <x:v>https://www.golf.nl/de-baan-op/banenzoeker/overzicht</x:v>
      </x:c>
      <x:c r="E149" s="57" t="str">
        <x:v>Current national federation course register</x:v>
      </x:c>
      <x:c r="F149" s="57" t="str">
        <x:v>2026-08-15</x:v>
      </x:c>
      <x:c r="G149" s="14" t="str">
        <x:v>Current NGF/GOLF.NL listing: 9 holes, par 37, 3026 metres. Listed as qualifying.</x:v>
      </x:c>
    </x:row>
    <x:row r="150">
      <x:c r="A150" s="56" t="str">
        <x:v>NL-0074</x:v>
      </x:c>
      <x:c r="B150" s="57" t="str">
        <x:v>Golfclub 't Zelle — Waterrijk</x:v>
      </x:c>
      <x:c r="C150" s="57" t="str">
        <x:v>Coordinates/address</x:v>
      </x:c>
      <x:c r="D150" s="57" t="str">
        <x:v>https://api.pdok.nl/bzk/locatieserver/search/v3_1/free?q=Varsselseweg+45%2C+7255+NR+Hengelo&amp;fq=type%3Aadres&amp;rows=10</x:v>
      </x:c>
      <x:c r="E150" s="57" t="str">
        <x:v>Dutch BAG address point via PDOK Locatieserver</x:v>
      </x:c>
      <x:c r="F150" s="57" t="str">
        <x:v>2026-08-15</x:v>
      </x:c>
      <x:c r="G150" s="14" t="str">
        <x:v>Exact postcode-matched address point: Varsselseweg 45A, 7255NR Hengelo (Gld).</x:v>
      </x:c>
    </x:row>
    <x:row r="151">
      <x:c r="A151" s="56" t="str">
        <x:v>NL-0075</x:v>
      </x:c>
      <x:c r="B151" s="57" t="str">
        <x:v>Golfclub De Dorpswaard</x:v>
      </x:c>
      <x:c r="C151" s="57" t="str">
        <x:v>Course identity/specification</x:v>
      </x:c>
      <x:c r="D151" s="57" t="str">
        <x:v>https://www.golf.nl/de-baan-op/banenzoeker/overzicht</x:v>
      </x:c>
      <x:c r="E151" s="57" t="str">
        <x:v>Current national federation course register</x:v>
      </x:c>
      <x:c r="F151" s="57" t="str">
        <x:v>2026-08-15</x:v>
      </x:c>
      <x:c r="G151" s="14" t="str">
        <x:v>Current NGF/GOLF.NL listing: 9 holes, par 37, 3014 metres. Listed as qualifying.</x:v>
      </x:c>
    </x:row>
    <x:row r="152">
      <x:c r="A152" s="56" t="str">
        <x:v>NL-0075</x:v>
      </x:c>
      <x:c r="B152" s="57" t="str">
        <x:v>Golfclub De Dorpswaard</x:v>
      </x:c>
      <x:c r="C152" s="57" t="str">
        <x:v>Coordinates/address</x:v>
      </x:c>
      <x:c r="D152" s="57" t="str">
        <x:v>https://api.pdok.nl/bzk/locatieserver/search/v3_1/free?q=Piekenwaardweg+3%2C+5331+PD+Kerkdriel&amp;fq=type%3Aadres&amp;rows=10</x:v>
      </x:c>
      <x:c r="E152" s="57" t="str">
        <x:v>Dutch BAG address point via PDOK Locatieserver</x:v>
      </x:c>
      <x:c r="F152" s="57" t="str">
        <x:v>2026-08-15</x:v>
      </x:c>
      <x:c r="G152" s="14" t="str">
        <x:v>Exact postcode-matched address point: Piekenwaardweg 3, 5331PD Kerkdriel.</x:v>
      </x:c>
    </x:row>
    <x:row r="153">
      <x:c r="A153" s="56" t="str">
        <x:v>NL-0076</x:v>
      </x:c>
      <x:c r="B153" s="57" t="str">
        <x:v>Golfclub Putten</x:v>
      </x:c>
      <x:c r="C153" s="57" t="str">
        <x:v>Course identity/specification</x:v>
      </x:c>
      <x:c r="D153" s="57" t="str">
        <x:v>https://www.golf.nl/de-baan-op/banenzoeker/overzicht</x:v>
      </x:c>
      <x:c r="E153" s="57" t="str">
        <x:v>Current national federation course register</x:v>
      </x:c>
      <x:c r="F153" s="57" t="str">
        <x:v>2026-08-15</x:v>
      </x:c>
      <x:c r="G153" s="14" t="str">
        <x:v>Current NGF/GOLF.NL listing: 9 holes, par 32, 1800 metres. Listed as qualifying.</x:v>
      </x:c>
    </x:row>
    <x:row r="154">
      <x:c r="A154" s="56" t="str">
        <x:v>NL-0076</x:v>
      </x:c>
      <x:c r="B154" s="57" t="str">
        <x:v>Golfclub Putten</x:v>
      </x:c>
      <x:c r="C154" s="57" t="str">
        <x:v>Coordinates/address</x:v>
      </x:c>
      <x:c r="D154" s="57" t="str">
        <x:v>https://api.pdok.nl/bzk/locatieserver/search/v3_1/free?q=Nijkerkerstraat+99-a%2C+3882+PE+Putten&amp;fq=type%3Aadres&amp;rows=10</x:v>
      </x:c>
      <x:c r="E154" s="57" t="str">
        <x:v>Dutch BAG address point via PDOK Locatieserver</x:v>
      </x:c>
      <x:c r="F154" s="57" t="str">
        <x:v>2026-08-15</x:v>
      </x:c>
      <x:c r="G154" s="14" t="str">
        <x:v>Exact postcode-matched address point: Nijkerkerstraat 99A, 3882PE Putten.</x:v>
      </x:c>
    </x:row>
    <x:row r="155">
      <x:c r="A155" s="56" t="str">
        <x:v>NL-0077</x:v>
      </x:c>
      <x:c r="B155" s="57" t="str">
        <x:v>Golflub Heelsum — Airborne</x:v>
      </x:c>
      <x:c r="C155" s="57" t="str">
        <x:v>Course identity/specification</x:v>
      </x:c>
      <x:c r="D155" s="57" t="str">
        <x:v>https://www.golf.nl/de-baan-op/banenzoeker/overzicht</x:v>
      </x:c>
      <x:c r="E155" s="57" t="str">
        <x:v>Current national federation course register</x:v>
      </x:c>
      <x:c r="F155" s="57" t="str">
        <x:v>2026-08-15</x:v>
      </x:c>
      <x:c r="G155" s="14" t="str">
        <x:v>Current NGF/GOLF.NL listing: 9 holes, par 36, 3189 metres. Listed as qualifying.</x:v>
      </x:c>
    </x:row>
    <x:row r="156">
      <x:c r="A156" s="56" t="str">
        <x:v>NL-0077</x:v>
      </x:c>
      <x:c r="B156" s="57" t="str">
        <x:v>Golflub Heelsum — Airborne</x:v>
      </x:c>
      <x:c r="C156" s="57" t="str">
        <x:v>Coordinates/address</x:v>
      </x:c>
      <x:c r="D156" s="57" t="str">
        <x:v>https://api.pdok.nl/bzk/locatieserver/search/v3_1/free?q=Ginkelseweg+14%2C+6866+DZ+Heelsum&amp;fq=type%3Aadres&amp;rows=10</x:v>
      </x:c>
      <x:c r="E156" s="57" t="str">
        <x:v>Dutch BAG address point via PDOK Locatieserver</x:v>
      </x:c>
      <x:c r="F156" s="57" t="str">
        <x:v>2026-08-15</x:v>
      </x:c>
      <x:c r="G156" s="14" t="str">
        <x:v>Exact postcode-matched address point: Ginkelseweg 14, 6866DZ Heelsum.</x:v>
      </x:c>
    </x:row>
    <x:row r="157">
      <x:c r="A157" s="56" t="str">
        <x:v>NL-0078</x:v>
      </x:c>
      <x:c r="B157" s="57" t="str">
        <x:v>Golflub Heelsum — Helsum</x:v>
      </x:c>
      <x:c r="C157" s="57" t="str">
        <x:v>Course identity/specification</x:v>
      </x:c>
      <x:c r="D157" s="57" t="str">
        <x:v>https://www.golf.nl/de-baan-op/banenzoeker/overzicht</x:v>
      </x:c>
      <x:c r="E157" s="57" t="str">
        <x:v>Current national federation course register</x:v>
      </x:c>
      <x:c r="F157" s="57" t="str">
        <x:v>2026-08-15</x:v>
      </x:c>
      <x:c r="G157" s="14" t="str">
        <x:v>Current NGF/GOLF.NL listing: 9 holes, par 35, 2819 metres. Listed as qualifying.</x:v>
      </x:c>
    </x:row>
    <x:row r="158">
      <x:c r="A158" s="56" t="str">
        <x:v>NL-0078</x:v>
      </x:c>
      <x:c r="B158" s="57" t="str">
        <x:v>Golflub Heelsum — Helsum</x:v>
      </x:c>
      <x:c r="C158" s="57" t="str">
        <x:v>Coordinates/address</x:v>
      </x:c>
      <x:c r="D158" s="57" t="str">
        <x:v>https://api.pdok.nl/bzk/locatieserver/search/v3_1/free?q=Ginkelseweg+14%2C+6866+DZ+Heelsum&amp;fq=type%3Aadres&amp;rows=10</x:v>
      </x:c>
      <x:c r="E158" s="57" t="str">
        <x:v>Dutch BAG address point via PDOK Locatieserver</x:v>
      </x:c>
      <x:c r="F158" s="57" t="str">
        <x:v>2026-08-15</x:v>
      </x:c>
      <x:c r="G158" s="14" t="str">
        <x:v>Exact postcode-matched address point: Ginkelseweg 14, 6866DZ Heelsum.</x:v>
      </x:c>
    </x:row>
    <x:row r="159">
      <x:c r="A159" s="56" t="str">
        <x:v>NL-0079</x:v>
      </x:c>
      <x:c r="B159" s="57" t="str">
        <x:v>Golflub Heelsum — Sandr</x:v>
      </x:c>
      <x:c r="C159" s="57" t="str">
        <x:v>Course identity/specification</x:v>
      </x:c>
      <x:c r="D159" s="57" t="str">
        <x:v>https://www.golf.nl/de-baan-op/banenzoeker/overzicht</x:v>
      </x:c>
      <x:c r="E159" s="57" t="str">
        <x:v>Current national federation course register</x:v>
      </x:c>
      <x:c r="F159" s="57" t="str">
        <x:v>2026-08-15</x:v>
      </x:c>
      <x:c r="G159" s="14" t="str">
        <x:v>Current NGF/GOLF.NL listing: 9 holes, par 36, 3094 metres. Listed as qualifying.</x:v>
      </x:c>
    </x:row>
    <x:row r="160">
      <x:c r="A160" s="56" t="str">
        <x:v>NL-0079</x:v>
      </x:c>
      <x:c r="B160" s="57" t="str">
        <x:v>Golflub Heelsum — Sandr</x:v>
      </x:c>
      <x:c r="C160" s="57" t="str">
        <x:v>Coordinates/address</x:v>
      </x:c>
      <x:c r="D160" s="57" t="str">
        <x:v>https://api.pdok.nl/bzk/locatieserver/search/v3_1/free?q=Ginkelseweg+14%2C+6866+DZ+Heelsum&amp;fq=type%3Aadres&amp;rows=10</x:v>
      </x:c>
      <x:c r="E160" s="57" t="str">
        <x:v>Dutch BAG address point via PDOK Locatieserver</x:v>
      </x:c>
      <x:c r="F160" s="57" t="str">
        <x:v>2026-08-15</x:v>
      </x:c>
      <x:c r="G160" s="14" t="str">
        <x:v>Exact postcode-matched address point: Ginkelseweg 14, 6866DZ Heelsum.</x:v>
      </x:c>
    </x:row>
    <x:row r="161">
      <x:c r="A161" s="56" t="str">
        <x:v>NL-0080</x:v>
      </x:c>
      <x:c r="B161" s="57" t="str">
        <x:v>Golfpark De Berendonck — Par-3 Course</x:v>
      </x:c>
      <x:c r="C161" s="57" t="str">
        <x:v>Course identity/specification</x:v>
      </x:c>
      <x:c r="D161" s="57" t="str">
        <x:v>https://www.golf.nl/de-baan-op/banenzoeker/overzicht</x:v>
      </x:c>
      <x:c r="E161" s="57" t="str">
        <x:v>Current national federation course register</x:v>
      </x:c>
      <x:c r="F161" s="57" t="str">
        <x:v>2026-08-15</x:v>
      </x:c>
      <x:c r="G161" s="14" t="str">
        <x:v>Current NGF/GOLF.NL listing: 9 holes, par 27, 594 metres. Listed as non-qualifying.</x:v>
      </x:c>
    </x:row>
    <x:row r="162">
      <x:c r="A162" s="56" t="str">
        <x:v>NL-0080</x:v>
      </x:c>
      <x:c r="B162" s="57" t="str">
        <x:v>Golfpark De Berendonck — Par-3 Course</x:v>
      </x:c>
      <x:c r="C162" s="57" t="str">
        <x:v>Coordinates/address</x:v>
      </x:c>
      <x:c r="D162" s="57" t="str">
        <x:v>https://api.pdok.nl/bzk/locatieserver/search/v3_1/free?q=Weg+door+de+Berendonck+40%2C+6603+LP+Wijchen&amp;fq=type%3Aadres&amp;rows=10</x:v>
      </x:c>
      <x:c r="E162" s="57" t="str">
        <x:v>Dutch BAG address point via PDOK Locatieserver</x:v>
      </x:c>
      <x:c r="F162" s="57" t="str">
        <x:v>2026-08-15</x:v>
      </x:c>
      <x:c r="G162" s="14" t="str">
        <x:v>Exact postcode-matched address point: Weg door de Berendonck 40, 6603LP Wijchen.</x:v>
      </x:c>
    </x:row>
    <x:row r="163">
      <x:c r="A163" s="56" t="str">
        <x:v>NL-0081</x:v>
      </x:c>
      <x:c r="B163" s="57" t="str">
        <x:v>Golfpark De Berendonck — Red</x:v>
      </x:c>
      <x:c r="C163" s="57" t="str">
        <x:v>Course identity/specification</x:v>
      </x:c>
      <x:c r="D163" s="57" t="str">
        <x:v>https://www.golf.nl/de-baan-op/banenzoeker/overzicht</x:v>
      </x:c>
      <x:c r="E163" s="57" t="str">
        <x:v>Current national federation course register</x:v>
      </x:c>
      <x:c r="F163" s="57" t="str">
        <x:v>2026-08-15</x:v>
      </x:c>
      <x:c r="G163" s="14" t="str">
        <x:v>Current NGF/GOLF.NL listing: 9 holes, par 36, 3115 metres. Listed as qualifying.</x:v>
      </x:c>
    </x:row>
    <x:row r="164">
      <x:c r="A164" s="56" t="str">
        <x:v>NL-0081</x:v>
      </x:c>
      <x:c r="B164" s="57" t="str">
        <x:v>Golfpark De Berendonck — Red</x:v>
      </x:c>
      <x:c r="C164" s="57" t="str">
        <x:v>Coordinates/address</x:v>
      </x:c>
      <x:c r="D164" s="57" t="str">
        <x:v>https://api.pdok.nl/bzk/locatieserver/search/v3_1/free?q=Weg+door+de+Berendonck+40%2C+6603+LP+Wijchen&amp;fq=type%3Aadres&amp;rows=10</x:v>
      </x:c>
      <x:c r="E164" s="57" t="str">
        <x:v>Dutch BAG address point via PDOK Locatieserver</x:v>
      </x:c>
      <x:c r="F164" s="57" t="str">
        <x:v>2026-08-15</x:v>
      </x:c>
      <x:c r="G164" s="14" t="str">
        <x:v>Exact postcode-matched address point: Weg door de Berendonck 40, 6603LP Wijchen.</x:v>
      </x:c>
    </x:row>
    <x:row r="165">
      <x:c r="A165" s="56" t="str">
        <x:v>NL-0082</x:v>
      </x:c>
      <x:c r="B165" s="57" t="str">
        <x:v>Golfpark De Berendonck — Yellow</x:v>
      </x:c>
      <x:c r="C165" s="57" t="str">
        <x:v>Course identity/specification</x:v>
      </x:c>
      <x:c r="D165" s="57" t="str">
        <x:v>https://www.golf.nl/de-baan-op/banenzoeker/overzicht</x:v>
      </x:c>
      <x:c r="E165" s="57" t="str">
        <x:v>Current national federation course register</x:v>
      </x:c>
      <x:c r="F165" s="57" t="str">
        <x:v>2026-08-15</x:v>
      </x:c>
      <x:c r="G165" s="14" t="str">
        <x:v>Current NGF/GOLF.NL listing: 9 holes, par 35, 2764 metres. Listed as qualifying.</x:v>
      </x:c>
    </x:row>
    <x:row r="166">
      <x:c r="A166" s="56" t="str">
        <x:v>NL-0082</x:v>
      </x:c>
      <x:c r="B166" s="57" t="str">
        <x:v>Golfpark De Berendonck — Yellow</x:v>
      </x:c>
      <x:c r="C166" s="57" t="str">
        <x:v>Coordinates/address</x:v>
      </x:c>
      <x:c r="D166" s="57" t="str">
        <x:v>https://api.pdok.nl/bzk/locatieserver/search/v3_1/free?q=Weg+door+de+Berendonck+40%2C+6603+LP+Wijchen&amp;fq=type%3Aadres&amp;rows=10</x:v>
      </x:c>
      <x:c r="E166" s="57" t="str">
        <x:v>Dutch BAG address point via PDOK Locatieserver</x:v>
      </x:c>
      <x:c r="F166" s="57" t="str">
        <x:v>2026-08-15</x:v>
      </x:c>
      <x:c r="G166" s="14" t="str">
        <x:v>Exact postcode-matched address point: Weg door de Berendonck 40, 6603LP Wijchen.</x:v>
      </x:c>
    </x:row>
    <x:row r="167">
      <x:c r="A167" s="56" t="str">
        <x:v>NL-0083</x:v>
      </x:c>
      <x:c r="B167" s="57" t="str">
        <x:v>Golfpark De Breuninkhof — Main Course</x:v>
      </x:c>
      <x:c r="C167" s="57" t="str">
        <x:v>Course identity/specification</x:v>
      </x:c>
      <x:c r="D167" s="57" t="str">
        <x:v>https://www.golf.nl/de-baan-op/banenzoeker/overzicht</x:v>
      </x:c>
      <x:c r="E167" s="57" t="str">
        <x:v>Current national federation course register</x:v>
      </x:c>
      <x:c r="F167" s="57" t="str">
        <x:v>2026-08-15</x:v>
      </x:c>
      <x:c r="G167" s="14" t="str">
        <x:v>Current NGF/GOLF.NL listing: 9 holes, par 36, 2942 metres. Listed as qualifying.</x:v>
      </x:c>
    </x:row>
    <x:row r="168">
      <x:c r="A168" s="56" t="str">
        <x:v>NL-0083</x:v>
      </x:c>
      <x:c r="B168" s="57" t="str">
        <x:v>Golfpark De Breuninkhof — Main Course</x:v>
      </x:c>
      <x:c r="C168" s="57" t="str">
        <x:v>Coordinates/address</x:v>
      </x:c>
      <x:c r="D168" s="57" t="str">
        <x:v>https://api.pdok.nl/bzk/locatieserver/search/v3_1/free?q=Bussloselaan+6%2C+7383+RP+Voorst&amp;fq=type%3Aadres&amp;rows=10</x:v>
      </x:c>
      <x:c r="E168" s="57" t="str">
        <x:v>Dutch BAG address point via PDOK Locatieserver</x:v>
      </x:c>
      <x:c r="F168" s="57" t="str">
        <x:v>2026-08-15</x:v>
      </x:c>
      <x:c r="G168" s="14" t="str">
        <x:v>Exact postcode-matched address point: Bussloselaan 6, 7383RP Voorst.</x:v>
      </x:c>
    </x:row>
    <x:row r="169">
      <x:c r="A169" s="56" t="str">
        <x:v>NL-0084</x:v>
      </x:c>
      <x:c r="B169" s="57" t="str">
        <x:v>Golfpark De Breuninkhof — Par-3 Course</x:v>
      </x:c>
      <x:c r="C169" s="57" t="str">
        <x:v>Course identity/specification</x:v>
      </x:c>
      <x:c r="D169" s="57" t="str">
        <x:v>https://www.golf.nl/de-baan-op/banenzoeker/overzicht</x:v>
      </x:c>
      <x:c r="E169" s="57" t="str">
        <x:v>Current national federation course register</x:v>
      </x:c>
      <x:c r="F169" s="57" t="str">
        <x:v>2026-08-15</x:v>
      </x:c>
      <x:c r="G169" s="14" t="str">
        <x:v>Current NGF/GOLF.NL listing: 9 holes, par 27, 962 metres. Listed as qualifying.</x:v>
      </x:c>
    </x:row>
    <x:row r="170">
      <x:c r="A170" s="56" t="str">
        <x:v>NL-0084</x:v>
      </x:c>
      <x:c r="B170" s="57" t="str">
        <x:v>Golfpark De Breuninkhof — Par-3 Course</x:v>
      </x:c>
      <x:c r="C170" s="57" t="str">
        <x:v>Coordinates/address</x:v>
      </x:c>
      <x:c r="D170" s="57" t="str">
        <x:v>https://api.pdok.nl/bzk/locatieserver/search/v3_1/free?q=Bussloselaan+6%2C+7383+RP+Voorst&amp;fq=type%3Aadres&amp;rows=10</x:v>
      </x:c>
      <x:c r="E170" s="57" t="str">
        <x:v>Dutch BAG address point via PDOK Locatieserver</x:v>
      </x:c>
      <x:c r="F170" s="57" t="str">
        <x:v>2026-08-15</x:v>
      </x:c>
      <x:c r="G170" s="14" t="str">
        <x:v>Exact postcode-matched address point: Bussloselaan 6, 7383RP Voorst.</x:v>
      </x:c>
    </x:row>
    <x:row r="171">
      <x:c r="A171" s="56" t="str">
        <x:v>NL-0085</x:v>
      </x:c>
      <x:c r="B171" s="57" t="str">
        <x:v>Keppelse Golfclub — Keppelbaan</x:v>
      </x:c>
      <x:c r="C171" s="57" t="str">
        <x:v>Course identity/specification</x:v>
      </x:c>
      <x:c r="D171" s="57" t="str">
        <x:v>https://www.golf.nl/de-baan-op/banenzoeker/overzicht</x:v>
      </x:c>
      <x:c r="E171" s="57" t="str">
        <x:v>Current national federation course register</x:v>
      </x:c>
      <x:c r="F171" s="57" t="str">
        <x:v>2026-08-15</x:v>
      </x:c>
      <x:c r="G171" s="14" t="str">
        <x:v>Current NGF/GOLF.NL listing: 9 holes, par 35, 2687 metres. Listed as qualifying.</x:v>
      </x:c>
    </x:row>
    <x:row r="172">
      <x:c r="A172" s="56" t="str">
        <x:v>NL-0085</x:v>
      </x:c>
      <x:c r="B172" s="57" t="str">
        <x:v>Keppelse Golfclub — Keppelbaan</x:v>
      </x:c>
      <x:c r="C172" s="57" t="str">
        <x:v>Coordinates/address</x:v>
      </x:c>
      <x:c r="D172" s="57" t="str">
        <x:v>https://api.pdok.nl/bzk/locatieserver/search/v3_1/free?q=Burgemeester+Vrijlandweg+35%2C+6997+AB+Hoog-Keppel&amp;fq=type%3Aadres&amp;rows=10</x:v>
      </x:c>
      <x:c r="E172" s="57" t="str">
        <x:v>Dutch BAG address point via PDOK Locatieserver</x:v>
      </x:c>
      <x:c r="F172" s="57" t="str">
        <x:v>2026-08-15</x:v>
      </x:c>
      <x:c r="G172" s="14" t="str">
        <x:v>Exact postcode-matched address point: Burg. Vrijlandweg 35, 6997AB Hoog-Keppel.</x:v>
      </x:c>
    </x:row>
    <x:row r="173">
      <x:c r="A173" s="56" t="str">
        <x:v>NL-0086</x:v>
      </x:c>
      <x:c r="B173" s="57" t="str">
        <x:v>Keppelse Golfclub — Ulenpasbaan</x:v>
      </x:c>
      <x:c r="C173" s="57" t="str">
        <x:v>Course identity/specification</x:v>
      </x:c>
      <x:c r="D173" s="57" t="str">
        <x:v>https://www.golf.nl/de-baan-op/banenzoeker/overzicht</x:v>
      </x:c>
      <x:c r="E173" s="57" t="str">
        <x:v>Current national federation course register</x:v>
      </x:c>
      <x:c r="F173" s="57" t="str">
        <x:v>2026-08-15</x:v>
      </x:c>
      <x:c r="G173" s="14" t="str">
        <x:v>Current NGF/GOLF.NL listing: 9 holes, par 36, 3043 metres. Listed as qualifying.</x:v>
      </x:c>
    </x:row>
    <x:row r="174">
      <x:c r="A174" s="56" t="str">
        <x:v>NL-0086</x:v>
      </x:c>
      <x:c r="B174" s="57" t="str">
        <x:v>Keppelse Golfclub — Ulenpasbaan</x:v>
      </x:c>
      <x:c r="C174" s="57" t="str">
        <x:v>Coordinates/address</x:v>
      </x:c>
      <x:c r="D174" s="57" t="str">
        <x:v>https://api.pdok.nl/bzk/locatieserver/search/v3_1/free?q=Burgemeester+Vrijlandweg+35%2C+6997+AB+Hoog-Keppel&amp;fq=type%3Aadres&amp;rows=10</x:v>
      </x:c>
      <x:c r="E174" s="57" t="str">
        <x:v>Dutch BAG address point via PDOK Locatieserver</x:v>
      </x:c>
      <x:c r="F174" s="57" t="str">
        <x:v>2026-08-15</x:v>
      </x:c>
      <x:c r="G174" s="14" t="str">
        <x:v>Exact postcode-matched address point: Burg. Vrijlandweg 35, 6997AB Hoog-Keppel.</x:v>
      </x:c>
    </x:row>
    <x:row r="175">
      <x:c r="A175" s="56" t="str">
        <x:v>NL-0087</x:v>
      </x:c>
      <x:c r="B175" s="57" t="str">
        <x:v>Landgoed Ullerberg</x:v>
      </x:c>
      <x:c r="C175" s="57" t="str">
        <x:v>Course identity/specification</x:v>
      </x:c>
      <x:c r="D175" s="57" t="str">
        <x:v>https://www.golf.nl/de-baan-op/banenzoeker/overzicht</x:v>
      </x:c>
      <x:c r="E175" s="57" t="str">
        <x:v>Current national federation course register</x:v>
      </x:c>
      <x:c r="F175" s="57" t="str">
        <x:v>2026-08-15</x:v>
      </x:c>
      <x:c r="G175" s="14" t="str">
        <x:v>Current NGF/GOLF.NL listing: 9 holes, par 36, 2324 metres. Listed as non-qualifying.</x:v>
      </x:c>
    </x:row>
    <x:row r="176">
      <x:c r="A176" s="56" t="str">
        <x:v>NL-0087</x:v>
      </x:c>
      <x:c r="B176" s="57" t="str">
        <x:v>Landgoed Ullerberg</x:v>
      </x:c>
      <x:c r="C176" s="57" t="str">
        <x:v>Coordinates/address</x:v>
      </x:c>
      <x:c r="D176" s="57" t="str">
        <x:v>https://api.pdok.nl/bzk/locatieserver/search/v3_1/free?q=Jhr.+Dr.+C.J.+Sandbergweg+103%2C+3852+PT+Ermelo&amp;fq=type%3Aadres&amp;rows=10</x:v>
      </x:c>
      <x:c r="E176" s="57" t="str">
        <x:v>Dutch BAG address point via PDOK Locatieserver</x:v>
      </x:c>
      <x:c r="F176" s="57" t="str">
        <x:v>2026-08-15</x:v>
      </x:c>
      <x:c r="G176" s="14" t="str">
        <x:v>Exact postcode-matched address point: Jhr. Dr. C.J. Sandbergweg 103, 3852PT Ermelo.</x:v>
      </x:c>
    </x:row>
    <x:row r="177">
      <x:c r="A177" s="56" t="str">
        <x:v>NL-0088</x:v>
      </x:c>
      <x:c r="B177" s="57" t="str">
        <x:v>Lochemse Golfclub — Main Course</x:v>
      </x:c>
      <x:c r="C177" s="57" t="str">
        <x:v>Course identity/specification</x:v>
      </x:c>
      <x:c r="D177" s="57" t="str">
        <x:v>https://www.golf.nl/de-baan-op/banenzoeker/overzicht</x:v>
      </x:c>
      <x:c r="E177" s="57" t="str">
        <x:v>Current national federation course register</x:v>
      </x:c>
      <x:c r="F177" s="57" t="str">
        <x:v>2026-08-15</x:v>
      </x:c>
      <x:c r="G177" s="14" t="str">
        <x:v>Current NGF/GOLF.NL listing: 18 holes, par 72, 6288 metres. Combined from exact NGF-listed constituent nine-hole loops: 1ste negen (9 holes, par 36, 3074 m); 2de negen (9 holes, par 36, 3214 m) Listed as qualifying.</x:v>
      </x:c>
    </x:row>
    <x:row r="178">
      <x:c r="A178" s="56" t="str">
        <x:v>NL-0088</x:v>
      </x:c>
      <x:c r="B178" s="57" t="str">
        <x:v>Lochemse Golfclub — Main Course</x:v>
      </x:c>
      <x:c r="C178" s="57" t="str">
        <x:v>Coordinates/address</x:v>
      </x:c>
      <x:c r="D178" s="57" t="str">
        <x:v>https://api.pdok.nl/bzk/locatieserver/search/v3_1/free?q=Sluitdijk+4%2C+7241+RR+Lochem&amp;fq=type%3Aadres&amp;rows=10</x:v>
      </x:c>
      <x:c r="E178" s="57" t="str">
        <x:v>Dutch BAG address point via PDOK Locatieserver</x:v>
      </x:c>
      <x:c r="F178" s="57" t="str">
        <x:v>2026-08-15</x:v>
      </x:c>
      <x:c r="G178" s="14" t="str">
        <x:v>Exact postcode-matched address point: Sluitdijk 4, 7241RR Lochem.</x:v>
      </x:c>
    </x:row>
    <x:row r="179">
      <x:c r="A179" s="56" t="str">
        <x:v>NL-0089</x:v>
      </x:c>
      <x:c r="B179" s="57" t="str">
        <x:v>Multi Fun Pitch &amp; Putt Golf Bussloo — Shortgolf / Pitch &amp; Putt Course</x:v>
      </x:c>
      <x:c r="C179" s="57" t="str">
        <x:v>Course identity/specification</x:v>
      </x:c>
      <x:c r="D179" s="57" t="str">
        <x:v>https://www.golf.nl/de-baan-op/banenzoeker/overzicht</x:v>
      </x:c>
      <x:c r="E179" s="57" t="str">
        <x:v>Current national federation course register</x:v>
      </x:c>
      <x:c r="F179" s="57" t="str">
        <x:v>2026-08-15</x:v>
      </x:c>
      <x:c r="G179" s="14" t="str">
        <x:v>Current NGF/GOLF.NL listing: 27 holes, par 81, 1439 metres. Combined from exact NGF-listed constituent nine-hole loops: 1ste negen (9 holes, par 27, 470 m); 2de negen (9 holes, par 27, 452 m); 3de negen (9 holes, par 27, 517 m) Listed as non-qualifying.</x:v>
      </x:c>
    </x:row>
    <x:row r="180">
      <x:c r="A180" s="56" t="str">
        <x:v>NL-0089</x:v>
      </x:c>
      <x:c r="B180" s="57" t="str">
        <x:v>Multi Fun Pitch &amp; Putt Golf Bussloo — Shortgolf / Pitch &amp; Putt Course</x:v>
      </x:c>
      <x:c r="C180" s="57" t="str">
        <x:v>Coordinates/address</x:v>
      </x:c>
      <x:c r="D180" s="57" t="str">
        <x:v>https://api.pdok.nl/bzk/locatieserver/search/v3_1/free?q=Withagenweg+17%2C+7384+SB+Wilp&amp;fq=type%3Aadres&amp;rows=10</x:v>
      </x:c>
      <x:c r="E180" s="57" t="str">
        <x:v>Dutch BAG address point via PDOK Locatieserver</x:v>
      </x:c>
      <x:c r="F180" s="57" t="str">
        <x:v>2026-08-15</x:v>
      </x:c>
      <x:c r="G180" s="14" t="str">
        <x:v>Exact postcode-matched address point: Withagenweg 17, 7384SB Wilp.</x:v>
      </x:c>
    </x:row>
    <x:row r="181">
      <x:c r="A181" s="56" t="str">
        <x:v>NL-0090</x:v>
      </x:c>
      <x:c r="B181" s="57" t="str">
        <x:v>Pitch &amp; Putt Golf Doetinchem — Fungolfbaan</x:v>
      </x:c>
      <x:c r="C181" s="57" t="str">
        <x:v>Course identity/specification</x:v>
      </x:c>
      <x:c r="D181" s="57" t="str">
        <x:v>https://www.golf.nl/de-baan-op/banenzoeker/overzicht</x:v>
      </x:c>
      <x:c r="E181" s="57" t="str">
        <x:v>Current national federation course register</x:v>
      </x:c>
      <x:c r="F181" s="57" t="str">
        <x:v>2026-08-15</x:v>
      </x:c>
      <x:c r="G181" s="14" t="str">
        <x:v>Current NGF/GOLF.NL listing: 18 holes, par 54, 900 metres. Combined from exact NGF-listed constituent nine-hole loops: Fungolfbaan 1ste negen (9 holes, par 27, 450 m); Fungolfbaan 2de negen (9 holes, par 27, 450 m) Listed as non-qualifying.</x:v>
      </x:c>
    </x:row>
    <x:row r="182">
      <x:c r="A182" s="56" t="str">
        <x:v>NL-0090</x:v>
      </x:c>
      <x:c r="B182" s="57" t="str">
        <x:v>Pitch &amp; Putt Golf Doetinchem — Fungolfbaan</x:v>
      </x:c>
      <x:c r="C182" s="57" t="str">
        <x:v>Coordinates/address</x:v>
      </x:c>
      <x:c r="D182" s="57" t="str">
        <x:v>https://api.pdok.nl/bzk/locatieserver/search/v3_1/free?q=Liemersweg+99%2C+7006+GG+Doetinchem&amp;fq=type%3Aadres&amp;rows=10</x:v>
      </x:c>
      <x:c r="E182" s="57" t="str">
        <x:v>Dutch BAG address point via PDOK Locatieserver</x:v>
      </x:c>
      <x:c r="F182" s="57" t="str">
        <x:v>2026-08-15</x:v>
      </x:c>
      <x:c r="G182" s="14" t="str">
        <x:v>Exact postcode-matched address point: Liemersweg 99, 7006GG Doetinchem.</x:v>
      </x:c>
    </x:row>
    <x:row r="183">
      <x:c r="A183" s="56" t="str">
        <x:v>NL-0091</x:v>
      </x:c>
      <x:c r="B183" s="57" t="str">
        <x:v>Pitch &amp; Putt Golf Doetinchem — Par-3 Course</x:v>
      </x:c>
      <x:c r="C183" s="57" t="str">
        <x:v>Course identity/specification</x:v>
      </x:c>
      <x:c r="D183" s="57" t="str">
        <x:v>https://www.golf.nl/de-baan-op/banenzoeker/overzicht</x:v>
      </x:c>
      <x:c r="E183" s="57" t="str">
        <x:v>Current national federation course register</x:v>
      </x:c>
      <x:c r="F183" s="57" t="str">
        <x:v>2026-08-15</x:v>
      </x:c>
      <x:c r="G183" s="14" t="str">
        <x:v>Current NGF/GOLF.NL listing: 9 holes, par 27, 706 metres. Listed as qualifying.</x:v>
      </x:c>
    </x:row>
    <x:row r="184">
      <x:c r="A184" s="56" t="str">
        <x:v>NL-0091</x:v>
      </x:c>
      <x:c r="B184" s="57" t="str">
        <x:v>Pitch &amp; Putt Golf Doetinchem — Par-3 Course</x:v>
      </x:c>
      <x:c r="C184" s="57" t="str">
        <x:v>Coordinates/address</x:v>
      </x:c>
      <x:c r="D184" s="57" t="str">
        <x:v>https://api.pdok.nl/bzk/locatieserver/search/v3_1/free?q=Liemersweg+99%2C+7006+GG+Doetinchem&amp;fq=type%3Aadres&amp;rows=10</x:v>
      </x:c>
      <x:c r="E184" s="57" t="str">
        <x:v>Dutch BAG address point via PDOK Locatieserver</x:v>
      </x:c>
      <x:c r="F184" s="57" t="str">
        <x:v>2026-08-15</x:v>
      </x:c>
      <x:c r="G184" s="14" t="str">
        <x:v>Exact postcode-matched address point: Liemersweg 99, 7006GG Doetinchem.</x:v>
      </x:c>
    </x:row>
    <x:row r="185">
      <x:c r="A185" s="56" t="str">
        <x:v>NL-0092</x:v>
      </x:c>
      <x:c r="B185" s="57" t="str">
        <x:v>Pitch &amp; putt Heerde — Shortgolf / Pitch &amp; Putt Course</x:v>
      </x:c>
      <x:c r="C185" s="57" t="str">
        <x:v>Course identity/specification</x:v>
      </x:c>
      <x:c r="D185" s="57" t="str">
        <x:v>https://www.golf.nl/de-baan-op/banenzoeker/overzicht</x:v>
      </x:c>
      <x:c r="E185" s="57" t="str">
        <x:v>Current national federation course register</x:v>
      </x:c>
      <x:c r="F185" s="57" t="str">
        <x:v>2026-08-15</x:v>
      </x:c>
      <x:c r="G185" s="14" t="str">
        <x:v>Current NGF/GOLF.NL listing: 18 holes, par 54, 954 metres. Combined from exact NGF-listed constituent nine-hole loops: 1ste negen (9 holes, par 27, 511 m); 2de negen (9 holes, par 27, 443 m) Listed as non-qualifying.</x:v>
      </x:c>
    </x:row>
    <x:row r="186">
      <x:c r="A186" s="56" t="str">
        <x:v>NL-0092</x:v>
      </x:c>
      <x:c r="B186" s="57" t="str">
        <x:v>Pitch &amp; putt Heerde — Shortgolf / Pitch &amp; Putt Course</x:v>
      </x:c>
      <x:c r="C186" s="57" t="str">
        <x:v>Coordinates/address</x:v>
      </x:c>
      <x:c r="D186" s="57" t="str">
        <x:v>https://api.pdok.nl/bzk/locatieserver/search/v3_1/free?q=Kromme+Allee+5%2C+8181+NV+Heerde&amp;fq=type%3Aadres&amp;rows=10</x:v>
      </x:c>
      <x:c r="E186" s="57" t="str">
        <x:v>Dutch BAG address point via PDOK Locatieserver</x:v>
      </x:c>
      <x:c r="F186" s="57" t="str">
        <x:v>2026-08-15</x:v>
      </x:c>
      <x:c r="G186" s="14" t="str">
        <x:v>Exact postcode-matched address point: Kromme Allee 5, 8181NV Heerde.</x:v>
      </x:c>
    </x:row>
    <x:row r="187">
      <x:c r="A187" s="56" t="str">
        <x:v>NL-0093</x:v>
      </x:c>
      <x:c r="B187" s="57" t="str">
        <x:v>Pitch &amp; Putt Maurik — Shortgolf / Pitch &amp; Putt Course</x:v>
      </x:c>
      <x:c r="C187" s="57" t="str">
        <x:v>Course identity/specification</x:v>
      </x:c>
      <x:c r="D187" s="57" t="str">
        <x:v>https://www.golf.nl/de-baan-op/banenzoeker/overzicht</x:v>
      </x:c>
      <x:c r="E187" s="57" t="str">
        <x:v>Current national federation course register</x:v>
      </x:c>
      <x:c r="F187" s="57" t="str">
        <x:v>2026-08-15</x:v>
      </x:c>
      <x:c r="G187" s="14" t="str">
        <x:v>Current NGF/GOLF.NL listing: 18 holes, par 54, 1081 metres. Combined from exact NGF-listed constituent nine-hole loops: 1ste negen (9 holes, par 27, 532 m); 2de negen (9 holes, par 27, 549 m) Listed as non-qualifying.</x:v>
      </x:c>
    </x:row>
    <x:row r="188">
      <x:c r="A188" s="56" t="str">
        <x:v>NL-0093</x:v>
      </x:c>
      <x:c r="B188" s="57" t="str">
        <x:v>Pitch &amp; Putt Maurik — Shortgolf / Pitch &amp; Putt Course</x:v>
      </x:c>
      <x:c r="C188" s="57" t="str">
        <x:v>Coordinates/address</x:v>
      </x:c>
      <x:c r="D188" s="57" t="str">
        <x:v>https://api.pdok.nl/bzk/locatieserver/search/v3_1/free?q=Eiland+van+Maurik+15%2C+4021+GG+Maurik&amp;fq=type%3Aadres&amp;rows=10</x:v>
      </x:c>
      <x:c r="E188" s="57" t="str">
        <x:v>Dutch BAG address point via PDOK Locatieserver</x:v>
      </x:c>
      <x:c r="F188" s="57" t="str">
        <x:v>2026-08-15</x:v>
      </x:c>
      <x:c r="G188" s="14" t="str">
        <x:v>Exact postcode-matched address point: Eiland van Maurik 15, 4021GG Maurik.</x:v>
      </x:c>
    </x:row>
    <x:row r="189">
      <x:c r="A189" s="56" t="str">
        <x:v>NL-0094</x:v>
      </x:c>
      <x:c r="B189" s="57" t="str">
        <x:v>Pitch &amp; Putt Molenhoek — Shortgolf / Pitch &amp; Putt Course</x:v>
      </x:c>
      <x:c r="C189" s="57" t="str">
        <x:v>Course identity/specification</x:v>
      </x:c>
      <x:c r="D189" s="57" t="str">
        <x:v>https://www.golf.nl/de-baan-op/banenzoeker/overzicht</x:v>
      </x:c>
      <x:c r="E189" s="57" t="str">
        <x:v>Current national federation course register</x:v>
      </x:c>
      <x:c r="F189" s="57" t="str">
        <x:v>2026-08-15</x:v>
      </x:c>
      <x:c r="G189" s="14" t="str">
        <x:v>Current NGF/GOLF.NL listing: 18 holes, par 54, 1071 metres. Combined from exact NGF-listed constituent nine-hole loops: 1ste negen (9 holes, par 27, 537 m); 2de negen (9 holes, par 27, 534 m) Listed as non-qualifying.</x:v>
      </x:c>
    </x:row>
    <x:row r="190">
      <x:c r="A190" s="56" t="str">
        <x:v>NL-0094</x:v>
      </x:c>
      <x:c r="B190" s="57" t="str">
        <x:v>Pitch &amp; Putt Molenhoek — Shortgolf / Pitch &amp; Putt Course</x:v>
      </x:c>
      <x:c r="C190" s="57" t="str">
        <x:v>Coordinates/address</x:v>
      </x:c>
      <x:c r="D190" s="57" t="str">
        <x:v>https://api.pdok.nl/bzk/locatieserver/search/v3_1/free?q=Lierweg+2C%2C+6584+DC+Molenhoek&amp;fq=type%3Aadres&amp;rows=10</x:v>
      </x:c>
      <x:c r="E190" s="57" t="str">
        <x:v>Dutch BAG address point via PDOK Locatieserver</x:v>
      </x:c>
      <x:c r="F190" s="57" t="str">
        <x:v>2026-08-15</x:v>
      </x:c>
      <x:c r="G190" s="14" t="str">
        <x:v>Exact postcode-matched address point: Lierweg 2c, 6584DC Molenhoek.</x:v>
      </x:c>
    </x:row>
    <x:row r="191">
      <x:c r="A191" s="56" t="str">
        <x:v>NL-0095</x:v>
      </x:c>
      <x:c r="B191" s="57" t="str">
        <x:v>Pitch &amp; Putt Papendal — Shortgolf / Pitch &amp; Putt Course</x:v>
      </x:c>
      <x:c r="C191" s="57" t="str">
        <x:v>Course identity/specification</x:v>
      </x:c>
      <x:c r="D191" s="57" t="str">
        <x:v>https://www.golf.nl/de-baan-op/banenzoeker/overzicht</x:v>
      </x:c>
      <x:c r="E191" s="57" t="str">
        <x:v>Current national federation course register</x:v>
      </x:c>
      <x:c r="F191" s="57" t="str">
        <x:v>2026-08-15</x:v>
      </x:c>
      <x:c r="G191" s="14" t="str">
        <x:v>Current NGF/GOLF.NL listing: 18 holes, par 54, 1008 metres. Combined from multiple exact NGF-listed constituent loops that were not individually named: 9 holes, par 27, 478 m; 9 holes, par 27, 530 m Listed as non-qualifying.</x:v>
      </x:c>
    </x:row>
    <x:row r="192">
      <x:c r="A192" s="56" t="str">
        <x:v>NL-0095</x:v>
      </x:c>
      <x:c r="B192" s="57" t="str">
        <x:v>Pitch &amp; Putt Papendal — Shortgolf / Pitch &amp; Putt Course</x:v>
      </x:c>
      <x:c r="C192" s="57" t="str">
        <x:v>Coordinates/address</x:v>
      </x:c>
      <x:c r="D192" s="57" t="str">
        <x:v>https://api.pdok.nl/bzk/locatieserver/search/v3_1/free?q=Papendallaan+3%2C+6816+VD+Arnhem&amp;fq=type%3Aadres&amp;rows=10</x:v>
      </x:c>
      <x:c r="E192" s="57" t="str">
        <x:v>Dutch BAG address point via PDOK Locatieserver</x:v>
      </x:c>
      <x:c r="F192" s="57" t="str">
        <x:v>2026-08-15</x:v>
      </x:c>
      <x:c r="G192" s="14" t="str">
        <x:v>Exact postcode-matched address point: Papendallaan 3, 6816VD Arnhem.</x:v>
      </x:c>
    </x:row>
    <x:row r="193">
      <x:c r="A193" s="56" t="str">
        <x:v>NL-0096</x:v>
      </x:c>
      <x:c r="B193" s="57" t="str">
        <x:v>Rosendaelsche Golfclub — Main Course</x:v>
      </x:c>
      <x:c r="C193" s="57" t="str">
        <x:v>Course identity/specification</x:v>
      </x:c>
      <x:c r="D193" s="57" t="str">
        <x:v>https://www.golf.nl/de-baan-op/banenzoeker/overzicht</x:v>
      </x:c>
      <x:c r="E193" s="57" t="str">
        <x:v>Current national federation course register</x:v>
      </x:c>
      <x:c r="F193" s="57" t="str">
        <x:v>2026-08-15</x:v>
      </x:c>
      <x:c r="G193" s="14" t="str">
        <x:v>Current NGF/GOLF.NL listing: 18 holes, par 72, 6451 metres. Combined from exact NGF-listed constituent nine-hole loops: 1ste negen (9 holes, par 36, 3306 m); 2de negen (9 holes, par 36, 3145 m) Listed as qualifying.</x:v>
      </x:c>
    </x:row>
    <x:row r="194">
      <x:c r="A194" s="56" t="str">
        <x:v>NL-0096</x:v>
      </x:c>
      <x:c r="B194" s="57" t="str">
        <x:v>Rosendaelsche Golfclub — Main Course</x:v>
      </x:c>
      <x:c r="C194" s="57" t="str">
        <x:v>Coordinates/address</x:v>
      </x:c>
      <x:c r="D194" s="57" t="str">
        <x:v>https://api.pdok.nl/bzk/locatieserver/search/v3_1/free?q=Apeldoornseweg+450%2C+6816+SN+Arnhem&amp;fq=type%3Aadres&amp;rows=10</x:v>
      </x:c>
      <x:c r="E194" s="57" t="str">
        <x:v>Dutch BAG address point via PDOK Locatieserver</x:v>
      </x:c>
      <x:c r="F194" s="57" t="str">
        <x:v>2026-08-15</x:v>
      </x:c>
      <x:c r="G194" s="14" t="str">
        <x:v>Exact postcode-matched address point: Apeldoornseweg 450, 6816SN Arnhem.</x:v>
      </x:c>
    </x:row>
    <x:row r="195">
      <x:c r="A195" s="56" t="str">
        <x:v>NL-0097</x:v>
      </x:c>
      <x:c r="B195" s="57" t="str">
        <x:v>Shortgolf Berkelland</x:v>
      </x:c>
      <x:c r="C195" s="57" t="str">
        <x:v>Course identity/specification</x:v>
      </x:c>
      <x:c r="D195" s="57" t="str">
        <x:v>https://www.golf.nl/de-baan-op/banenzoeker/overzicht</x:v>
      </x:c>
      <x:c r="E195" s="57" t="str">
        <x:v>Current national federation course register</x:v>
      </x:c>
      <x:c r="F195" s="57" t="str">
        <x:v>2026-08-15</x:v>
      </x:c>
      <x:c r="G195" s="14" t="str">
        <x:v>Current NGF/GOLF.NL listing: 9 holes, par 27, 897 metres. Listed as qualifying.</x:v>
      </x:c>
    </x:row>
    <x:row r="196">
      <x:c r="A196" s="56" t="str">
        <x:v>NL-0097</x:v>
      </x:c>
      <x:c r="B196" s="57" t="str">
        <x:v>Shortgolf Berkelland</x:v>
      </x:c>
      <x:c r="C196" s="57" t="str">
        <x:v>Coordinates/address</x:v>
      </x:c>
      <x:c r="D196" s="57" t="str">
        <x:v>https://api.pdok.nl/bzk/locatieserver/search/v3_1/free?q=Vunderinkslaan+3%2C+7151+AT+Eibergen&amp;fq=type%3Aadres&amp;rows=10</x:v>
      </x:c>
      <x:c r="E196" s="57" t="str">
        <x:v>Dutch BAG address point via PDOK Locatieserver</x:v>
      </x:c>
      <x:c r="F196" s="57" t="str">
        <x:v>2026-08-15</x:v>
      </x:c>
      <x:c r="G196" s="14" t="str">
        <x:v>Exact postcode-matched address point: Vunderinkslaan 3a, 7151AT Eibergen.</x:v>
      </x:c>
    </x:row>
    <x:row r="197">
      <x:c r="A197" s="56" t="str">
        <x:v>NL-0098</x:v>
      </x:c>
      <x:c r="B197" s="57" t="str">
        <x:v>Shortgolf Zeumeren — 725 meter</x:v>
      </x:c>
      <x:c r="C197" s="57" t="str">
        <x:v>Course identity/specification</x:v>
      </x:c>
      <x:c r="D197" s="57" t="str">
        <x:v>https://www.golf.nl/de-baan-op/banenzoeker/overzicht</x:v>
      </x:c>
      <x:c r="E197" s="57" t="str">
        <x:v>Current national federation course register</x:v>
      </x:c>
      <x:c r="F197" s="57" t="str">
        <x:v>2026-08-15</x:v>
      </x:c>
      <x:c r="G197" s="14" t="str">
        <x:v>Current NGF/GOLF.NL listing: 9 holes, par 27, 725 metres. Listed as qualifying.</x:v>
      </x:c>
    </x:row>
    <x:row r="198">
      <x:c r="A198" s="56" t="str">
        <x:v>NL-0098</x:v>
      </x:c>
      <x:c r="B198" s="57" t="str">
        <x:v>Shortgolf Zeumeren — 725 meter</x:v>
      </x:c>
      <x:c r="C198" s="57" t="str">
        <x:v>Coordinates/address</x:v>
      </x:c>
      <x:c r="D198" s="57" t="str">
        <x:v>https://api.pdok.nl/bzk/locatieserver/search/v3_1/free?q=Stroetweg+9%2C+3781+PR+Voorthuizen&amp;fq=type%3Aadres&amp;rows=10</x:v>
      </x:c>
      <x:c r="E198" s="57" t="str">
        <x:v>Dutch BAG address point via PDOK Locatieserver</x:v>
      </x:c>
      <x:c r="F198" s="57" t="str">
        <x:v>2026-08-15</x:v>
      </x:c>
      <x:c r="G198" s="14" t="str">
        <x:v>Exact postcode-matched address point: Stroetweg 9, 3781PR Voorthuizen.</x:v>
      </x:c>
    </x:row>
    <x:row r="199">
      <x:c r="A199" s="56" t="str">
        <x:v>NL-0099</x:v>
      </x:c>
      <x:c r="B199" s="57" t="str">
        <x:v>Tennis en Pitch &amp; Putt Centrum De Blanckenborg — Par-3 Course</x:v>
      </x:c>
      <x:c r="C199" s="57" t="str">
        <x:v>Course identity/specification</x:v>
      </x:c>
      <x:c r="D199" s="57" t="str">
        <x:v>https://www.golf.nl/de-baan-op/banenzoeker/overzicht</x:v>
      </x:c>
      <x:c r="E199" s="57" t="str">
        <x:v>Current national federation course register</x:v>
      </x:c>
      <x:c r="F199" s="57" t="str">
        <x:v>2026-08-15</x:v>
      </x:c>
      <x:c r="G199" s="14" t="str">
        <x:v>Current NGF/GOLF.NL listing: 9 holes, par 27, 741 metres. Listed as qualifying.</x:v>
      </x:c>
    </x:row>
    <x:row r="200">
      <x:c r="A200" s="56" t="str">
        <x:v>NL-0099</x:v>
      </x:c>
      <x:c r="B200" s="57" t="str">
        <x:v>Tennis en Pitch &amp; Putt Centrum De Blanckenborg — Par-3 Course</x:v>
      </x:c>
      <x:c r="C200" s="57" t="str">
        <x:v>Coordinates/address</x:v>
      </x:c>
      <x:c r="D200" s="57" t="str">
        <x:v>https://api.pdok.nl/bzk/locatieserver/search/v3_1/free?q=Oude+Winterswijkseweg+45a%2C+7141+DE+Groenlo&amp;fq=type%3Aadres&amp;rows=10</x:v>
      </x:c>
      <x:c r="E200" s="57" t="str">
        <x:v>Dutch BAG address point via PDOK Locatieserver</x:v>
      </x:c>
      <x:c r="F200" s="57" t="str">
        <x:v>2026-08-15</x:v>
      </x:c>
      <x:c r="G200" s="14" t="str">
        <x:v>Exact postcode-matched address point: Oude Winterswijkseweg 45a, 7141DE Groenlo.</x:v>
      </x:c>
    </x:row>
    <x:row r="201">
      <x:c r="A201" s="56" t="str">
        <x:v>NL-0100</x:v>
      </x:c>
      <x:c r="B201" s="57" t="str">
        <x:v>Tennis en Pitch &amp; Putt Centrum De Blanckenborg — Shortgolf / Pitch &amp; Putt Course</x:v>
      </x:c>
      <x:c r="C201" s="57" t="str">
        <x:v>Course identity/specification</x:v>
      </x:c>
      <x:c r="D201" s="57" t="str">
        <x:v>https://www.golf.nl/de-baan-op/banenzoeker/overzicht</x:v>
      </x:c>
      <x:c r="E201" s="57" t="str">
        <x:v>Current national federation course register</x:v>
      </x:c>
      <x:c r="F201" s="57" t="str">
        <x:v>2026-08-15</x:v>
      </x:c>
      <x:c r="G201" s="14" t="str">
        <x:v>Current NGF/GOLF.NL listing: 18 holes, par 54, 900 metres. Combined from exact NGF-listed constituent nine-hole loops: 1ste negen (9 holes, par 27, 450 m); 2de negen (9 holes, par 27, 450 m) Listed as non-qualifying.</x:v>
      </x:c>
    </x:row>
    <x:row r="202">
      <x:c r="A202" s="56" t="str">
        <x:v>NL-0100</x:v>
      </x:c>
      <x:c r="B202" s="57" t="str">
        <x:v>Tennis en Pitch &amp; Putt Centrum De Blanckenborg — Shortgolf / Pitch &amp; Putt Course</x:v>
      </x:c>
      <x:c r="C202" s="57" t="str">
        <x:v>Coordinates/address</x:v>
      </x:c>
      <x:c r="D202" s="57" t="str">
        <x:v>https://api.pdok.nl/bzk/locatieserver/search/v3_1/free?q=Oude+Winterswijkseweg+45a%2C+7141+DE+Groenlo&amp;fq=type%3Aadres&amp;rows=10</x:v>
      </x:c>
      <x:c r="E202" s="57" t="str">
        <x:v>Dutch BAG address point via PDOK Locatieserver</x:v>
      </x:c>
      <x:c r="F202" s="57" t="str">
        <x:v>2026-08-15</x:v>
      </x:c>
      <x:c r="G202" s="14" t="str">
        <x:v>Exact postcode-matched address point: Oude Winterswijkseweg 45a, 7141DE Groenlo.</x:v>
      </x:c>
    </x:row>
    <x:row r="203">
      <x:c r="A203" s="56" t="str">
        <x:v>NL-0101</x:v>
      </x:c>
      <x:c r="B203" s="57" t="str">
        <x:v>The Dutch — Main Course</x:v>
      </x:c>
      <x:c r="C203" s="57" t="str">
        <x:v>Course identity/specification</x:v>
      </x:c>
      <x:c r="D203" s="57" t="str">
        <x:v>https://www.golf.nl/de-baan-op/banenzoeker/overzicht</x:v>
      </x:c>
      <x:c r="E203" s="57" t="str">
        <x:v>Current national federation course register</x:v>
      </x:c>
      <x:c r="F203" s="57" t="str">
        <x:v>2026-08-15</x:v>
      </x:c>
      <x:c r="G203" s="14" t="str">
        <x:v>Current NGF/GOLF.NL listing: 18 holes, par 71, 6331 metres. Combined from exact NGF-listed constituent nine-hole loops: 1ste negen (9 holes, par 35, 3048 m); 2de negen (9 holes, par 36, 3283 m) Listed as qualifying.</x:v>
      </x:c>
    </x:row>
    <x:row r="204">
      <x:c r="A204" s="56" t="str">
        <x:v>NL-0101</x:v>
      </x:c>
      <x:c r="B204" s="57" t="str">
        <x:v>The Dutch — Main Course</x:v>
      </x:c>
      <x:c r="C204" s="57" t="str">
        <x:v>Coordinates/address</x:v>
      </x:c>
      <x:c r="D204" s="57" t="str">
        <x:v>https://api.pdok.nl/bzk/locatieserver/search/v3_1/free?q=Haarweg+3%2C+4212+KJ+Spijk+Gem.+Lingewaal&amp;fq=type%3Aadres&amp;rows=10</x:v>
      </x:c>
      <x:c r="E204" s="57" t="str">
        <x:v>Dutch BAG address point via PDOK Locatieserver</x:v>
      </x:c>
      <x:c r="F204" s="57" t="str">
        <x:v>2026-08-15</x:v>
      </x:c>
      <x:c r="G204" s="14" t="str">
        <x:v>Exact postcode-matched address point: Haarweg 3, 4212KJ Spijk.</x:v>
      </x:c>
    </x:row>
    <x:row r="205">
      <x:c r="A205" s="56" t="str">
        <x:v>NL-0102</x:v>
      </x:c>
      <x:c r="B205" s="57" t="str">
        <x:v>The Links Valley — North</x:v>
      </x:c>
      <x:c r="C205" s="57" t="str">
        <x:v>Course identity/specification</x:v>
      </x:c>
      <x:c r="D205" s="57" t="str">
        <x:v>https://www.golf.nl/de-baan-op/banenzoeker/overzicht</x:v>
      </x:c>
      <x:c r="E205" s="57" t="str">
        <x:v>Current national federation course register</x:v>
      </x:c>
      <x:c r="F205" s="57" t="str">
        <x:v>2026-08-15</x:v>
      </x:c>
      <x:c r="G205" s="14" t="str">
        <x:v>Current NGF/GOLF.NL listing: 9 holes, par 35, 2957 metres. Listed as qualifying.</x:v>
      </x:c>
    </x:row>
    <x:row r="206">
      <x:c r="A206" s="56" t="str">
        <x:v>NL-0102</x:v>
      </x:c>
      <x:c r="B206" s="57" t="str">
        <x:v>The Links Valley — North</x:v>
      </x:c>
      <x:c r="C206" s="57" t="str">
        <x:v>Coordinates/address</x:v>
      </x:c>
      <x:c r="D206" s="57" t="str">
        <x:v>https://api.pdok.nl/bzk/locatieserver/search/v3_1/free?q=Jhr.+dr.+C.J.+Sandbergweg+117%2C+3852+PT+Ermelo&amp;fq=type%3Aadres&amp;rows=10</x:v>
      </x:c>
      <x:c r="E206" s="57" t="str">
        <x:v>Dutch BAG address point via PDOK Locatieserver</x:v>
      </x:c>
      <x:c r="F206" s="57" t="str">
        <x:v>2026-08-15</x:v>
      </x:c>
      <x:c r="G206" s="14" t="str">
        <x:v>Exact postcode-matched address point: Jhr. Dr. C.J. Sandbergweg 117, 3852PT Ermelo.</x:v>
      </x:c>
    </x:row>
    <x:row r="207">
      <x:c r="A207" s="56" t="str">
        <x:v>NL-0103</x:v>
      </x:c>
      <x:c r="B207" s="57" t="str">
        <x:v>The Links Valley — South</x:v>
      </x:c>
      <x:c r="C207" s="57" t="str">
        <x:v>Course identity/specification</x:v>
      </x:c>
      <x:c r="D207" s="57" t="str">
        <x:v>https://www.golf.nl/de-baan-op/banenzoeker/overzicht</x:v>
      </x:c>
      <x:c r="E207" s="57" t="str">
        <x:v>Current national federation course register</x:v>
      </x:c>
      <x:c r="F207" s="57" t="str">
        <x:v>2026-08-15</x:v>
      </x:c>
      <x:c r="G207" s="14" t="str">
        <x:v>Current NGF/GOLF.NL listing: 9 holes, par 35, 2992 metres. Listed as qualifying.</x:v>
      </x:c>
    </x:row>
    <x:row r="208">
      <x:c r="A208" s="56" t="str">
        <x:v>NL-0103</x:v>
      </x:c>
      <x:c r="B208" s="57" t="str">
        <x:v>The Links Valley — South</x:v>
      </x:c>
      <x:c r="C208" s="57" t="str">
        <x:v>Coordinates/address</x:v>
      </x:c>
      <x:c r="D208" s="57" t="str">
        <x:v>https://api.pdok.nl/bzk/locatieserver/search/v3_1/free?q=Jhr.+dr.+C.J.+Sandbergweg+117%2C+3852+PT+Ermelo&amp;fq=type%3Aadres&amp;rows=10</x:v>
      </x:c>
      <x:c r="E208" s="57" t="str">
        <x:v>Dutch BAG address point via PDOK Locatieserver</x:v>
      </x:c>
      <x:c r="F208" s="57" t="str">
        <x:v>2026-08-15</x:v>
      </x:c>
      <x:c r="G208" s="14" t="str">
        <x:v>Exact postcode-matched address point: Jhr. Dr. C.J. Sandbergweg 117, 3852PT Ermelo.</x:v>
      </x:c>
    </x:row>
    <x:row r="209">
      <x:c r="A209" s="56" t="str">
        <x:v>NL-0104</x:v>
      </x:c>
      <x:c r="B209" s="57" t="str">
        <x:v>Veluwse Golfclub</x:v>
      </x:c>
      <x:c r="C209" s="57" t="str">
        <x:v>Course identity/specification</x:v>
      </x:c>
      <x:c r="D209" s="57" t="str">
        <x:v>https://www.golf.nl/de-baan-op/banenzoeker/overzicht</x:v>
      </x:c>
      <x:c r="E209" s="57" t="str">
        <x:v>Current national federation course register</x:v>
      </x:c>
      <x:c r="F209" s="57" t="str">
        <x:v>2026-08-15</x:v>
      </x:c>
      <x:c r="G209" s="14" t="str">
        <x:v>Current NGF/GOLF.NL listing: 9 holes, par 36, 2839 metres. Listed as qualifying.</x:v>
      </x:c>
    </x:row>
    <x:row r="210">
      <x:c r="A210" s="56" t="str">
        <x:v>NL-0104</x:v>
      </x:c>
      <x:c r="B210" s="57" t="str">
        <x:v>Veluwse Golfclub</x:v>
      </x:c>
      <x:c r="C210" s="57" t="str">
        <x:v>Coordinates/address</x:v>
      </x:c>
      <x:c r="D210" s="57" t="str">
        <x:v>https://api.pdok.nl/bzk/locatieserver/search/v3_1/free?q=Hoog+Soeren+57%2C+7346+AC+Hoog+Soeren&amp;fq=type%3Aadres&amp;rows=10</x:v>
      </x:c>
      <x:c r="E210" s="57" t="str">
        <x:v>Dutch BAG address point via PDOK Locatieserver</x:v>
      </x:c>
      <x:c r="F210" s="57" t="str">
        <x:v>2026-08-15</x:v>
      </x:c>
      <x:c r="G210" s="14" t="str">
        <x:v>Exact postcode-matched address point: Hoog Soeren 57, 7346AC Hoog Soeren.</x:v>
      </x:c>
    </x:row>
    <x:row r="211">
      <x:c r="A211" s="56" t="str">
        <x:v>NL-0105</x:v>
      </x:c>
      <x:c r="B211" s="57" t="str">
        <x:v>Wageningse Golfclub</x:v>
      </x:c>
      <x:c r="C211" s="57" t="str">
        <x:v>Course identity/specification</x:v>
      </x:c>
      <x:c r="D211" s="57" t="str">
        <x:v>https://www.golf.nl/de-baan-op/banenzoeker/overzicht</x:v>
      </x:c>
      <x:c r="E211" s="57" t="str">
        <x:v>Current national federation course register</x:v>
      </x:c>
      <x:c r="F211" s="57" t="str">
        <x:v>2026-08-15</x:v>
      </x:c>
      <x:c r="G211" s="14" t="str">
        <x:v>Current NGF/GOLF.NL listing: 9 holes, par 30, 1391 metres. Listed as qualifying.</x:v>
      </x:c>
    </x:row>
    <x:row r="212">
      <x:c r="A212" s="56" t="str">
        <x:v>NL-0105</x:v>
      </x:c>
      <x:c r="B212" s="57" t="str">
        <x:v>Wageningse Golfclub</x:v>
      </x:c>
      <x:c r="C212" s="57" t="str">
        <x:v>Coordinates/address</x:v>
      </x:c>
      <x:c r="D212" s="57" t="str">
        <x:v>https://api.pdok.nl/bzk/locatieserver/search/v3_1/free?q=Sportpark+De+Zoom+Zoomweg+10%2C+6704+PE+Wageningen&amp;fq=type%3Aadres&amp;rows=10</x:v>
      </x:c>
      <x:c r="E212" s="57" t="str">
        <x:v>Dutch BAG address point via PDOK Locatieserver</x:v>
      </x:c>
      <x:c r="F212" s="57" t="str">
        <x:v>2026-08-15</x:v>
      </x:c>
      <x:c r="G212" s="14" t="str">
        <x:v>Exact postcode-matched address point: Zoomweg 10, 6704PE Wageningen.</x:v>
      </x:c>
    </x:row>
    <x:row r="213">
      <x:c r="A213" s="56" t="str">
        <x:v>NL-0106</x:v>
      </x:c>
      <x:c r="B213" s="57" t="str">
        <x:v>Golf &amp; Country Makkeveld</x:v>
      </x:c>
      <x:c r="C213" s="57" t="str">
        <x:v>Course identity/specification</x:v>
      </x:c>
      <x:c r="D213" s="57" t="str">
        <x:v>https://www.golf.nl/de-baan-op/banenzoeker/overzicht</x:v>
      </x:c>
      <x:c r="E213" s="57" t="str">
        <x:v>Current national federation course register</x:v>
      </x:c>
      <x:c r="F213" s="57" t="str">
        <x:v>2026-08-15</x:v>
      </x:c>
      <x:c r="G213" s="14" t="str">
        <x:v>Current NGF/GOLF.NL listing: 9 holes, par 27, 860 metres. Listed as non-qualifying.</x:v>
      </x:c>
    </x:row>
    <x:row r="214">
      <x:c r="A214" s="56" t="str">
        <x:v>NL-0106</x:v>
      </x:c>
      <x:c r="B214" s="57" t="str">
        <x:v>Golf &amp; Country Makkeveld</x:v>
      </x:c>
      <x:c r="C214" s="57" t="str">
        <x:v>Coordinates/address</x:v>
      </x:c>
      <x:c r="D214" s="57" t="str">
        <x:v>https://api.pdok.nl/bzk/locatieserver/search/v3_1/free?q=Schafferweg+29+9907+TA+Losdorp&amp;fq=type%3Aadres&amp;rows=10</x:v>
      </x:c>
      <x:c r="E214" s="57" t="str">
        <x:v>Dutch BAG address point via PDOK Locatieserver</x:v>
      </x:c>
      <x:c r="F214" s="57" t="str">
        <x:v>2026-08-15</x:v>
      </x:c>
      <x:c r="G214" s="14" t="str">
        <x:v>Exact postcode-matched address point: Schafferweg 29, 9907TA Losdorp.</x:v>
      </x:c>
    </x:row>
    <x:row r="215">
      <x:c r="A215" s="56" t="str">
        <x:v>NL-0107</x:v>
      </x:c>
      <x:c r="B215" s="57" t="str">
        <x:v>Golfclub De Compagnie — Main Course</x:v>
      </x:c>
      <x:c r="C215" s="57" t="str">
        <x:v>Course identity/specification</x:v>
      </x:c>
      <x:c r="D215" s="57" t="str">
        <x:v>https://www.golf.nl/de-baan-op/banenzoeker/overzicht</x:v>
      </x:c>
      <x:c r="E215" s="57" t="str">
        <x:v>Current national federation course register</x:v>
      </x:c>
      <x:c r="F215" s="57" t="str">
        <x:v>2026-08-15</x:v>
      </x:c>
      <x:c r="G215" s="14" t="str">
        <x:v>Current NGF/GOLF.NL listing: 18 holes, par 72, 6295 metres. Combined from exact NGF-listed constituent nine-hole loops: 1ste negen (9 holes, par 36, 3082 m); 2de negen (9 holes, par 36, 3213 m) Listed as qualifying.</x:v>
      </x:c>
    </x:row>
    <x:row r="216">
      <x:c r="A216" s="56" t="str">
        <x:v>NL-0107</x:v>
      </x:c>
      <x:c r="B216" s="57" t="str">
        <x:v>Golfclub De Compagnie — Main Course</x:v>
      </x:c>
      <x:c r="C216" s="57" t="str">
        <x:v>Coordinates/address</x:v>
      </x:c>
      <x:c r="D216" s="57" t="str">
        <x:v>https://api.pdok.nl/bzk/locatieserver/search/v3_1/free?q=Golflaan+1%2C+9646+DS+Veendam&amp;fq=type%3Aadres&amp;rows=10</x:v>
      </x:c>
      <x:c r="E216" s="57" t="str">
        <x:v>Dutch BAG address point via PDOK Locatieserver</x:v>
      </x:c>
      <x:c r="F216" s="57" t="str">
        <x:v>2026-08-15</x:v>
      </x:c>
      <x:c r="G216" s="14" t="str">
        <x:v>Exact postcode-matched address point: Golflaan 1, 9646DS Veendam.</x:v>
      </x:c>
    </x:row>
    <x:row r="217">
      <x:c r="A217" s="56" t="str">
        <x:v>NL-0108</x:v>
      </x:c>
      <x:c r="B217" s="57" t="str">
        <x:v>Golfclub De Compagnie — Par-3 Course</x:v>
      </x:c>
      <x:c r="C217" s="57" t="str">
        <x:v>Course identity/specification</x:v>
      </x:c>
      <x:c r="D217" s="57" t="str">
        <x:v>https://www.golf.nl/de-baan-op/banenzoeker/overzicht</x:v>
      </x:c>
      <x:c r="E217" s="57" t="str">
        <x:v>Current national federation course register</x:v>
      </x:c>
      <x:c r="F217" s="57" t="str">
        <x:v>2026-08-15</x:v>
      </x:c>
      <x:c r="G217" s="14" t="str">
        <x:v>Current NGF/GOLF.NL listing: 9 holes, par 27, 779 metres. Listed as qualifying.</x:v>
      </x:c>
    </x:row>
    <x:row r="218">
      <x:c r="A218" s="56" t="str">
        <x:v>NL-0108</x:v>
      </x:c>
      <x:c r="B218" s="57" t="str">
        <x:v>Golfclub De Compagnie — Par-3 Course</x:v>
      </x:c>
      <x:c r="C218" s="57" t="str">
        <x:v>Coordinates/address</x:v>
      </x:c>
      <x:c r="D218" s="57" t="str">
        <x:v>https://api.pdok.nl/bzk/locatieserver/search/v3_1/free?q=Golflaan+1%2C+9646+DS+Veendam&amp;fq=type%3Aadres&amp;rows=10</x:v>
      </x:c>
      <x:c r="E218" s="57" t="str">
        <x:v>Dutch BAG address point via PDOK Locatieserver</x:v>
      </x:c>
      <x:c r="F218" s="57" t="str">
        <x:v>2026-08-15</x:v>
      </x:c>
      <x:c r="G218" s="14" t="str">
        <x:v>Exact postcode-matched address point: Golflaan 1, 9646DS Veendam.</x:v>
      </x:c>
    </x:row>
    <x:row r="219">
      <x:c r="A219" s="56" t="str">
        <x:v>NL-0109</x:v>
      </x:c>
      <x:c r="B219" s="57" t="str">
        <x:v>Golfclub Westerwolde</x:v>
      </x:c>
      <x:c r="C219" s="57" t="str">
        <x:v>Course identity/specification</x:v>
      </x:c>
      <x:c r="D219" s="57" t="str">
        <x:v>https://www.golf.nl/de-baan-op/banenzoeker/overzicht</x:v>
      </x:c>
      <x:c r="E219" s="57" t="str">
        <x:v>Current national federation course register</x:v>
      </x:c>
      <x:c r="F219" s="57" t="str">
        <x:v>2026-08-15</x:v>
      </x:c>
      <x:c r="G219" s="14" t="str">
        <x:v>Current NGF/GOLF.NL listing: 9 holes, par 35, 2468 metres. Listed as qualifying.</x:v>
      </x:c>
    </x:row>
    <x:row r="220">
      <x:c r="A220" s="56" t="str">
        <x:v>NL-0109</x:v>
      </x:c>
      <x:c r="B220" s="57" t="str">
        <x:v>Golfclub Westerwolde</x:v>
      </x:c>
      <x:c r="C220" s="57" t="str">
        <x:v>Coordinates/address</x:v>
      </x:c>
      <x:c r="D220" s="57" t="str">
        <x:v>https://api.pdok.nl/bzk/locatieserver/search/v3_1/free?q=Laan+van+Westerwolde+8%2C+9541+ZA+Vlagtwedde&amp;fq=type%3Aadres&amp;rows=10</x:v>
      </x:c>
      <x:c r="E220" s="57" t="str">
        <x:v>Dutch BAG address point via PDOK Locatieserver</x:v>
      </x:c>
      <x:c r="F220" s="57" t="str">
        <x:v>2026-08-15</x:v>
      </x:c>
      <x:c r="G220" s="14" t="str">
        <x:v>Exact postcode-matched address point: Laan van Westerwolde 8, 9541ZA Vlagtwedde.</x:v>
      </x:c>
    </x:row>
    <x:row r="221">
      <x:c r="A221" s="56" t="str">
        <x:v>NL-0110</x:v>
      </x:c>
      <x:c r="B221" s="57" t="str">
        <x:v>Golferij Eelde Groningen</x:v>
      </x:c>
      <x:c r="C221" s="57" t="str">
        <x:v>Course identity/specification</x:v>
      </x:c>
      <x:c r="D221" s="57" t="str">
        <x:v>https://www.golf.nl/de-baan-op/banenzoeker/overzicht</x:v>
      </x:c>
      <x:c r="E221" s="57" t="str">
        <x:v>Current national federation course register</x:v>
      </x:c>
      <x:c r="F221" s="57" t="str">
        <x:v>2026-08-15</x:v>
      </x:c>
      <x:c r="G221" s="14" t="str">
        <x:v>Current NGF/GOLF.NL listing: 5 holes, par 15, 400 metres. Listed as non-qualifying.</x:v>
      </x:c>
    </x:row>
    <x:row r="222">
      <x:c r="A222" s="56" t="str">
        <x:v>NL-0110</x:v>
      </x:c>
      <x:c r="B222" s="57" t="str">
        <x:v>Golferij Eelde Groningen</x:v>
      </x:c>
      <x:c r="C222" s="57" t="str">
        <x:v>Coordinates/address</x:v>
      </x:c>
      <x:c r="D222" s="57" t="str">
        <x:v>https://api.pdok.nl/bzk/locatieserver/search/v3_1/free?q=Hoppenkampsweg+1%2C+9761+GB+Eelde&amp;fq=type%3Aadres&amp;rows=10</x:v>
      </x:c>
      <x:c r="E222" s="57" t="str">
        <x:v>Dutch BAG address point via PDOK Locatieserver</x:v>
      </x:c>
      <x:c r="F222" s="57" t="str">
        <x:v>2026-08-15</x:v>
      </x:c>
      <x:c r="G222" s="14" t="str">
        <x:v>Exact postcode-matched address point: Hoppenkampsweg 1, 9761GB Eelde.</x:v>
      </x:c>
    </x:row>
    <x:row r="223">
      <x:c r="A223" s="56" t="str">
        <x:v>NL-0111</x:v>
      </x:c>
      <x:c r="B223" s="57" t="str">
        <x:v>Golfpark Exloo — Noord</x:v>
      </x:c>
      <x:c r="C223" s="57" t="str">
        <x:v>Course identity/specification</x:v>
      </x:c>
      <x:c r="D223" s="57" t="str">
        <x:v>https://www.golf.nl/de-baan-op/banenzoeker/overzicht</x:v>
      </x:c>
      <x:c r="E223" s="57" t="str">
        <x:v>Current national federation course register</x:v>
      </x:c>
      <x:c r="F223" s="57" t="str">
        <x:v>2026-08-15</x:v>
      </x:c>
      <x:c r="G223" s="14" t="str">
        <x:v>Current NGF/GOLF.NL listing: 9 holes, par 29, 1457 metres. Listed as qualifying.</x:v>
      </x:c>
    </x:row>
    <x:row r="224">
      <x:c r="A224" s="56" t="str">
        <x:v>NL-0111</x:v>
      </x:c>
      <x:c r="B224" s="57" t="str">
        <x:v>Golfpark Exloo — Noord</x:v>
      </x:c>
      <x:c r="C224" s="57" t="str">
        <x:v>Coordinates/address</x:v>
      </x:c>
      <x:c r="D224" s="57" t="str">
        <x:v>https://api.pdok.nl/bzk/locatieserver/search/v3_1/free?q=Valtherweg+27b%2C+7875+TA+Exloo&amp;fq=type%3Aadres&amp;rows=10</x:v>
      </x:c>
      <x:c r="E224" s="57" t="str">
        <x:v>Dutch BAG address point via PDOK Locatieserver</x:v>
      </x:c>
      <x:c r="F224" s="57" t="str">
        <x:v>2026-08-15</x:v>
      </x:c>
      <x:c r="G224" s="14" t="str">
        <x:v>Exact postcode-matched address point: Valtherweg 27B, 7875TA Exloo.</x:v>
      </x:c>
    </x:row>
    <x:row r="225">
      <x:c r="A225" s="56" t="str">
        <x:v>NL-0112</x:v>
      </x:c>
      <x:c r="B225" s="57" t="str">
        <x:v>Golfpark Exloo — Zuid</x:v>
      </x:c>
      <x:c r="C225" s="57" t="str">
        <x:v>Course identity/specification</x:v>
      </x:c>
      <x:c r="D225" s="57" t="str">
        <x:v>https://www.golf.nl/de-baan-op/banenzoeker/overzicht</x:v>
      </x:c>
      <x:c r="E225" s="57" t="str">
        <x:v>Current national federation course register</x:v>
      </x:c>
      <x:c r="F225" s="57" t="str">
        <x:v>2026-08-15</x:v>
      </x:c>
      <x:c r="G225" s="14" t="str">
        <x:v>Current NGF/GOLF.NL listing: 9 holes, par 35, 2668 metres. Listed as qualifying.</x:v>
      </x:c>
    </x:row>
    <x:row r="226">
      <x:c r="A226" s="56" t="str">
        <x:v>NL-0112</x:v>
      </x:c>
      <x:c r="B226" s="57" t="str">
        <x:v>Golfpark Exloo — Zuid</x:v>
      </x:c>
      <x:c r="C226" s="57" t="str">
        <x:v>Coordinates/address</x:v>
      </x:c>
      <x:c r="D226" s="57" t="str">
        <x:v>https://api.pdok.nl/bzk/locatieserver/search/v3_1/free?q=Valtherweg+27b%2C+7875+TA+Exloo&amp;fq=type%3Aadres&amp;rows=10</x:v>
      </x:c>
      <x:c r="E226" s="57" t="str">
        <x:v>Dutch BAG address point via PDOK Locatieserver</x:v>
      </x:c>
      <x:c r="F226" s="57" t="str">
        <x:v>2026-08-15</x:v>
      </x:c>
      <x:c r="G226" s="14" t="str">
        <x:v>Exact postcode-matched address point: Valtherweg 27B, 7875TA Exloo.</x:v>
      </x:c>
    </x:row>
    <x:row r="227">
      <x:c r="A227" s="56" t="str">
        <x:v>NL-0113</x:v>
      </x:c>
      <x:c r="B227" s="57" t="str">
        <x:v>Groningse Golfclub Duurswold</x:v>
      </x:c>
      <x:c r="C227" s="57" t="str">
        <x:v>Course identity/specification</x:v>
      </x:c>
      <x:c r="D227" s="57" t="str">
        <x:v>https://www.golf.nl/de-baan-op/banenzoeker/overzicht</x:v>
      </x:c>
      <x:c r="E227" s="57" t="str">
        <x:v>Current national federation course register</x:v>
      </x:c>
      <x:c r="F227" s="57" t="str">
        <x:v>2026-08-15</x:v>
      </x:c>
      <x:c r="G227" s="14" t="str">
        <x:v>Current NGF/GOLF.NL listing: 9 holes, par 37, 3294 metres. Listed as qualifying.</x:v>
      </x:c>
    </x:row>
    <x:row r="228">
      <x:c r="A228" s="56" t="str">
        <x:v>NL-0113</x:v>
      </x:c>
      <x:c r="B228" s="57" t="str">
        <x:v>Groningse Golfclub Duurswold</x:v>
      </x:c>
      <x:c r="C228" s="57" t="str">
        <x:v>Coordinates/address</x:v>
      </x:c>
      <x:c r="D228" s="57" t="str">
        <x:v>https://api.pdok.nl/bzk/locatieserver/search/v3_1/free?q=Roegeweg+2%2C+9629+PA+Steendam&amp;fq=type%3Aadres&amp;rows=10</x:v>
      </x:c>
      <x:c r="E228" s="57" t="str">
        <x:v>Dutch BAG address point via PDOK Locatieserver</x:v>
      </x:c>
      <x:c r="F228" s="57" t="str">
        <x:v>2026-08-15</x:v>
      </x:c>
      <x:c r="G228" s="14" t="str">
        <x:v>Exact postcode-matched address point: Roegeweg 2, 9629PA Steendam.</x:v>
      </x:c>
    </x:row>
    <x:row r="229">
      <x:c r="A229" s="56" t="str">
        <x:v>NL-0114</x:v>
      </x:c>
      <x:c r="B229" s="57" t="str">
        <x:v>Noord-Nederlandse Golf &amp; Country Club — Main Course</x:v>
      </x:c>
      <x:c r="C229" s="57" t="str">
        <x:v>Course identity/specification</x:v>
      </x:c>
      <x:c r="D229" s="57" t="str">
        <x:v>https://www.golf.nl/de-baan-op/banenzoeker/overzicht</x:v>
      </x:c>
      <x:c r="E229" s="57" t="str">
        <x:v>Current national federation course register</x:v>
      </x:c>
      <x:c r="F229" s="57" t="str">
        <x:v>2026-08-15</x:v>
      </x:c>
      <x:c r="G229" s="14" t="str">
        <x:v>Current NGF/GOLF.NL listing: 18 holes, par 72, 5971 metres. Combined from exact NGF-listed constituent nine-hole loops: 1ste negen (9 holes, par 36, 2823 m); 2de negen (9 holes, par 36, 3148 m) Listed as qualifying.</x:v>
      </x:c>
    </x:row>
    <x:row r="230">
      <x:c r="A230" s="56" t="str">
        <x:v>NL-0114</x:v>
      </x:c>
      <x:c r="B230" s="57" t="str">
        <x:v>Noord-Nederlandse Golf &amp; Country Club — Main Course</x:v>
      </x:c>
      <x:c r="C230" s="57" t="str">
        <x:v>Coordinates/address</x:v>
      </x:c>
      <x:c r="D230" s="57" t="str">
        <x:v>https://api.pdok.nl/bzk/locatieserver/search/v3_1/free?q=Pollselaan+5%2C+9756+CJ+Glimmen&amp;fq=type%3Aadres&amp;rows=10</x:v>
      </x:c>
      <x:c r="E230" s="57" t="str">
        <x:v>Dutch BAG address point via PDOK Locatieserver</x:v>
      </x:c>
      <x:c r="F230" s="57" t="str">
        <x:v>2026-08-15</x:v>
      </x:c>
      <x:c r="G230" s="14" t="str">
        <x:v>Exact postcode-matched address point: Pollselaan 5, 9756CJ Glimmen.</x:v>
      </x:c>
    </x:row>
    <x:row r="231">
      <x:c r="A231" s="56" t="str">
        <x:v>NL-0115</x:v>
      </x:c>
      <x:c r="B231" s="57" t="str">
        <x:v>Pitch &amp; putt Buitengoed Weerwille Ruimerwold — 1ste negen</x:v>
      </x:c>
      <x:c r="C231" s="57" t="str">
        <x:v>Course identity/specification</x:v>
      </x:c>
      <x:c r="D231" s="57" t="str">
        <x:v>https://www.golf.nl/de-baan-op/banenzoeker/overzicht</x:v>
      </x:c>
      <x:c r="E231" s="57" t="str">
        <x:v>Current national federation course register</x:v>
      </x:c>
      <x:c r="F231" s="57" t="str">
        <x:v>2026-08-15</x:v>
      </x:c>
      <x:c r="G231" s="14" t="str">
        <x:v>Current NGF/GOLF.NL listing: 9 holes, par 27, 450 metres. Listed as non-qualifying.</x:v>
      </x:c>
    </x:row>
    <x:row r="232">
      <x:c r="A232" s="56" t="str">
        <x:v>NL-0115</x:v>
      </x:c>
      <x:c r="B232" s="57" t="str">
        <x:v>Pitch &amp; putt Buitengoed Weerwille Ruimerwold — 1ste negen</x:v>
      </x:c>
      <x:c r="C232" s="57" t="str">
        <x:v>Coordinates/address</x:v>
      </x:c>
      <x:c r="D232" s="57" t="str">
        <x:v>https://api.pdok.nl/bzk/locatieserver/search/v3_1/free?q=Weerwille+16A%2C+7961+LV+Ruinerwold&amp;fq=type%3Aadres&amp;rows=10</x:v>
      </x:c>
      <x:c r="E232" s="57" t="str">
        <x:v>Dutch BAG address point via PDOK Locatieserver</x:v>
      </x:c>
      <x:c r="F232" s="57" t="str">
        <x:v>2026-08-15</x:v>
      </x:c>
      <x:c r="G232" s="14" t="str">
        <x:v>Exact postcode-matched address point: Weerwille 16a, 7961LV Ruinerwold.</x:v>
      </x:c>
    </x:row>
    <x:row r="233">
      <x:c r="A233" s="56" t="str">
        <x:v>NL-0116</x:v>
      </x:c>
      <x:c r="B233" s="57" t="str">
        <x:v>Pitch &amp; putt Buitengoed Weerwille Ruinerwold — 2de negen</x:v>
      </x:c>
      <x:c r="C233" s="57" t="str">
        <x:v>Course identity/specification</x:v>
      </x:c>
      <x:c r="D233" s="57" t="str">
        <x:v>https://www.golf.nl/de-baan-op/banenzoeker/overzicht</x:v>
      </x:c>
      <x:c r="E233" s="57" t="str">
        <x:v>Current national federation course register</x:v>
      </x:c>
      <x:c r="F233" s="57" t="str">
        <x:v>2026-08-15</x:v>
      </x:c>
      <x:c r="G233" s="14" t="str">
        <x:v>Current NGF/GOLF.NL listing: 9 holes, par 27, 450 metres. Listed as non-qualifying.</x:v>
      </x:c>
    </x:row>
    <x:row r="234">
      <x:c r="A234" s="56" t="str">
        <x:v>NL-0116</x:v>
      </x:c>
      <x:c r="B234" s="57" t="str">
        <x:v>Pitch &amp; putt Buitengoed Weerwille Ruinerwold — 2de negen</x:v>
      </x:c>
      <x:c r="C234" s="57" t="str">
        <x:v>Coordinates/address</x:v>
      </x:c>
      <x:c r="D234" s="57" t="str">
        <x:v>https://api.pdok.nl/bzk/locatieserver/search/v3_1/free?q=Weerwille+16A%2C+7961+LV+Ruinerwold&amp;fq=type%3Aadres&amp;rows=10</x:v>
      </x:c>
      <x:c r="E234" s="57" t="str">
        <x:v>Dutch BAG address point via PDOK Locatieserver</x:v>
      </x:c>
      <x:c r="F234" s="57" t="str">
        <x:v>2026-08-15</x:v>
      </x:c>
      <x:c r="G234" s="14" t="str">
        <x:v>Exact postcode-matched address point: Weerwille 16a, 7961LV Ruinerwold.</x:v>
      </x:c>
    </x:row>
    <x:row r="235">
      <x:c r="A235" s="56" t="str">
        <x:v>NL-0117</x:v>
      </x:c>
      <x:c r="B235" s="57" t="str">
        <x:v>Pitch &amp; putt Groningen — Shortgolf / Pitch &amp; Putt Course</x:v>
      </x:c>
      <x:c r="C235" s="57" t="str">
        <x:v>Course identity/specification</x:v>
      </x:c>
      <x:c r="D235" s="57" t="str">
        <x:v>https://www.golf.nl/de-baan-op/banenzoeker/overzicht</x:v>
      </x:c>
      <x:c r="E235" s="57" t="str">
        <x:v>Current national federation course register</x:v>
      </x:c>
      <x:c r="F235" s="57" t="str">
        <x:v>2026-08-15</x:v>
      </x:c>
      <x:c r="G235" s="14" t="str">
        <x:v>Current NGF/GOLF.NL listing: 18 holes, par 54, 1004 metres. Combined from exact NGF-listed constituent nine-hole loops: 1ste negen (9 holes, par 27, 541 m); 2de negen (9 holes, par 27, 463 m) Listed as non-qualifying.</x:v>
      </x:c>
    </x:row>
    <x:row r="236">
      <x:c r="A236" s="56" t="str">
        <x:v>NL-0117</x:v>
      </x:c>
      <x:c r="B236" s="57" t="str">
        <x:v>Pitch &amp; putt Groningen — Shortgolf / Pitch &amp; Putt Course</x:v>
      </x:c>
      <x:c r="C236" s="57" t="str">
        <x:v>Coordinates/address</x:v>
      </x:c>
      <x:c r="D236" s="57" t="str">
        <x:v>https://api.pdok.nl/bzk/locatieserver/search/v3_1/free?q=Bieskemaar+10%2C+9735+AE+Groningen&amp;fq=type%3Aadres&amp;rows=10</x:v>
      </x:c>
      <x:c r="E236" s="57" t="str">
        <x:v>Dutch BAG address point via PDOK Locatieserver</x:v>
      </x:c>
      <x:c r="F236" s="57" t="str">
        <x:v>2026-08-15</x:v>
      </x:c>
      <x:c r="G236" s="14" t="str">
        <x:v>Exact postcode-matched address point: Bieskemaar 10, 9735AE Groningen.</x:v>
      </x:c>
    </x:row>
    <x:row r="237">
      <x:c r="A237" s="56" t="str">
        <x:v>NL-0118</x:v>
      </x:c>
      <x:c r="B237" s="57" t="str">
        <x:v>Pitch &amp; putt Oostwold — Shortgolf / Pitch &amp; Putt Course</x:v>
      </x:c>
      <x:c r="C237" s="57" t="str">
        <x:v>Course identity/specification</x:v>
      </x:c>
      <x:c r="D237" s="57" t="str">
        <x:v>https://www.golf.nl/de-baan-op/banenzoeker/overzicht</x:v>
      </x:c>
      <x:c r="E237" s="57" t="str">
        <x:v>Current national federation course register</x:v>
      </x:c>
      <x:c r="F237" s="57" t="str">
        <x:v>2026-08-15</x:v>
      </x:c>
      <x:c r="G237" s="14" t="str">
        <x:v>Current NGF/GOLF.NL listing: 18 holes, par 54, 900 metres. Combined from exact NGF-listed constituent nine-hole loops: 1ste negen (9 holes, par 27, 450 m); 2de negen (9 holes, par 27, 450 m) Listed as non-qualifying.</x:v>
      </x:c>
    </x:row>
    <x:row r="238">
      <x:c r="A238" s="56" t="str">
        <x:v>NL-0118</x:v>
      </x:c>
      <x:c r="B238" s="57" t="str">
        <x:v>Pitch &amp; putt Oostwold — Shortgolf / Pitch &amp; Putt Course</x:v>
      </x:c>
      <x:c r="C238" s="57" t="str">
        <x:v>Coordinates/address</x:v>
      </x:c>
      <x:c r="D238" s="57" t="str">
        <x:v>https://api.pdok.nl/bzk/locatieserver/search/v3_1/free?q=Huningaweg+7%2C+9682+PA+Oostwold&amp;fq=type%3Aadres&amp;rows=10</x:v>
      </x:c>
      <x:c r="E238" s="57" t="str">
        <x:v>Dutch BAG address point via PDOK Locatieserver</x:v>
      </x:c>
      <x:c r="F238" s="57" t="str">
        <x:v>2026-08-15</x:v>
      </x:c>
      <x:c r="G238" s="14" t="str">
        <x:v>Exact postcode-matched address point: Huningaweg 7, 9682PA Oostwold.</x:v>
      </x:c>
    </x:row>
    <x:row r="239">
      <x:c r="A239" s="56" t="str">
        <x:v>NL-0119</x:v>
      </x:c>
      <x:c r="B239" s="57" t="str">
        <x:v>Crossmoor Golf — Main Course</x:v>
      </x:c>
      <x:c r="C239" s="57" t="str">
        <x:v>Course identity/specification</x:v>
      </x:c>
      <x:c r="D239" s="57" t="str">
        <x:v>https://www.golf.nl/de-baan-op/banenzoeker/overzicht</x:v>
      </x:c>
      <x:c r="E239" s="57" t="str">
        <x:v>Current national federation course register</x:v>
      </x:c>
      <x:c r="F239" s="57" t="str">
        <x:v>2026-08-15</x:v>
      </x:c>
      <x:c r="G239" s="14" t="str">
        <x:v>Current NGF/GOLF.NL listing: 18 holes, par 72, 6198 metres. Combined from exact NGF-listed constituent nine-hole loops: 1ste negen (9 holes, par 36, 3193 m); 2de negen (9 holes, par 36, 3005 m) Listed as qualifying.</x:v>
      </x:c>
    </x:row>
    <x:row r="240">
      <x:c r="A240" s="56" t="str">
        <x:v>NL-0119</x:v>
      </x:c>
      <x:c r="B240" s="57" t="str">
        <x:v>Crossmoor Golf — Main Course</x:v>
      </x:c>
      <x:c r="C240" s="57" t="str">
        <x:v>Coordinates/address</x:v>
      </x:c>
      <x:c r="D240" s="57" t="str">
        <x:v>https://api.pdok.nl/bzk/locatieserver/search/v3_1/free?q=Laurabosweg+8%2C+6006+VR+Weert&amp;fq=type%3Aadres&amp;rows=10</x:v>
      </x:c>
      <x:c r="E240" s="57" t="str">
        <x:v>Dutch BAG address point via PDOK Locatieserver</x:v>
      </x:c>
      <x:c r="F240" s="57" t="str">
        <x:v>2026-08-15</x:v>
      </x:c>
      <x:c r="G240" s="14" t="str">
        <x:v>Exact postcode-matched address point: Laurabosweg 8, 6006VR Weert.</x:v>
      </x:c>
    </x:row>
    <x:row r="241">
      <x:c r="A241" s="56" t="str">
        <x:v>NL-0120</x:v>
      </x:c>
      <x:c r="B241" s="57" t="str">
        <x:v>Crossmoor Golf — Par-3 Course</x:v>
      </x:c>
      <x:c r="C241" s="57" t="str">
        <x:v>Course identity/specification</x:v>
      </x:c>
      <x:c r="D241" s="57" t="str">
        <x:v>https://www.golf.nl/de-baan-op/banenzoeker/overzicht</x:v>
      </x:c>
      <x:c r="E241" s="57" t="str">
        <x:v>Current national federation course register</x:v>
      </x:c>
      <x:c r="F241" s="57" t="str">
        <x:v>2026-08-15</x:v>
      </x:c>
      <x:c r="G241" s="14" t="str">
        <x:v>Current NGF/GOLF.NL listing: 9 holes, par 27, 782 metres. Listed as qualifying.</x:v>
      </x:c>
    </x:row>
    <x:row r="242">
      <x:c r="A242" s="56" t="str">
        <x:v>NL-0120</x:v>
      </x:c>
      <x:c r="B242" s="57" t="str">
        <x:v>Crossmoor Golf — Par-3 Course</x:v>
      </x:c>
      <x:c r="C242" s="57" t="str">
        <x:v>Coordinates/address</x:v>
      </x:c>
      <x:c r="D242" s="57" t="str">
        <x:v>https://api.pdok.nl/bzk/locatieserver/search/v3_1/free?q=Laurabosweg+8%2C+6006+VR+Weert&amp;fq=type%3Aadres&amp;rows=10</x:v>
      </x:c>
      <x:c r="E242" s="57" t="str">
        <x:v>Dutch BAG address point via PDOK Locatieserver</x:v>
      </x:c>
      <x:c r="F242" s="57" t="str">
        <x:v>2026-08-15</x:v>
      </x:c>
      <x:c r="G242" s="14" t="str">
        <x:v>Exact postcode-matched address point: Laurabosweg 8, 6006VR Weert.</x:v>
      </x:c>
    </x:row>
    <x:row r="243">
      <x:c r="A243" s="56" t="str">
        <x:v>NL-0121</x:v>
      </x:c>
      <x:c r="B243" s="57" t="str">
        <x:v>De Herkenbosche — Main Course</x:v>
      </x:c>
      <x:c r="C243" s="57" t="str">
        <x:v>Course identity/specification</x:v>
      </x:c>
      <x:c r="D243" s="57" t="str">
        <x:v>https://www.golf.nl/de-baan-op/banenzoeker/overzicht</x:v>
      </x:c>
      <x:c r="E243" s="57" t="str">
        <x:v>Current national federation course register</x:v>
      </x:c>
      <x:c r="F243" s="57" t="str">
        <x:v>2026-08-15</x:v>
      </x:c>
      <x:c r="G243" s="14" t="str">
        <x:v>Current NGF/GOLF.NL listing: 18 holes, par 72, 6141 metres. Combined from exact NGF-listed constituent nine-hole loops: 1ste negen (9 holes, par 36, 3082 m); 2de negen (9 holes, par 36, 3059 m) Listed as qualifying.</x:v>
      </x:c>
    </x:row>
    <x:row r="244">
      <x:c r="A244" s="56" t="str">
        <x:v>NL-0121</x:v>
      </x:c>
      <x:c r="B244" s="57" t="str">
        <x:v>De Herkenbosche — Main Course</x:v>
      </x:c>
      <x:c r="C244" s="57" t="str">
        <x:v>Coordinates/address</x:v>
      </x:c>
      <x:c r="D244" s="57" t="str">
        <x:v>https://api.pdok.nl/bzk/locatieserver/search/v3_1/free?q=Stationsweg+100%2C+6075+CD+Melick-Herkenbosch&amp;fq=type%3Aadres&amp;rows=10</x:v>
      </x:c>
      <x:c r="E244" s="57" t="str">
        <x:v>Dutch BAG address point via PDOK Locatieserver</x:v>
      </x:c>
      <x:c r="F244" s="57" t="str">
        <x:v>2026-08-15</x:v>
      </x:c>
      <x:c r="G244" s="14" t="str">
        <x:v>Exact postcode-matched address point: Stationsweg 100-REST, 6075CD Herkenbosch.</x:v>
      </x:c>
    </x:row>
    <x:row r="245">
      <x:c r="A245" s="56" t="str">
        <x:v>NL-0122</x:v>
      </x:c>
      <x:c r="B245" s="57" t="str">
        <x:v>De Herkenbosche — Par-3 Course</x:v>
      </x:c>
      <x:c r="C245" s="57" t="str">
        <x:v>Course identity/specification</x:v>
      </x:c>
      <x:c r="D245" s="57" t="str">
        <x:v>https://www.golf.nl/de-baan-op/banenzoeker/overzicht</x:v>
      </x:c>
      <x:c r="E245" s="57" t="str">
        <x:v>Current national federation course register</x:v>
      </x:c>
      <x:c r="F245" s="57" t="str">
        <x:v>2026-08-15</x:v>
      </x:c>
      <x:c r="G245" s="14" t="str">
        <x:v>Current NGF/GOLF.NL listing: 9 holes, par 27, 562 metres. Listed as qualifying.</x:v>
      </x:c>
    </x:row>
    <x:row r="246">
      <x:c r="A246" s="56" t="str">
        <x:v>NL-0122</x:v>
      </x:c>
      <x:c r="B246" s="57" t="str">
        <x:v>De Herkenbosche — Par-3 Course</x:v>
      </x:c>
      <x:c r="C246" s="57" t="str">
        <x:v>Coordinates/address</x:v>
      </x:c>
      <x:c r="D246" s="57" t="str">
        <x:v>https://api.pdok.nl/bzk/locatieserver/search/v3_1/free?q=Stationsweg+100%2C+6075+CD+Melick-Herkenbosch&amp;fq=type%3Aadres&amp;rows=10</x:v>
      </x:c>
      <x:c r="E246" s="57" t="str">
        <x:v>Dutch BAG address point via PDOK Locatieserver</x:v>
      </x:c>
      <x:c r="F246" s="57" t="str">
        <x:v>2026-08-15</x:v>
      </x:c>
      <x:c r="G246" s="14" t="str">
        <x:v>Exact postcode-matched address point: Stationsweg 100-REST, 6075CD Herkenbosch.</x:v>
      </x:c>
    </x:row>
    <x:row r="247">
      <x:c r="A247" s="56" t="str">
        <x:v>NL-0123</x:v>
      </x:c>
      <x:c r="B247" s="57" t="str">
        <x:v>De Zuid Limburgse Golf- en Countryclub Wittem — Main Course</x:v>
      </x:c>
      <x:c r="C247" s="57" t="str">
        <x:v>Course identity/specification</x:v>
      </x:c>
      <x:c r="D247" s="57" t="str">
        <x:v>https://www.golf.nl/de-baan-op/banenzoeker/overzicht</x:v>
      </x:c>
      <x:c r="E247" s="57" t="str">
        <x:v>Current national federation course register</x:v>
      </x:c>
      <x:c r="F247" s="57" t="str">
        <x:v>2026-08-15</x:v>
      </x:c>
      <x:c r="G247" s="14" t="str">
        <x:v>Current NGF/GOLF.NL listing: 18 holes, par 71, 5765 metres. Combined from exact NGF-listed constituent nine-hole loops: 1ste negen (9 holes, par 36, 2927 m); 2de negen (9 holes, par 35, 2838 m) Listed as qualifying.</x:v>
      </x:c>
    </x:row>
    <x:row r="248">
      <x:c r="A248" s="56" t="str">
        <x:v>NL-0123</x:v>
      </x:c>
      <x:c r="B248" s="57" t="str">
        <x:v>De Zuid Limburgse Golf- en Countryclub Wittem — Main Course</x:v>
      </x:c>
      <x:c r="C248" s="57" t="str">
        <x:v>Coordinates/address</x:v>
      </x:c>
      <x:c r="D248" s="57" t="str">
        <x:v>https://api.pdok.nl/bzk/locatieserver/search/v3_1/free?q=Aubelsweg+1%2C+6281+PC+Gulpen-Wittem&amp;fq=type%3Aadres&amp;rows=10</x:v>
      </x:c>
      <x:c r="E248" s="57" t="str">
        <x:v>Dutch BAG address point via PDOK Locatieserver</x:v>
      </x:c>
      <x:c r="F248" s="57" t="str">
        <x:v>2026-08-15</x:v>
      </x:c>
      <x:c r="G248" s="14" t="str">
        <x:v>Exact postcode-matched address point: Aubelsweg 1, 6281PC Mechelen.</x:v>
      </x:c>
    </x:row>
    <x:row r="249">
      <x:c r="A249" s="56" t="str">
        <x:v>NL-0124</x:v>
      </x:c>
      <x:c r="B249" s="57" t="str">
        <x:v>Golf aan de Postweg</x:v>
      </x:c>
      <x:c r="C249" s="57" t="str">
        <x:v>Course identity/specification</x:v>
      </x:c>
      <x:c r="D249" s="57" t="str">
        <x:v>https://www.golf.nl/de-baan-op/banenzoeker/overzicht</x:v>
      </x:c>
      <x:c r="E249" s="57" t="str">
        <x:v>Current national federation course register</x:v>
      </x:c>
      <x:c r="F249" s="57" t="str">
        <x:v>2026-08-15</x:v>
      </x:c>
      <x:c r="G249" s="14" t="str">
        <x:v>Current NGF/GOLF.NL listing: 9 holes, par 29, 1000 metres. Listed as non-qualifying.</x:v>
      </x:c>
    </x:row>
    <x:row r="250">
      <x:c r="A250" s="56" t="str">
        <x:v>NL-0124</x:v>
      </x:c>
      <x:c r="B250" s="57" t="str">
        <x:v>Golf aan de Postweg</x:v>
      </x:c>
      <x:c r="C250" s="57" t="str">
        <x:v>Coordinates/address</x:v>
      </x:c>
      <x:c r="D250" s="57" t="str">
        <x:v>https://api.pdok.nl/bzk/locatieserver/search/v3_1/free?q=Leutherweg+188%2C+5915+CM+Venlo&amp;fq=type%3Aadres&amp;rows=10</x:v>
      </x:c>
      <x:c r="E250" s="57" t="str">
        <x:v>Dutch BAG address point via PDOK Locatieserver</x:v>
      </x:c>
      <x:c r="F250" s="57" t="str">
        <x:v>2026-08-15</x:v>
      </x:c>
      <x:c r="G250" s="14" t="str">
        <x:v>Exact postcode-matched address point: Leutherweg 188, 5915CM Venlo.</x:v>
      </x:c>
    </x:row>
    <x:row r="251">
      <x:c r="A251" s="56" t="str">
        <x:v>NL-0125</x:v>
      </x:c>
      <x:c r="B251" s="57" t="str">
        <x:v>Golf Eyckenduyn</x:v>
      </x:c>
      <x:c r="C251" s="57" t="str">
        <x:v>Course identity/specification</x:v>
      </x:c>
      <x:c r="D251" s="57" t="str">
        <x:v>https://www.golf.nl/de-baan-op/banenzoeker/overzicht</x:v>
      </x:c>
      <x:c r="E251" s="57" t="str">
        <x:v>Current national federation course register</x:v>
      </x:c>
      <x:c r="F251" s="57" t="str">
        <x:v>2026-08-15</x:v>
      </x:c>
      <x:c r="G251" s="14" t="str">
        <x:v>Current NGF/GOLF.NL listing: 9 holes, par 29, 1495 metres. Listed as qualifying.</x:v>
      </x:c>
    </x:row>
    <x:row r="252">
      <x:c r="A252" s="56" t="str">
        <x:v>NL-0125</x:v>
      </x:c>
      <x:c r="B252" s="57" t="str">
        <x:v>Golf Eyckenduyn</x:v>
      </x:c>
      <x:c r="C252" s="57" t="str">
        <x:v>Coordinates/address</x:v>
      </x:c>
      <x:c r="D252" s="57" t="str">
        <x:v>https://api.pdok.nl/bzk/locatieserver/search/v3_1/free?q=Kesselseweg+9%2C+5988+CC+Helden&amp;fq=type%3Aadres&amp;rows=10</x:v>
      </x:c>
      <x:c r="E252" s="57" t="str">
        <x:v>Dutch BAG address point via PDOK Locatieserver</x:v>
      </x:c>
      <x:c r="F252" s="57" t="str">
        <x:v>2026-08-15</x:v>
      </x:c>
      <x:c r="G252" s="14" t="str">
        <x:v>Exact postcode-matched address point: Kesselseweg 9A, 5988CC Helden.</x:v>
      </x:c>
    </x:row>
    <x:row r="253">
      <x:c r="A253" s="56" t="str">
        <x:v>NL-0126</x:v>
      </x:c>
      <x:c r="B253" s="57" t="str">
        <x:v>Golf Maasduinen</x:v>
      </x:c>
      <x:c r="C253" s="57" t="str">
        <x:v>Course identity/specification</x:v>
      </x:c>
      <x:c r="D253" s="57" t="str">
        <x:v>https://www.golf.nl/de-baan-op/banenzoeker/overzicht</x:v>
      </x:c>
      <x:c r="E253" s="57" t="str">
        <x:v>Current national federation course register</x:v>
      </x:c>
      <x:c r="F253" s="57" t="str">
        <x:v>2026-08-15</x:v>
      </x:c>
      <x:c r="G253" s="14" t="str">
        <x:v>Current NGF/GOLF.NL listing: 9 holes, par 29, 1187 metres. Listed as qualifying.</x:v>
      </x:c>
    </x:row>
    <x:row r="254">
      <x:c r="A254" s="56" t="str">
        <x:v>NL-0126</x:v>
      </x:c>
      <x:c r="B254" s="57" t="str">
        <x:v>Golf Maasduinen</x:v>
      </x:c>
      <x:c r="C254" s="57" t="str">
        <x:v>Coordinates/address</x:v>
      </x:c>
      <x:c r="D254" s="57" t="str">
        <x:v>https://api.pdok.nl/bzk/locatieserver/search/v3_1/free?q=Verlengde+Roobeekweg+4A%2C+5944+NR+Arcen&amp;fq=type%3Aadres&amp;rows=10</x:v>
      </x:c>
      <x:c r="E254" s="57" t="str">
        <x:v>Dutch BAG address point via PDOK Locatieserver</x:v>
      </x:c>
      <x:c r="F254" s="57" t="str">
        <x:v>2026-08-15</x:v>
      </x:c>
      <x:c r="G254" s="14" t="str">
        <x:v>Exact postcode-matched address point: Verlengde Roobeekweg 4A, 5944NR Arcen.</x:v>
      </x:c>
    </x:row>
    <x:row r="255">
      <x:c r="A255" s="56" t="str">
        <x:v>NL-0127</x:v>
      </x:c>
      <x:c r="B255" s="57" t="str">
        <x:v>Golf- &amp; Countryclub Geijsteren — Main Course</x:v>
      </x:c>
      <x:c r="C255" s="57" t="str">
        <x:v>Course identity/specification</x:v>
      </x:c>
      <x:c r="D255" s="57" t="str">
        <x:v>https://www.golf.nl/de-baan-op/banenzoeker/overzicht</x:v>
      </x:c>
      <x:c r="E255" s="57" t="str">
        <x:v>Current national federation course register</x:v>
      </x:c>
      <x:c r="F255" s="57" t="str">
        <x:v>2026-08-15</x:v>
      </x:c>
      <x:c r="G255" s="14" t="str">
        <x:v>Current NGF/GOLF.NL listing: 18 holes, par 72, 6090 metres. Combined from exact NGF-listed constituent nine-hole loops: 1ste negen (9 holes, par 35, 2881 m); 2de negen (9 holes, par 37, 3209 m) Listed as qualifying.</x:v>
      </x:c>
    </x:row>
    <x:row r="256">
      <x:c r="A256" s="56" t="str">
        <x:v>NL-0127</x:v>
      </x:c>
      <x:c r="B256" s="57" t="str">
        <x:v>Golf- &amp; Countryclub Geijsteren — Main Course</x:v>
      </x:c>
      <x:c r="C256" s="57" t="str">
        <x:v>Coordinates/address</x:v>
      </x:c>
      <x:c r="D256" s="57" t="str">
        <x:v>https://api.pdok.nl/bzk/locatieserver/search/v3_1/free?q=Maasheseweg+4%2C+5862+AB+Geysteren&amp;fq=type%3Aadres&amp;rows=10</x:v>
      </x:c>
      <x:c r="E256" s="57" t="str">
        <x:v>Dutch BAG address point via PDOK Locatieserver</x:v>
      </x:c>
      <x:c r="F256" s="57" t="str">
        <x:v>2026-08-15</x:v>
      </x:c>
      <x:c r="G256" s="14" t="str">
        <x:v>Exact postcode-matched address point: Maasheseweg 4, 5862AB Geijsteren.</x:v>
      </x:c>
    </x:row>
    <x:row r="257">
      <x:c r="A257" s="56" t="str">
        <x:v>NL-0128</x:v>
      </x:c>
      <x:c r="B257" s="57" t="str">
        <x:v>Golf-Resort Brunssummerheide — Blauw</x:v>
      </x:c>
      <x:c r="C257" s="57" t="str">
        <x:v>Course identity/specification</x:v>
      </x:c>
      <x:c r="D257" s="57" t="str">
        <x:v>https://www.golf.nl/de-baan-op/banenzoeker/overzicht</x:v>
      </x:c>
      <x:c r="E257" s="57" t="str">
        <x:v>Current national federation course register</x:v>
      </x:c>
      <x:c r="F257" s="57" t="str">
        <x:v>2026-08-15</x:v>
      </x:c>
      <x:c r="G257" s="14" t="str">
        <x:v>Current NGF/GOLF.NL listing: 9 holes, par 36, 3098 metres. Listed as qualifying.</x:v>
      </x:c>
    </x:row>
    <x:row r="258">
      <x:c r="A258" s="56" t="str">
        <x:v>NL-0128</x:v>
      </x:c>
      <x:c r="B258" s="57" t="str">
        <x:v>Golf-Resort Brunssummerheide — Blauw</x:v>
      </x:c>
      <x:c r="C258" s="57" t="str">
        <x:v>Coordinates/address</x:v>
      </x:c>
      <x:c r="D258" s="57" t="str">
        <x:v>https://api.pdok.nl/bzk/locatieserver/search/v3_1/free?q=Rimburgerweg+52%2C+6445+PA+Brunssum&amp;fq=type%3Aadres&amp;rows=10</x:v>
      </x:c>
      <x:c r="E258" s="57" t="str">
        <x:v>Dutch BAG address point via PDOK Locatieserver</x:v>
      </x:c>
      <x:c r="F258" s="57" t="str">
        <x:v>2026-08-15</x:v>
      </x:c>
      <x:c r="G258" s="14" t="str">
        <x:v>Exact postcode-matched address point: Rimburgerweg 52, 6445PA Brunssum.</x:v>
      </x:c>
    </x:row>
    <x:row r="259">
      <x:c r="A259" s="56" t="str">
        <x:v>NL-0129</x:v>
      </x:c>
      <x:c r="B259" s="57" t="str">
        <x:v>Golf-Resort Brunssummerheide — Geel</x:v>
      </x:c>
      <x:c r="C259" s="57" t="str">
        <x:v>Course identity/specification</x:v>
      </x:c>
      <x:c r="D259" s="57" t="str">
        <x:v>https://www.golf.nl/de-baan-op/banenzoeker/overzicht</x:v>
      </x:c>
      <x:c r="E259" s="57" t="str">
        <x:v>Current national federation course register</x:v>
      </x:c>
      <x:c r="F259" s="57" t="str">
        <x:v>2026-08-15</x:v>
      </x:c>
      <x:c r="G259" s="14" t="str">
        <x:v>Current NGF/GOLF.NL listing: 9 holes, par 36, 3136 metres. Listed as qualifying.</x:v>
      </x:c>
    </x:row>
    <x:row r="260">
      <x:c r="A260" s="56" t="str">
        <x:v>NL-0129</x:v>
      </x:c>
      <x:c r="B260" s="57" t="str">
        <x:v>Golf-Resort Brunssummerheide — Geel</x:v>
      </x:c>
      <x:c r="C260" s="57" t="str">
        <x:v>Coordinates/address</x:v>
      </x:c>
      <x:c r="D260" s="57" t="str">
        <x:v>https://api.pdok.nl/bzk/locatieserver/search/v3_1/free?q=Rimburgerweg+52%2C+6445+PA+Brunssum&amp;fq=type%3Aadres&amp;rows=10</x:v>
      </x:c>
      <x:c r="E260" s="57" t="str">
        <x:v>Dutch BAG address point via PDOK Locatieserver</x:v>
      </x:c>
      <x:c r="F260" s="57" t="str">
        <x:v>2026-08-15</x:v>
      </x:c>
      <x:c r="G260" s="14" t="str">
        <x:v>Exact postcode-matched address point: Rimburgerweg 52, 6445PA Brunssum.</x:v>
      </x:c>
    </x:row>
    <x:row r="261">
      <x:c r="A261" s="56" t="str">
        <x:v>NL-0130</x:v>
      </x:c>
      <x:c r="B261" s="57" t="str">
        <x:v>Golf-Resort Brunssummerheide — Groen</x:v>
      </x:c>
      <x:c r="C261" s="57" t="str">
        <x:v>Course identity/specification</x:v>
      </x:c>
      <x:c r="D261" s="57" t="str">
        <x:v>https://www.golf.nl/de-baan-op/banenzoeker/overzicht</x:v>
      </x:c>
      <x:c r="E261" s="57" t="str">
        <x:v>Current national federation course register</x:v>
      </x:c>
      <x:c r="F261" s="57" t="str">
        <x:v>2026-08-15</x:v>
      </x:c>
      <x:c r="G261" s="14" t="str">
        <x:v>Current NGF/GOLF.NL listing: 9 holes, par 31, 1605 metres. Listed as qualifying.</x:v>
      </x:c>
    </x:row>
    <x:row r="262">
      <x:c r="A262" s="56" t="str">
        <x:v>NL-0130</x:v>
      </x:c>
      <x:c r="B262" s="57" t="str">
        <x:v>Golf-Resort Brunssummerheide — Groen</x:v>
      </x:c>
      <x:c r="C262" s="57" t="str">
        <x:v>Coordinates/address</x:v>
      </x:c>
      <x:c r="D262" s="57" t="str">
        <x:v>https://api.pdok.nl/bzk/locatieserver/search/v3_1/free?q=Rimburgerweg+52%2C+6445+PA+Brunssum&amp;fq=type%3Aadres&amp;rows=10</x:v>
      </x:c>
      <x:c r="E262" s="57" t="str">
        <x:v>Dutch BAG address point via PDOK Locatieserver</x:v>
      </x:c>
      <x:c r="F262" s="57" t="str">
        <x:v>2026-08-15</x:v>
      </x:c>
      <x:c r="G262" s="14" t="str">
        <x:v>Exact postcode-matched address point: Rimburgerweg 52, 6445PA Brunssum.</x:v>
      </x:c>
    </x:row>
    <x:row r="263">
      <x:c r="A263" s="56" t="str">
        <x:v>NL-0131</x:v>
      </x:c>
      <x:c r="B263" s="57" t="str">
        <x:v>Golf-Resort Brunssummerheide — Oefenbaan</x:v>
      </x:c>
      <x:c r="C263" s="57" t="str">
        <x:v>Course identity/specification</x:v>
      </x:c>
      <x:c r="D263" s="57" t="str">
        <x:v>https://www.golf.nl/de-baan-op/banenzoeker/overzicht</x:v>
      </x:c>
      <x:c r="E263" s="57" t="str">
        <x:v>Current national federation course register</x:v>
      </x:c>
      <x:c r="F263" s="57" t="str">
        <x:v>2026-08-15</x:v>
      </x:c>
      <x:c r="G263" s="14" t="str">
        <x:v>Current NGF/GOLF.NL listing: 9 holes, par 27, 1178 metres. Listed as qualifying.</x:v>
      </x:c>
    </x:row>
    <x:row r="264">
      <x:c r="A264" s="56" t="str">
        <x:v>NL-0131</x:v>
      </x:c>
      <x:c r="B264" s="57" t="str">
        <x:v>Golf-Resort Brunssummerheide — Oefenbaan</x:v>
      </x:c>
      <x:c r="C264" s="57" t="str">
        <x:v>Coordinates/address</x:v>
      </x:c>
      <x:c r="D264" s="57" t="str">
        <x:v>https://api.pdok.nl/bzk/locatieserver/search/v3_1/free?q=Rimburgerweg+52%2C+6445+PA+Brunssum&amp;fq=type%3Aadres&amp;rows=10</x:v>
      </x:c>
      <x:c r="E264" s="57" t="str">
        <x:v>Dutch BAG address point via PDOK Locatieserver</x:v>
      </x:c>
      <x:c r="F264" s="57" t="str">
        <x:v>2026-08-15</x:v>
      </x:c>
      <x:c r="G264" s="14" t="str">
        <x:v>Exact postcode-matched address point: Rimburgerweg 52, 6445PA Brunssum.</x:v>
      </x:c>
    </x:row>
    <x:row r="265">
      <x:c r="A265" s="56" t="str">
        <x:v>NL-0132</x:v>
      </x:c>
      <x:c r="B265" s="57" t="str">
        <x:v>Golf-Resort Brunssummerheide — Rood</x:v>
      </x:c>
      <x:c r="C265" s="57" t="str">
        <x:v>Course identity/specification</x:v>
      </x:c>
      <x:c r="D265" s="57" t="str">
        <x:v>https://www.golf.nl/de-baan-op/banenzoeker/overzicht</x:v>
      </x:c>
      <x:c r="E265" s="57" t="str">
        <x:v>Current national federation course register</x:v>
      </x:c>
      <x:c r="F265" s="57" t="str">
        <x:v>2026-08-15</x:v>
      </x:c>
      <x:c r="G265" s="14" t="str">
        <x:v>Current NGF/GOLF.NL listing: 9 holes, par 36, 3077 metres. Listed as qualifying.</x:v>
      </x:c>
    </x:row>
    <x:row r="266">
      <x:c r="A266" s="56" t="str">
        <x:v>NL-0132</x:v>
      </x:c>
      <x:c r="B266" s="57" t="str">
        <x:v>Golf-Resort Brunssummerheide — Rood</x:v>
      </x:c>
      <x:c r="C266" s="57" t="str">
        <x:v>Coordinates/address</x:v>
      </x:c>
      <x:c r="D266" s="57" t="str">
        <x:v>https://api.pdok.nl/bzk/locatieserver/search/v3_1/free?q=Rimburgerweg+52%2C+6445+PA+Brunssum&amp;fq=type%3Aadres&amp;rows=10</x:v>
      </x:c>
      <x:c r="E266" s="57" t="str">
        <x:v>Dutch BAG address point via PDOK Locatieserver</x:v>
      </x:c>
      <x:c r="F266" s="57" t="str">
        <x:v>2026-08-15</x:v>
      </x:c>
      <x:c r="G266" s="14" t="str">
        <x:v>Exact postcode-matched address point: Rimburgerweg 52, 6445PA Brunssum.</x:v>
      </x:c>
    </x:row>
    <x:row r="267">
      <x:c r="A267" s="56" t="str">
        <x:v>NL-0133</x:v>
      </x:c>
      <x:c r="B267" s="57" t="str">
        <x:v>Golfbaan De Golfhorst — Americabaan</x:v>
      </x:c>
      <x:c r="C267" s="57" t="str">
        <x:v>Course identity/specification</x:v>
      </x:c>
      <x:c r="D267" s="57" t="str">
        <x:v>https://www.golf.nl/de-baan-op/banenzoeker/overzicht</x:v>
      </x:c>
      <x:c r="E267" s="57" t="str">
        <x:v>Current national federation course register</x:v>
      </x:c>
      <x:c r="F267" s="57" t="str">
        <x:v>2026-08-15</x:v>
      </x:c>
      <x:c r="G267" s="14" t="str">
        <x:v>Current NGF/GOLF.NL listing: 9 holes, par 27, 974 metres. Listed as qualifying.</x:v>
      </x:c>
    </x:row>
    <x:row r="268">
      <x:c r="A268" s="56" t="str">
        <x:v>NL-0133</x:v>
      </x:c>
      <x:c r="B268" s="57" t="str">
        <x:v>Golfbaan De Golfhorst — Americabaan</x:v>
      </x:c>
      <x:c r="C268" s="57" t="str">
        <x:v>Coordinates/address</x:v>
      </x:c>
      <x:c r="D268" s="57" t="str">
        <x:v>https://api.pdok.nl/bzk/locatieserver/search/v3_1/free?q=Raamweg+8%2C+5966+RM+America&amp;fq=type%3Aadres&amp;rows=10</x:v>
      </x:c>
      <x:c r="E268" s="57" t="str">
        <x:v>Dutch BAG address point via PDOK Locatieserver</x:v>
      </x:c>
      <x:c r="F268" s="57" t="str">
        <x:v>2026-08-15</x:v>
      </x:c>
      <x:c r="G268" s="14" t="str">
        <x:v>Exact postcode-matched address point: Raamweg 8, 5966RM America.</x:v>
      </x:c>
    </x:row>
    <x:row r="269">
      <x:c r="A269" s="56" t="str">
        <x:v>NL-0134</x:v>
      </x:c>
      <x:c r="B269" s="57" t="str">
        <x:v>Golfbaan De Golfhorst — Main Course</x:v>
      </x:c>
      <x:c r="C269" s="57" t="str">
        <x:v>Course identity/specification</x:v>
      </x:c>
      <x:c r="D269" s="57" t="str">
        <x:v>https://www.golf.nl/de-baan-op/banenzoeker/overzicht</x:v>
      </x:c>
      <x:c r="E269" s="57" t="str">
        <x:v>Current national federation course register</x:v>
      </x:c>
      <x:c r="F269" s="57" t="str">
        <x:v>2026-08-15</x:v>
      </x:c>
      <x:c r="G269" s="14" t="str">
        <x:v>Current NGF/GOLF.NL listing: 18 holes, par 70, 5098 metres. Combined from exact NGF-listed constituent nine-hole loops: 1ste negen (9 holes, par 36, 2713 m); 2de negen (9 holes, par 34, 2385 m) Listed as qualifying.</x:v>
      </x:c>
    </x:row>
    <x:row r="270">
      <x:c r="A270" s="56" t="str">
        <x:v>NL-0134</x:v>
      </x:c>
      <x:c r="B270" s="57" t="str">
        <x:v>Golfbaan De Golfhorst — Main Course</x:v>
      </x:c>
      <x:c r="C270" s="57" t="str">
        <x:v>Coordinates/address</x:v>
      </x:c>
      <x:c r="D270" s="57" t="str">
        <x:v>https://api.pdok.nl/bzk/locatieserver/search/v3_1/free?q=Raamweg+8%2C+5966+RM+America&amp;fq=type%3Aadres&amp;rows=10</x:v>
      </x:c>
      <x:c r="E270" s="57" t="str">
        <x:v>Dutch BAG address point via PDOK Locatieserver</x:v>
      </x:c>
      <x:c r="F270" s="57" t="str">
        <x:v>2026-08-15</x:v>
      </x:c>
      <x:c r="G270" s="14" t="str">
        <x:v>Exact postcode-matched address point: Raamweg 8, 5966RM America.</x:v>
      </x:c>
    </x:row>
    <x:row r="271">
      <x:c r="A271" s="56" t="str">
        <x:v>NL-0135</x:v>
      </x:c>
      <x:c r="B271" s="57" t="str">
        <x:v>Golfbaan Echt-Susteren — Approachbaan</x:v>
      </x:c>
      <x:c r="C271" s="57" t="str">
        <x:v>Course identity/specification</x:v>
      </x:c>
      <x:c r="D271" s="57" t="str">
        <x:v>https://www.golf.nl/de-baan-op/banenzoeker/overzicht</x:v>
      </x:c>
      <x:c r="E271" s="57" t="str">
        <x:v>Current national federation course register</x:v>
      </x:c>
      <x:c r="F271" s="57" t="str">
        <x:v>2026-08-15</x:v>
      </x:c>
      <x:c r="G271" s="14" t="str">
        <x:v>Current NGF/GOLF.NL listing: 6 holes, par 18, 400 metres. Listed as non-qualifying.</x:v>
      </x:c>
    </x:row>
    <x:row r="272">
      <x:c r="A272" s="56" t="str">
        <x:v>NL-0135</x:v>
      </x:c>
      <x:c r="B272" s="57" t="str">
        <x:v>Golfbaan Echt-Susteren — Approachbaan</x:v>
      </x:c>
      <x:c r="C272" s="57" t="str">
        <x:v>Coordinates/address</x:v>
      </x:c>
      <x:c r="D272" s="57" t="str">
        <x:v>https://api.pdok.nl/bzk/locatieserver/search/v3_1/free?q=Hommelweg+3%2C+6114+RR+Susteren&amp;fq=type%3Aadres&amp;rows=10</x:v>
      </x:c>
      <x:c r="E272" s="57" t="str">
        <x:v>Dutch BAG address point via PDOK Locatieserver</x:v>
      </x:c>
      <x:c r="F272" s="57" t="str">
        <x:v>2026-08-15</x:v>
      </x:c>
      <x:c r="G272" s="14" t="str">
        <x:v>Exact postcode-matched address point: Hommelweg 3, 6114RR Susteren.</x:v>
      </x:c>
    </x:row>
    <x:row r="273">
      <x:c r="A273" s="56" t="str">
        <x:v>NL-0136</x:v>
      </x:c>
      <x:c r="B273" s="57" t="str">
        <x:v>Golfbaan Echt-Susteren — Main Course</x:v>
      </x:c>
      <x:c r="C273" s="57" t="str">
        <x:v>Course identity/specification</x:v>
      </x:c>
      <x:c r="D273" s="57" t="str">
        <x:v>https://www.golf.nl/de-baan-op/banenzoeker/overzicht</x:v>
      </x:c>
      <x:c r="E273" s="57" t="str">
        <x:v>Current national federation course register</x:v>
      </x:c>
      <x:c r="F273" s="57" t="str">
        <x:v>2026-08-15</x:v>
      </x:c>
      <x:c r="G273" s="14" t="str">
        <x:v>Current NGF/GOLF.NL listing: 9 holes, par 36, 2809 metres. Listed as qualifying.</x:v>
      </x:c>
    </x:row>
    <x:row r="274">
      <x:c r="A274" s="56" t="str">
        <x:v>NL-0136</x:v>
      </x:c>
      <x:c r="B274" s="57" t="str">
        <x:v>Golfbaan Echt-Susteren — Main Course</x:v>
      </x:c>
      <x:c r="C274" s="57" t="str">
        <x:v>Coordinates/address</x:v>
      </x:c>
      <x:c r="D274" s="57" t="str">
        <x:v>https://api.pdok.nl/bzk/locatieserver/search/v3_1/free?q=Hommelweg+3%2C+6114+RR+Susteren&amp;fq=type%3Aadres&amp;rows=10</x:v>
      </x:c>
      <x:c r="E274" s="57" t="str">
        <x:v>Dutch BAG address point via PDOK Locatieserver</x:v>
      </x:c>
      <x:c r="F274" s="57" t="str">
        <x:v>2026-08-15</x:v>
      </x:c>
      <x:c r="G274" s="14" t="str">
        <x:v>Exact postcode-matched address point: Hommelweg 3, 6114RR Susteren.</x:v>
      </x:c>
    </x:row>
    <x:row r="275">
      <x:c r="A275" s="56" t="str">
        <x:v>NL-0137</x:v>
      </x:c>
      <x:c r="B275" s="57" t="str">
        <x:v>Golfbaan Het Rijk van Margraten — Main Course</x:v>
      </x:c>
      <x:c r="C275" s="57" t="str">
        <x:v>Course identity/specification</x:v>
      </x:c>
      <x:c r="D275" s="57" t="str">
        <x:v>https://www.golf.nl/de-baan-op/banenzoeker/overzicht</x:v>
      </x:c>
      <x:c r="E275" s="57" t="str">
        <x:v>Current national federation course register</x:v>
      </x:c>
      <x:c r="F275" s="57" t="str">
        <x:v>2026-08-15</x:v>
      </x:c>
      <x:c r="G275" s="14" t="str">
        <x:v>Current NGF/GOLF.NL listing: 18 holes, par 72, 5709 metres. Combined from exact NGF-listed constituent nine-hole loops: 1ste negen (9 holes, par 36, 2733 m); 2de negen (9 holes, par 36, 2976 m) Listed as qualifying.</x:v>
      </x:c>
    </x:row>
    <x:row r="276">
      <x:c r="A276" s="56" t="str">
        <x:v>NL-0137</x:v>
      </x:c>
      <x:c r="B276" s="57" t="str">
        <x:v>Golfbaan Het Rijk van Margraten — Main Course</x:v>
      </x:c>
      <x:c r="C276" s="57" t="str">
        <x:v>Coordinates/address</x:v>
      </x:c>
      <x:c r="D276" s="57" t="str">
        <x:v>https://api.pdok.nl/bzk/locatieserver/search/v3_1/free?q=Bemelerweg+99%2C+6267+AL+Cadier+En+Keer&amp;fq=type%3Aadres&amp;rows=10</x:v>
      </x:c>
      <x:c r="E276" s="57" t="str">
        <x:v>Dutch BAG address point via PDOK Locatieserver</x:v>
      </x:c>
      <x:c r="F276" s="57" t="str">
        <x:v>2026-08-15</x:v>
      </x:c>
      <x:c r="G276" s="14" t="str">
        <x:v>Exact postcode-matched address point: Bemelerweg 99, 6267AL Cadier en Keer.</x:v>
      </x:c>
    </x:row>
    <x:row r="277">
      <x:c r="A277" s="56" t="str">
        <x:v>NL-0138</x:v>
      </x:c>
      <x:c r="B277" s="57" t="str">
        <x:v>Golfbaan Het Rijk van Margraten — Shortgolf / Pitch &amp; Putt Course</x:v>
      </x:c>
      <x:c r="C277" s="57" t="str">
        <x:v>Course identity/specification</x:v>
      </x:c>
      <x:c r="D277" s="57" t="str">
        <x:v>https://www.golf.nl/de-baan-op/banenzoeker/overzicht</x:v>
      </x:c>
      <x:c r="E277" s="57" t="str">
        <x:v>Current national federation course register</x:v>
      </x:c>
      <x:c r="F277" s="57" t="str">
        <x:v>2026-08-15</x:v>
      </x:c>
      <x:c r="G277" s="14" t="str">
        <x:v>Current NGF/GOLF.NL listing: 9 holes, par 27, 500 metres. Listed as non-qualifying.</x:v>
      </x:c>
    </x:row>
    <x:row r="278">
      <x:c r="A278" s="56" t="str">
        <x:v>NL-0138</x:v>
      </x:c>
      <x:c r="B278" s="57" t="str">
        <x:v>Golfbaan Het Rijk van Margraten — Shortgolf / Pitch &amp; Putt Course</x:v>
      </x:c>
      <x:c r="C278" s="57" t="str">
        <x:v>Coordinates/address</x:v>
      </x:c>
      <x:c r="D278" s="57" t="str">
        <x:v>https://api.pdok.nl/bzk/locatieserver/search/v3_1/free?q=Bemelerweg+99%2C+6267+AL+Cadier+En+Keer&amp;fq=type%3Aadres&amp;rows=10</x:v>
      </x:c>
      <x:c r="E278" s="57" t="str">
        <x:v>Dutch BAG address point via PDOK Locatieserver</x:v>
      </x:c>
      <x:c r="F278" s="57" t="str">
        <x:v>2026-08-15</x:v>
      </x:c>
      <x:c r="G278" s="14" t="str">
        <x:v>Exact postcode-matched address point: Bemelerweg 99, 6267AL Cadier en Keer.</x:v>
      </x:c>
    </x:row>
    <x:row r="279">
      <x:c r="A279" s="56" t="str">
        <x:v>NL-0139</x:v>
      </x:c>
      <x:c r="B279" s="57" t="str">
        <x:v>Golfbaan Kapèlkeshof — Kapelkeshofbaan</x:v>
      </x:c>
      <x:c r="C279" s="57" t="str">
        <x:v>Course identity/specification</x:v>
      </x:c>
      <x:c r="D279" s="57" t="str">
        <x:v>https://www.golf.nl/de-baan-op/banenzoeker/overzicht</x:v>
      </x:c>
      <x:c r="E279" s="57" t="str">
        <x:v>Current national federation course register</x:v>
      </x:c>
      <x:c r="F279" s="57" t="str">
        <x:v>2026-08-15</x:v>
      </x:c>
      <x:c r="G279" s="14" t="str">
        <x:v>Current NGF/GOLF.NL listing: 18 holes, par 54, 1193 metres. Combined from exact NGF-listed constituent nine-hole loops: Kapelkeshofbaan, 1ste negen (9 holes, par 27, 623 m); Kapelkeshofbaan, 2de negen (9 holes, par 27, 570 m) Listed as non-qualifying.</x:v>
      </x:c>
    </x:row>
    <x:row r="280">
      <x:c r="A280" s="56" t="str">
        <x:v>NL-0139</x:v>
      </x:c>
      <x:c r="B280" s="57" t="str">
        <x:v>Golfbaan Kapèlkeshof — Kapelkeshofbaan</x:v>
      </x:c>
      <x:c r="C280" s="57" t="str">
        <x:v>Coordinates/address</x:v>
      </x:c>
      <x:c r="D280" s="57" t="str">
        <x:v>https://api.pdok.nl/bzk/locatieserver/search/v3_1/free?q=Roomweg+85%2C+5985+NS+Grashoek&amp;fq=type%3Aadres&amp;rows=10</x:v>
      </x:c>
      <x:c r="E280" s="57" t="str">
        <x:v>Dutch BAG address point via PDOK Locatieserver</x:v>
      </x:c>
      <x:c r="F280" s="57" t="str">
        <x:v>2026-08-15</x:v>
      </x:c>
      <x:c r="G280" s="14" t="str">
        <x:v>Exact postcode-matched address point: Roomweg 85A, 5985NS Grashoek.</x:v>
      </x:c>
    </x:row>
    <x:row r="281">
      <x:c r="A281" s="56" t="str">
        <x:v>NL-0140</x:v>
      </x:c>
      <x:c r="B281" s="57" t="str">
        <x:v>Golfbaan Kapèlkeshof — Solarisbaan</x:v>
      </x:c>
      <x:c r="C281" s="57" t="str">
        <x:v>Course identity/specification</x:v>
      </x:c>
      <x:c r="D281" s="57" t="str">
        <x:v>https://www.golf.nl/de-baan-op/banenzoeker/overzicht</x:v>
      </x:c>
      <x:c r="E281" s="57" t="str">
        <x:v>Current national federation course register</x:v>
      </x:c>
      <x:c r="F281" s="57" t="str">
        <x:v>2026-08-15</x:v>
      </x:c>
      <x:c r="G281" s="14" t="str">
        <x:v>Current NGF/GOLF.NL listing: 9 holes, par 29, 1084 metres. Listed as qualifying.</x:v>
      </x:c>
    </x:row>
    <x:row r="282">
      <x:c r="A282" s="56" t="str">
        <x:v>NL-0140</x:v>
      </x:c>
      <x:c r="B282" s="57" t="str">
        <x:v>Golfbaan Kapèlkeshof — Solarisbaan</x:v>
      </x:c>
      <x:c r="C282" s="57" t="str">
        <x:v>Coordinates/address</x:v>
      </x:c>
      <x:c r="D282" s="57" t="str">
        <x:v>https://api.pdok.nl/bzk/locatieserver/search/v3_1/free?q=Roomweg+85%2C+5985+NS+Grashoek&amp;fq=type%3Aadres&amp;rows=10</x:v>
      </x:c>
      <x:c r="E282" s="57" t="str">
        <x:v>Dutch BAG address point via PDOK Locatieserver</x:v>
      </x:c>
      <x:c r="F282" s="57" t="str">
        <x:v>2026-08-15</x:v>
      </x:c>
      <x:c r="G282" s="14" t="str">
        <x:v>Exact postcode-matched address point: Roomweg 85A, 5985NS Grashoek.</x:v>
      </x:c>
    </x:row>
    <x:row r="283">
      <x:c r="A283" s="56" t="str">
        <x:v>NL-0141</x:v>
      </x:c>
      <x:c r="B283" s="57" t="str">
        <x:v>Golfbaan Landgoed Bleijenbeek — Main Course</x:v>
      </x:c>
      <x:c r="C283" s="57" t="str">
        <x:v>Course identity/specification</x:v>
      </x:c>
      <x:c r="D283" s="57" t="str">
        <x:v>https://www.golf.nl/de-baan-op/banenzoeker/overzicht</x:v>
      </x:c>
      <x:c r="E283" s="57" t="str">
        <x:v>Current national federation course register</x:v>
      </x:c>
      <x:c r="F283" s="57" t="str">
        <x:v>2026-08-15</x:v>
      </x:c>
      <x:c r="G283" s="14" t="str">
        <x:v>Current NGF/GOLF.NL listing: 18 holes, par 73, 6370 metres. Combined from exact NGF-listed constituent nine-hole loops: 1ste negen (9 holes, par 35, 3044 m); 2de negen (9 holes, par 38, 3326 m) Listed as qualifying.</x:v>
      </x:c>
    </x:row>
    <x:row r="284">
      <x:c r="A284" s="56" t="str">
        <x:v>NL-0141</x:v>
      </x:c>
      <x:c r="B284" s="57" t="str">
        <x:v>Golfbaan Landgoed Bleijenbeek — Main Course</x:v>
      </x:c>
      <x:c r="C284" s="57" t="str">
        <x:v>Coordinates/address</x:v>
      </x:c>
      <x:c r="D284" s="57" t="str">
        <x:v>https://api.pdok.nl/bzk/locatieserver/search/v3_1/free?q=Bleijenbeek+14%2C+5851+EE+Afferden&amp;fq=type%3Aadres&amp;rows=10</x:v>
      </x:c>
      <x:c r="E284" s="57" t="str">
        <x:v>Dutch BAG address point via PDOK Locatieserver</x:v>
      </x:c>
      <x:c r="F284" s="57" t="str">
        <x:v>2026-08-15</x:v>
      </x:c>
      <x:c r="G284" s="14" t="str">
        <x:v>Exact postcode-matched address point: Bleijenbeek 14a, 5851EE Afferden L.</x:v>
      </x:c>
    </x:row>
    <x:row r="285">
      <x:c r="A285" s="56" t="str">
        <x:v>NL-0142</x:v>
      </x:c>
      <x:c r="B285" s="57" t="str">
        <x:v>Golfbaan Landgoed Bleijenbeek — Par-3/4 Course</x:v>
      </x:c>
      <x:c r="C285" s="57" t="str">
        <x:v>Course identity/specification</x:v>
      </x:c>
      <x:c r="D285" s="57" t="str">
        <x:v>https://www.golf.nl/de-baan-op/banenzoeker/overzicht</x:v>
      </x:c>
      <x:c r="E285" s="57" t="str">
        <x:v>Current national federation course register</x:v>
      </x:c>
      <x:c r="F285" s="57" t="str">
        <x:v>2026-08-15</x:v>
      </x:c>
      <x:c r="G285" s="14" t="str">
        <x:v>Current NGF/GOLF.NL listing: 9 holes, par 29, 1412 metres. Listed as qualifying.</x:v>
      </x:c>
    </x:row>
    <x:row r="286">
      <x:c r="A286" s="56" t="str">
        <x:v>NL-0142</x:v>
      </x:c>
      <x:c r="B286" s="57" t="str">
        <x:v>Golfbaan Landgoed Bleijenbeek — Par-3/4 Course</x:v>
      </x:c>
      <x:c r="C286" s="57" t="str">
        <x:v>Coordinates/address</x:v>
      </x:c>
      <x:c r="D286" s="57" t="str">
        <x:v>https://api.pdok.nl/bzk/locatieserver/search/v3_1/free?q=Bleijenbeek+14%2C+5851+EE+Afferden&amp;fq=type%3Aadres&amp;rows=10</x:v>
      </x:c>
      <x:c r="E286" s="57" t="str">
        <x:v>Dutch BAG address point via PDOK Locatieserver</x:v>
      </x:c>
      <x:c r="F286" s="57" t="str">
        <x:v>2026-08-15</x:v>
      </x:c>
      <x:c r="G286" s="14" t="str">
        <x:v>Exact postcode-matched address point: Bleijenbeek 14a, 5851EE Afferden L.</x:v>
      </x:c>
    </x:row>
    <x:row r="287">
      <x:c r="A287" s="56" t="str">
        <x:v>NL-0143</x:v>
      </x:c>
      <x:c r="B287" s="57" t="str">
        <x:v>Golfbaan Landgoed Bleijenbeek — Shortgolf / Pitch &amp; Putt Course</x:v>
      </x:c>
      <x:c r="C287" s="57" t="str">
        <x:v>Course identity/specification</x:v>
      </x:c>
      <x:c r="D287" s="57" t="str">
        <x:v>https://www.golf.nl/de-baan-op/banenzoeker/overzicht</x:v>
      </x:c>
      <x:c r="E287" s="57" t="str">
        <x:v>Current national federation course register</x:v>
      </x:c>
      <x:c r="F287" s="57" t="str">
        <x:v>2026-08-15</x:v>
      </x:c>
      <x:c r="G287" s="14" t="str">
        <x:v>Current NGF/GOLF.NL listing: 9 holes, par 27, 450 metres. Listed as non-qualifying.</x:v>
      </x:c>
    </x:row>
    <x:row r="288">
      <x:c r="A288" s="56" t="str">
        <x:v>NL-0143</x:v>
      </x:c>
      <x:c r="B288" s="57" t="str">
        <x:v>Golfbaan Landgoed Bleijenbeek — Shortgolf / Pitch &amp; Putt Course</x:v>
      </x:c>
      <x:c r="C288" s="57" t="str">
        <x:v>Coordinates/address</x:v>
      </x:c>
      <x:c r="D288" s="57" t="str">
        <x:v>https://api.pdok.nl/bzk/locatieserver/search/v3_1/free?q=Bleijenbeek+14%2C+5851+EE+Afferden&amp;fq=type%3Aadres&amp;rows=10</x:v>
      </x:c>
      <x:c r="E288" s="57" t="str">
        <x:v>Dutch BAG address point via PDOK Locatieserver</x:v>
      </x:c>
      <x:c r="F288" s="57" t="str">
        <x:v>2026-08-15</x:v>
      </x:c>
      <x:c r="G288" s="14" t="str">
        <x:v>Exact postcode-matched address point: Bleijenbeek 14a, 5851EE Afferden L.</x:v>
      </x:c>
    </x:row>
    <x:row r="289">
      <x:c r="A289" s="56" t="str">
        <x:v>NL-0144</x:v>
      </x:c>
      <x:c r="B289" s="57" t="str">
        <x:v>Golfclub De Berckt</x:v>
      </x:c>
      <x:c r="C289" s="57" t="str">
        <x:v>Course identity/specification</x:v>
      </x:c>
      <x:c r="D289" s="57" t="str">
        <x:v>https://www.golf.nl/de-baan-op/banenzoeker/overzicht</x:v>
      </x:c>
      <x:c r="E289" s="57" t="str">
        <x:v>Current national federation course register</x:v>
      </x:c>
      <x:c r="F289" s="57" t="str">
        <x:v>2026-08-15</x:v>
      </x:c>
      <x:c r="G289" s="14" t="str">
        <x:v>Current NGF/GOLF.NL listing: 9 holes, par 32, 1825 metres. The current official facility contact page and BAG address replace the postcode typo in the NGF overview (Berckt 1, 5591 PD Baarlo). Listed as qualifying.</x:v>
      </x:c>
    </x:row>
    <x:row r="290">
      <x:c r="A290" s="56" t="str">
        <x:v>NL-0144</x:v>
      </x:c>
      <x:c r="B290" s="57" t="str">
        <x:v>Golfclub De Berckt</x:v>
      </x:c>
      <x:c r="C290" s="57" t="str">
        <x:v>Coordinates/address</x:v>
      </x:c>
      <x:c r="D290" s="57" t="str">
        <x:v>https://api.pdok.nl/bzk/locatieserver/search/v3_1/free?q=De+Berckt+1%2C+5991+PD+Baarlo&amp;fq=type%3Aadres&amp;rows=10</x:v>
      </x:c>
      <x:c r="E290" s="57" t="str">
        <x:v>Dutch BAG address point via PDOK Locatieserver</x:v>
      </x:c>
      <x:c r="F290" s="57" t="str">
        <x:v>2026-08-15</x:v>
      </x:c>
      <x:c r="G290" s="14" t="str">
        <x:v>Exact postcode-matched address point: de Berckt 12A-1, 5991PD Baarlo. Corrected address verified on the facility's current contact page: https://golfclubdeberckt.nl/contact/.</x:v>
      </x:c>
    </x:row>
    <x:row r="291">
      <x:c r="A291" s="56" t="str">
        <x:v>NL-0145</x:v>
      </x:c>
      <x:c r="B291" s="57" t="str">
        <x:v>Golfclub Meerssen</x:v>
      </x:c>
      <x:c r="C291" s="57" t="str">
        <x:v>Course identity/specification</x:v>
      </x:c>
      <x:c r="D291" s="57" t="str">
        <x:v>https://www.golf.nl/de-baan-op/banenzoeker/overzicht</x:v>
      </x:c>
      <x:c r="E291" s="57" t="str">
        <x:v>Current national federation course register</x:v>
      </x:c>
      <x:c r="F291" s="57" t="str">
        <x:v>2026-08-15</x:v>
      </x:c>
      <x:c r="G291" s="14" t="str">
        <x:v>Current NGF/GOLF.NL listing: 9 holes, par 29, 1500 metres. Listed as qualifying.</x:v>
      </x:c>
    </x:row>
    <x:row r="292">
      <x:c r="A292" s="56" t="str">
        <x:v>NL-0145</x:v>
      </x:c>
      <x:c r="B292" s="57" t="str">
        <x:v>Golfclub Meerssen</x:v>
      </x:c>
      <x:c r="C292" s="57" t="str">
        <x:v>Coordinates/address</x:v>
      </x:c>
      <x:c r="D292" s="57" t="str">
        <x:v>https://api.pdok.nl/bzk/locatieserver/search/v3_1/free?q=Heiveld+4%2C+6241+EK+Bunde&amp;fq=type%3Aadres&amp;rows=10</x:v>
      </x:c>
      <x:c r="E292" s="57" t="str">
        <x:v>Dutch BAG address point via PDOK Locatieserver</x:v>
      </x:c>
      <x:c r="F292" s="57" t="str">
        <x:v>2026-08-15</x:v>
      </x:c>
      <x:c r="G292" s="14" t="str">
        <x:v>Exact postcode-matched address point: Heiveld 4, 6241EK Bunde.</x:v>
      </x:c>
    </x:row>
    <x:row r="293">
      <x:c r="A293" s="56" t="str">
        <x:v>NL-0146</x:v>
      </x:c>
      <x:c r="B293" s="57" t="str">
        <x:v>Golfclub Slottermolen</x:v>
      </x:c>
      <x:c r="C293" s="57" t="str">
        <x:v>Course identity/specification</x:v>
      </x:c>
      <x:c r="D293" s="57" t="str">
        <x:v>https://www.golf.nl/de-baan-op/banenzoeker/overzicht</x:v>
      </x:c>
      <x:c r="E293" s="57" t="str">
        <x:v>Current national federation course register</x:v>
      </x:c>
      <x:c r="F293" s="57" t="str">
        <x:v>2026-08-15</x:v>
      </x:c>
      <x:c r="G293" s="14" t="str">
        <x:v>Current NGF/GOLF.NL listing: 9 holes, par 27, 1065 metres. Listed as qualifying.</x:v>
      </x:c>
    </x:row>
    <x:row r="294">
      <x:c r="A294" s="56" t="str">
        <x:v>NL-0146</x:v>
      </x:c>
      <x:c r="B294" s="57" t="str">
        <x:v>Golfclub Slottermolen</x:v>
      </x:c>
      <x:c r="C294" s="57" t="str">
        <x:v>Coordinates/address</x:v>
      </x:c>
      <x:c r="D294" s="57" t="str">
        <x:v>https://api.pdok.nl/bzk/locatieserver/search/v3_1/free?q=Venloseweg+73%2C+5971+PB+Grubbenvorst&amp;fq=type%3Aadres&amp;rows=10</x:v>
      </x:c>
      <x:c r="E294" s="57" t="str">
        <x:v>Dutch BAG address point via PDOK Locatieserver</x:v>
      </x:c>
      <x:c r="F294" s="57" t="str">
        <x:v>2026-08-15</x:v>
      </x:c>
      <x:c r="G294" s="14" t="str">
        <x:v>Exact postcode-matched address point: Venloseweg 73, 5971PB Grubbenvorst.</x:v>
      </x:c>
    </x:row>
    <x:row r="295">
      <x:c r="A295" s="56" t="str">
        <x:v>NL-0147</x:v>
      </x:c>
      <x:c r="B295" s="57" t="str">
        <x:v>Golfclub Velden</x:v>
      </x:c>
      <x:c r="C295" s="57" t="str">
        <x:v>Course identity/specification</x:v>
      </x:c>
      <x:c r="D295" s="57" t="str">
        <x:v>https://www.golf.nl/de-baan-op/banenzoeker/overzicht</x:v>
      </x:c>
      <x:c r="E295" s="57" t="str">
        <x:v>Current national federation course register</x:v>
      </x:c>
      <x:c r="F295" s="57" t="str">
        <x:v>2026-08-15</x:v>
      </x:c>
      <x:c r="G295" s="14" t="str">
        <x:v>Current NGF/GOLF.NL listing: 9 holes, par 27, 1148 metres. Listed as non-qualifying.</x:v>
      </x:c>
    </x:row>
    <x:row r="296">
      <x:c r="A296" s="56" t="str">
        <x:v>NL-0147</x:v>
      </x:c>
      <x:c r="B296" s="57" t="str">
        <x:v>Golfclub Velden</x:v>
      </x:c>
      <x:c r="C296" s="57" t="str">
        <x:v>Coordinates/address</x:v>
      </x:c>
      <x:c r="D296" s="57" t="str">
        <x:v>https://api.pdok.nl/bzk/locatieserver/search/v3_1/free?q=Schandeloseweg+1%2C+5941+CP+Velden&amp;fq=type%3Aadres&amp;rows=10</x:v>
      </x:c>
      <x:c r="E296" s="57" t="str">
        <x:v>Dutch BAG address point via PDOK Locatieserver</x:v>
      </x:c>
      <x:c r="F296" s="57" t="str">
        <x:v>2026-08-15</x:v>
      </x:c>
      <x:c r="G296" s="14" t="str">
        <x:v>Exact postcode-matched address point: Schandeloseweg 1A, 5941CP Velden.</x:v>
      </x:c>
    </x:row>
    <x:row r="297">
      <x:c r="A297" s="56" t="str">
        <x:v>NL-0148</x:v>
      </x:c>
      <x:c r="B297" s="57" t="str">
        <x:v>Golfpark Land van Thorn</x:v>
      </x:c>
      <x:c r="C297" s="57" t="str">
        <x:v>Course identity/specification</x:v>
      </x:c>
      <x:c r="D297" s="57" t="str">
        <x:v>https://www.golf.nl/de-baan-op/banenzoeker/overzicht</x:v>
      </x:c>
      <x:c r="E297" s="57" t="str">
        <x:v>Current national federation course register</x:v>
      </x:c>
      <x:c r="F297" s="57" t="str">
        <x:v>2026-08-15</x:v>
      </x:c>
      <x:c r="G297" s="14" t="str">
        <x:v>Current NGF/GOLF.NL listing: 9 holes, par 36, 2762 metres. Listed as qualifying.</x:v>
      </x:c>
    </x:row>
    <x:row r="298">
      <x:c r="A298" s="56" t="str">
        <x:v>NL-0148</x:v>
      </x:c>
      <x:c r="B298" s="57" t="str">
        <x:v>Golfpark Land van Thorn</x:v>
      </x:c>
      <x:c r="C298" s="57" t="str">
        <x:v>Coordinates/address</x:v>
      </x:c>
      <x:c r="D298" s="57" t="str">
        <x:v>https://api.pdok.nl/bzk/locatieserver/search/v3_1/free?q=Kallestraat+37a%2C+6013+RM+Hunsel&amp;fq=type%3Aadres&amp;rows=10</x:v>
      </x:c>
      <x:c r="E298" s="57" t="str">
        <x:v>Dutch BAG address point via PDOK Locatieserver</x:v>
      </x:c>
      <x:c r="F298" s="57" t="str">
        <x:v>2026-08-15</x:v>
      </x:c>
      <x:c r="G298" s="14" t="str">
        <x:v>Exact postcode-matched address point: Kallestraat 37a, 6013RM Hunsel.</x:v>
      </x:c>
    </x:row>
    <x:row r="299">
      <x:c r="A299" s="56" t="str">
        <x:v>NL-0149</x:v>
      </x:c>
      <x:c r="B299" s="57" t="str">
        <x:v>Hoenshuis Golf — Main Course</x:v>
      </x:c>
      <x:c r="C299" s="57" t="str">
        <x:v>Course identity/specification</x:v>
      </x:c>
      <x:c r="D299" s="57" t="str">
        <x:v>https://www.golf.nl/de-baan-op/banenzoeker/overzicht</x:v>
      </x:c>
      <x:c r="E299" s="57" t="str">
        <x:v>Current national federation course register</x:v>
      </x:c>
      <x:c r="F299" s="57" t="str">
        <x:v>2026-08-15</x:v>
      </x:c>
      <x:c r="G299" s="14" t="str">
        <x:v>Current NGF/GOLF.NL listing: 18 holes, par 72, 6286 metres. Combined from exact NGF-listed constituent nine-hole loops: 1ste negen (9 holes, par 36, 3197 m); 2de negen (9 holes, par 36, 3089 m) Listed as qualifying.</x:v>
      </x:c>
    </x:row>
    <x:row r="300">
      <x:c r="A300" s="56" t="str">
        <x:v>NL-0149</x:v>
      </x:c>
      <x:c r="B300" s="57" t="str">
        <x:v>Hoenshuis Golf — Main Course</x:v>
      </x:c>
      <x:c r="C300" s="57" t="str">
        <x:v>Coordinates/address</x:v>
      </x:c>
      <x:c r="D300" s="57" t="str">
        <x:v>https://api.pdok.nl/bzk/locatieserver/search/v3_1/free?q=Hoensweg+17%2C+6367+GN+Voerendaal&amp;fq=type%3Aadres&amp;rows=10</x:v>
      </x:c>
      <x:c r="E300" s="57" t="str">
        <x:v>Dutch BAG address point via PDOK Locatieserver</x:v>
      </x:c>
      <x:c r="F300" s="57" t="str">
        <x:v>2026-08-15</x:v>
      </x:c>
      <x:c r="G300" s="14" t="str">
        <x:v>Exact postcode-matched address point: Hoensweg 17, 6367GN Voerendaal.</x:v>
      </x:c>
    </x:row>
    <x:row r="301">
      <x:c r="A301" s="56" t="str">
        <x:v>NL-0150</x:v>
      </x:c>
      <x:c r="B301" s="57" t="str">
        <x:v>International Golf Maastricht — Limburg Course</x:v>
      </x:c>
      <x:c r="C301" s="57" t="str">
        <x:v>Course identity/specification</x:v>
      </x:c>
      <x:c r="D301" s="57" t="str">
        <x:v>https://www.golf.nl/de-baan-op/banenzoeker/overzicht</x:v>
      </x:c>
      <x:c r="E301" s="57" t="str">
        <x:v>Current national federation course register</x:v>
      </x:c>
      <x:c r="F301" s="57" t="str">
        <x:v>2026-08-15</x:v>
      </x:c>
      <x:c r="G301" s="14" t="str">
        <x:v>Current NGF/GOLF.NL listing: 9 holes, par 35, 2191 metres. Listed as qualifying.</x:v>
      </x:c>
    </x:row>
    <x:row r="302">
      <x:c r="A302" s="56" t="str">
        <x:v>NL-0150</x:v>
      </x:c>
      <x:c r="B302" s="57" t="str">
        <x:v>International Golf Maastricht — Limburg Course</x:v>
      </x:c>
      <x:c r="C302" s="57" t="str">
        <x:v>Coordinates/address</x:v>
      </x:c>
      <x:c r="D302" s="57" t="str">
        <x:v>https://api.pdok.nl/bzk/locatieserver/search/v3_1/free?q=Dousbergweg+100%2C+6216+GC+Maastricht&amp;fq=type%3Aadres&amp;rows=10</x:v>
      </x:c>
      <x:c r="E302" s="57" t="str">
        <x:v>Dutch BAG address point via PDOK Locatieserver</x:v>
      </x:c>
      <x:c r="F302" s="57" t="str">
        <x:v>2026-08-15</x:v>
      </x:c>
      <x:c r="G302" s="14" t="str">
        <x:v>Exact postcode-matched address point: Dousbergweg 100A, 6216GC Maastricht.</x:v>
      </x:c>
    </x:row>
    <x:row r="303">
      <x:c r="A303" s="56" t="str">
        <x:v>NL-0151</x:v>
      </x:c>
      <x:c r="B303" s="57" t="str">
        <x:v>International Golf Maastricht — Main Course</x:v>
      </x:c>
      <x:c r="C303" s="57" t="str">
        <x:v>Course identity/specification</x:v>
      </x:c>
      <x:c r="D303" s="57" t="str">
        <x:v>https://www.golf.nl/de-baan-op/banenzoeker/overzicht</x:v>
      </x:c>
      <x:c r="E303" s="57" t="str">
        <x:v>Current national federation course register</x:v>
      </x:c>
      <x:c r="F303" s="57" t="str">
        <x:v>2026-08-15</x:v>
      </x:c>
      <x:c r="G303" s="14" t="str">
        <x:v>Current NGF/GOLF.NL listing: 18 holes, par 72, 5967 metres. Combined from exact NGF-listed constituent nine-hole loops: 1ste negen (9 holes, par 35, 2871 m); 2de negen (9 holes, par 37, 3096 m) Listed as qualifying.</x:v>
      </x:c>
    </x:row>
    <x:row r="304">
      <x:c r="A304" s="56" t="str">
        <x:v>NL-0151</x:v>
      </x:c>
      <x:c r="B304" s="57" t="str">
        <x:v>International Golf Maastricht — Main Course</x:v>
      </x:c>
      <x:c r="C304" s="57" t="str">
        <x:v>Coordinates/address</x:v>
      </x:c>
      <x:c r="D304" s="57" t="str">
        <x:v>https://api.pdok.nl/bzk/locatieserver/search/v3_1/free?q=Dousbergweg+100%2C+6216+GC+Maastricht&amp;fq=type%3Aadres&amp;rows=10</x:v>
      </x:c>
      <x:c r="E304" s="57" t="str">
        <x:v>Dutch BAG address point via PDOK Locatieserver</x:v>
      </x:c>
      <x:c r="F304" s="57" t="str">
        <x:v>2026-08-15</x:v>
      </x:c>
      <x:c r="G304" s="14" t="str">
        <x:v>Exact postcode-matched address point: Dousbergweg 100A, 6216GC Maastricht.</x:v>
      </x:c>
    </x:row>
    <x:row r="305">
      <x:c r="A305" s="56" t="str">
        <x:v>NL-0152</x:v>
      </x:c>
      <x:c r="B305" s="57" t="str">
        <x:v>Shortgolf Eyserhof</x:v>
      </x:c>
      <x:c r="C305" s="57" t="str">
        <x:v>Course identity/specification</x:v>
      </x:c>
      <x:c r="D305" s="57" t="str">
        <x:v>https://www.golf.nl/de-baan-op/banenzoeker/overzicht</x:v>
      </x:c>
      <x:c r="E305" s="57" t="str">
        <x:v>Current national federation course register</x:v>
      </x:c>
      <x:c r="F305" s="57" t="str">
        <x:v>2026-08-15</x:v>
      </x:c>
      <x:c r="G305" s="14" t="str">
        <x:v>Current NGF/GOLF.NL listing: 9 holes, par 27, 664 metres. Listed as non-qualifying.</x:v>
      </x:c>
    </x:row>
    <x:row r="306">
      <x:c r="A306" s="56" t="str">
        <x:v>NL-0152</x:v>
      </x:c>
      <x:c r="B306" s="57" t="str">
        <x:v>Shortgolf Eyserhof</x:v>
      </x:c>
      <x:c r="C306" s="57" t="str">
        <x:v>Coordinates/address</x:v>
      </x:c>
      <x:c r="D306" s="57" t="str">
        <x:v>https://api.pdok.nl/bzk/locatieserver/search/v3_1/free?q=Wittemerweg+7%2C+6287+AA+Eys&amp;fq=type%3Aadres&amp;rows=10</x:v>
      </x:c>
      <x:c r="E306" s="57" t="str">
        <x:v>Dutch BAG address point via PDOK Locatieserver</x:v>
      </x:c>
      <x:c r="F306" s="57" t="str">
        <x:v>2026-08-15</x:v>
      </x:c>
      <x:c r="G306" s="14" t="str">
        <x:v>Exact postcode-matched address point: Wittemerweg 7A, 6287AA Eys.</x:v>
      </x:c>
    </x:row>
    <x:row r="307">
      <x:c r="A307" s="56" t="str">
        <x:v>NL-0153</x:v>
      </x:c>
      <x:c r="B307" s="57" t="str">
        <x:v>The Fox — Main Course</x:v>
      </x:c>
      <x:c r="C307" s="57" t="str">
        <x:v>Course identity/specification</x:v>
      </x:c>
      <x:c r="D307" s="57" t="str">
        <x:v>https://www.golf.nl/de-baan-op/banenzoeker/overzicht</x:v>
      </x:c>
      <x:c r="E307" s="57" t="str">
        <x:v>Current national federation course register</x:v>
      </x:c>
      <x:c r="F307" s="57" t="str">
        <x:v>2026-08-15</x:v>
      </x:c>
      <x:c r="G307" s="14" t="str">
        <x:v>Current NGF/GOLF.NL listing: 18 holes, par 72, 6396 metres. Combined from exact NGF-listed constituent nine-hole loops: 1ste negen (9 holes, par 36, 3246 m); 2de negen (9 holes, par 36, 3150 m) Listed as non-qualifying.</x:v>
      </x:c>
    </x:row>
    <x:row r="308">
      <x:c r="A308" s="56" t="str">
        <x:v>NL-0153</x:v>
      </x:c>
      <x:c r="B308" s="57" t="str">
        <x:v>The Fox — Main Course</x:v>
      </x:c>
      <x:c r="C308" s="57" t="str">
        <x:v>Coordinates/address</x:v>
      </x:c>
      <x:c r="D308" s="57" t="str">
        <x:v>https://api.pdok.nl/bzk/locatieserver/search/v3_1/free?q=Heierkerkweg+5%2C+5928+RM+Venlo&amp;fq=type%3Aadres&amp;rows=10</x:v>
      </x:c>
      <x:c r="E308" s="57" t="str">
        <x:v>Dutch BAG address point via PDOK Locatieserver</x:v>
      </x:c>
      <x:c r="F308" s="57" t="str">
        <x:v>2026-08-15</x:v>
      </x:c>
      <x:c r="G308" s="14" t="str">
        <x:v>Exact postcode-matched address point: Heierkerkweg 5A, 5928RM Venlo.</x:v>
      </x:c>
    </x:row>
    <x:row r="309">
      <x:c r="A309" s="56" t="str">
        <x:v>NL-0154</x:v>
      </x:c>
      <x:c r="B309" s="57" t="str">
        <x:v>Akkermans Leisure &amp; Golf</x:v>
      </x:c>
      <x:c r="C309" s="57" t="str">
        <x:v>Course identity/specification</x:v>
      </x:c>
      <x:c r="D309" s="57" t="str">
        <x:v>https://www.golf.nl/de-baan-op/banenzoeker/overzicht</x:v>
      </x:c>
      <x:c r="E309" s="57" t="str">
        <x:v>Current national federation course register</x:v>
      </x:c>
      <x:c r="F309" s="57" t="str">
        <x:v>2026-08-15</x:v>
      </x:c>
      <x:c r="G309" s="14" t="str">
        <x:v>Current NGF/GOLF.NL listing: 9 holes, par 27, 670 metres. Listed as qualifying.</x:v>
      </x:c>
    </x:row>
    <x:row r="310">
      <x:c r="A310" s="56" t="str">
        <x:v>NL-0154</x:v>
      </x:c>
      <x:c r="B310" s="57" t="str">
        <x:v>Akkermans Leisure &amp; Golf</x:v>
      </x:c>
      <x:c r="C310" s="57" t="str">
        <x:v>Coordinates/address</x:v>
      </x:c>
      <x:c r="D310" s="57" t="str">
        <x:v>https://api.pdok.nl/bzk/locatieserver/search/v3_1/free?q=Heense+Molenweg+23%2C+4655+TB+De+Heen&amp;fq=type%3Aadres&amp;rows=10</x:v>
      </x:c>
      <x:c r="E310" s="57" t="str">
        <x:v>Dutch BAG address point via PDOK Locatieserver</x:v>
      </x:c>
      <x:c r="F310" s="57" t="str">
        <x:v>2026-08-15</x:v>
      </x:c>
      <x:c r="G310" s="14" t="str">
        <x:v>Exact postcode-matched address point: Heense Molenweg 23a, 4655TB De Heen.</x:v>
      </x:c>
    </x:row>
    <x:row r="311">
      <x:c r="A311" s="56" t="str">
        <x:v>NL-0155</x:v>
      </x:c>
      <x:c r="B311" s="57" t="str">
        <x:v>Bernardus Golf — Main Course</x:v>
      </x:c>
      <x:c r="C311" s="57" t="str">
        <x:v>Course identity/specification</x:v>
      </x:c>
      <x:c r="D311" s="57" t="str">
        <x:v>https://www.golf.nl/de-baan-op/banenzoeker/overzicht</x:v>
      </x:c>
      <x:c r="E311" s="57" t="str">
        <x:v>Current national federation course register</x:v>
      </x:c>
      <x:c r="F311" s="57" t="str">
        <x:v>2026-08-15</x:v>
      </x:c>
      <x:c r="G311" s="14" t="str">
        <x:v>Current NGF/GOLF.NL listing: 18 holes, par 72, 5996 metres. Combined from exact NGF-listed constituent nine-hole loops: 1ste negen (9 holes, par 36, 2970 m); 2de negen (9 holes, par 36, 3026 m) Listed as qualifying.</x:v>
      </x:c>
    </x:row>
    <x:row r="312">
      <x:c r="A312" s="56" t="str">
        <x:v>NL-0155</x:v>
      </x:c>
      <x:c r="B312" s="57" t="str">
        <x:v>Bernardus Golf — Main Course</x:v>
      </x:c>
      <x:c r="C312" s="57" t="str">
        <x:v>Coordinates/address</x:v>
      </x:c>
      <x:c r="D312" s="57" t="str">
        <x:v>https://api.pdok.nl/bzk/locatieserver/search/v3_1/free?q=Deutersestraat+39D%2C+5266+AW+Cromvoirt&amp;fq=type%3Aadres&amp;rows=10</x:v>
      </x:c>
      <x:c r="E312" s="57" t="str">
        <x:v>Dutch BAG address point via PDOK Locatieserver</x:v>
      </x:c>
      <x:c r="F312" s="57" t="str">
        <x:v>2026-08-15</x:v>
      </x:c>
      <x:c r="G312" s="14" t="str">
        <x:v>Exact postcode-matched address point: Deutersestraat 39D, 5266AW Cromvoirt.</x:v>
      </x:c>
    </x:row>
    <x:row r="313">
      <x:c r="A313" s="56" t="str">
        <x:v>NL-0156</x:v>
      </x:c>
      <x:c r="B313" s="57" t="str">
        <x:v>Best Golf — Main Course</x:v>
      </x:c>
      <x:c r="C313" s="57" t="str">
        <x:v>Course identity/specification</x:v>
      </x:c>
      <x:c r="D313" s="57" t="str">
        <x:v>https://www.golf.nl/de-baan-op/banenzoeker/overzicht</x:v>
      </x:c>
      <x:c r="E313" s="57" t="str">
        <x:v>Current national federation course register</x:v>
      </x:c>
      <x:c r="F313" s="57" t="str">
        <x:v>2026-08-15</x:v>
      </x:c>
      <x:c r="G313" s="14" t="str">
        <x:v>Current NGF/GOLF.NL listing: 18 holes, par 72, 6004 metres. Combined from exact NGF-listed constituent nine-hole loops: 1ste negen (9 holes, par 37, 3174 m); 2de negen (9 holes, par 35, 2830 m) Listed as qualifying.</x:v>
      </x:c>
    </x:row>
    <x:row r="314">
      <x:c r="A314" s="56" t="str">
        <x:v>NL-0156</x:v>
      </x:c>
      <x:c r="B314" s="57" t="str">
        <x:v>Best Golf — Main Course</x:v>
      </x:c>
      <x:c r="C314" s="57" t="str">
        <x:v>Coordinates/address</x:v>
      </x:c>
      <x:c r="D314" s="57" t="str">
        <x:v>https://api.pdok.nl/bzk/locatieserver/search/v3_1/free?q=Golflaan+1%2C+5683+RZ+Best&amp;fq=type%3Aadres&amp;rows=10</x:v>
      </x:c>
      <x:c r="E314" s="57" t="str">
        <x:v>Dutch BAG address point via PDOK Locatieserver</x:v>
      </x:c>
      <x:c r="F314" s="57" t="str">
        <x:v>2026-08-15</x:v>
      </x:c>
      <x:c r="G314" s="14" t="str">
        <x:v>Exact postcode-matched address point: Golflaan 1, 5683RZ Best.</x:v>
      </x:c>
    </x:row>
    <x:row r="315">
      <x:c r="A315" s="56" t="str">
        <x:v>NL-0157</x:v>
      </x:c>
      <x:c r="B315" s="57" t="str">
        <x:v>Best Golf — Par-3 Course</x:v>
      </x:c>
      <x:c r="C315" s="57" t="str">
        <x:v>Course identity/specification</x:v>
      </x:c>
      <x:c r="D315" s="57" t="str">
        <x:v>https://www.golf.nl/de-baan-op/banenzoeker/overzicht</x:v>
      </x:c>
      <x:c r="E315" s="57" t="str">
        <x:v>Current national federation course register</x:v>
      </x:c>
      <x:c r="F315" s="57" t="str">
        <x:v>2026-08-15</x:v>
      </x:c>
      <x:c r="G315" s="14" t="str">
        <x:v>Current NGF/GOLF.NL listing: 9 holes, par 27, 554 metres. Listed as non-qualifying.</x:v>
      </x:c>
    </x:row>
    <x:row r="316">
      <x:c r="A316" s="56" t="str">
        <x:v>NL-0157</x:v>
      </x:c>
      <x:c r="B316" s="57" t="str">
        <x:v>Best Golf — Par-3 Course</x:v>
      </x:c>
      <x:c r="C316" s="57" t="str">
        <x:v>Coordinates/address</x:v>
      </x:c>
      <x:c r="D316" s="57" t="str">
        <x:v>https://api.pdok.nl/bzk/locatieserver/search/v3_1/free?q=Golflaan+1%2C+5683+RZ+Best&amp;fq=type%3Aadres&amp;rows=10</x:v>
      </x:c>
      <x:c r="E316" s="57" t="str">
        <x:v>Dutch BAG address point via PDOK Locatieserver</x:v>
      </x:c>
      <x:c r="F316" s="57" t="str">
        <x:v>2026-08-15</x:v>
      </x:c>
      <x:c r="G316" s="14" t="str">
        <x:v>Exact postcode-matched address point: Golflaan 1, 5683RZ Best.</x:v>
      </x:c>
    </x:row>
    <x:row r="317">
      <x:c r="A317" s="56" t="str">
        <x:v>NL-0158</x:v>
      </x:c>
      <x:c r="B317" s="57" t="str">
        <x:v>Brabant Golf</x:v>
      </x:c>
      <x:c r="C317" s="57" t="str">
        <x:v>Course identity/specification</x:v>
      </x:c>
      <x:c r="D317" s="57" t="str">
        <x:v>https://www.golf.nl/de-baan-op/banenzoeker/overzicht</x:v>
      </x:c>
      <x:c r="E317" s="57" t="str">
        <x:v>Current national federation course register</x:v>
      </x:c>
      <x:c r="F317" s="57" t="str">
        <x:v>2026-08-15</x:v>
      </x:c>
      <x:c r="G317" s="14" t="str">
        <x:v>Current NGF/GOLF.NL listing: 6 holes, par 19, 1200 metres. Listed as qualifying.</x:v>
      </x:c>
    </x:row>
    <x:row r="318">
      <x:c r="A318" s="56" t="str">
        <x:v>NL-0158</x:v>
      </x:c>
      <x:c r="B318" s="57" t="str">
        <x:v>Brabant Golf</x:v>
      </x:c>
      <x:c r="C318" s="57" t="str">
        <x:v>Coordinates/address</x:v>
      </x:c>
      <x:c r="D318" s="57" t="str">
        <x:v>https://api.pdok.nl/bzk/locatieserver/search/v3_1/free?q=Statenlaan+18%2C+5121+HD+Rijen&amp;fq=type%3Aadres&amp;rows=10</x:v>
      </x:c>
      <x:c r="E318" s="57" t="str">
        <x:v>Dutch BAG address point via PDOK Locatieserver</x:v>
      </x:c>
      <x:c r="F318" s="57" t="str">
        <x:v>2026-08-15</x:v>
      </x:c>
      <x:c r="G318" s="14" t="str">
        <x:v>Exact postcode-matched address point: Statenlaan 18, 5121HD Rijen.</x:v>
      </x:c>
    </x:row>
    <x:row r="319">
      <x:c r="A319" s="56" t="str">
        <x:v>NL-0159</x:v>
      </x:c>
      <x:c r="B319" s="57" t="str">
        <x:v>De Peelse Golf — Broekbosbaan</x:v>
      </x:c>
      <x:c r="C319" s="57" t="str">
        <x:v>Course identity/specification</x:v>
      </x:c>
      <x:c r="D319" s="57" t="str">
        <x:v>https://www.golf.nl/de-baan-op/banenzoeker/overzicht</x:v>
      </x:c>
      <x:c r="E319" s="57" t="str">
        <x:v>Current national federation course register</x:v>
      </x:c>
      <x:c r="F319" s="57" t="str">
        <x:v>2026-08-15</x:v>
      </x:c>
      <x:c r="G319" s="14" t="str">
        <x:v>Current NGF/GOLF.NL listing: 9 holes, par 27, 718 metres. Listed as qualifying.</x:v>
      </x:c>
    </x:row>
    <x:row r="320">
      <x:c r="A320" s="56" t="str">
        <x:v>NL-0159</x:v>
      </x:c>
      <x:c r="B320" s="57" t="str">
        <x:v>De Peelse Golf — Broekbosbaan</x:v>
      </x:c>
      <x:c r="C320" s="57" t="str">
        <x:v>Coordinates/address</x:v>
      </x:c>
      <x:c r="D320" s="57" t="str">
        <x:v>https://api.pdok.nl/bzk/locatieserver/search/v3_1/free?q=Maasduinenweg+1%2C+5977+NP+Evertsoord&amp;fq=type%3Aadres&amp;rows=10</x:v>
      </x:c>
      <x:c r="E320" s="57" t="str">
        <x:v>Dutch BAG address point via PDOK Locatieserver</x:v>
      </x:c>
      <x:c r="F320" s="57" t="str">
        <x:v>2026-08-15</x:v>
      </x:c>
      <x:c r="G320" s="14" t="str">
        <x:v>Exact postcode-matched address point: Maasduinenweg 1, 5977NP Evertsoord.</x:v>
      </x:c>
    </x:row>
    <x:row r="321">
      <x:c r="A321" s="56" t="str">
        <x:v>NL-0160</x:v>
      </x:c>
      <x:c r="B321" s="57" t="str">
        <x:v>De Peelse Golf — Main Course</x:v>
      </x:c>
      <x:c r="C321" s="57" t="str">
        <x:v>Course identity/specification</x:v>
      </x:c>
      <x:c r="D321" s="57" t="str">
        <x:v>https://www.golf.nl/de-baan-op/banenzoeker/overzicht</x:v>
      </x:c>
      <x:c r="E321" s="57" t="str">
        <x:v>Current national federation course register</x:v>
      </x:c>
      <x:c r="F321" s="57" t="str">
        <x:v>2026-08-15</x:v>
      </x:c>
      <x:c r="G321" s="14" t="str">
        <x:v>Current NGF/GOLF.NL listing: 18 holes, par 72, 6047 metres. Combined from exact NGF-listed constituent nine-hole loops: 1ste negen (9 holes, par 36, 2954 m); 2de negen (9 holes, par 36, 3093 m) Listed as qualifying.</x:v>
      </x:c>
    </x:row>
    <x:row r="322">
      <x:c r="A322" s="56" t="str">
        <x:v>NL-0160</x:v>
      </x:c>
      <x:c r="B322" s="57" t="str">
        <x:v>De Peelse Golf — Main Course</x:v>
      </x:c>
      <x:c r="C322" s="57" t="str">
        <x:v>Coordinates/address</x:v>
      </x:c>
      <x:c r="D322" s="57" t="str">
        <x:v>https://api.pdok.nl/bzk/locatieserver/search/v3_1/free?q=Maasduinenweg+1%2C+5977+NP+Evertsoord&amp;fq=type%3Aadres&amp;rows=10</x:v>
      </x:c>
      <x:c r="E322" s="57" t="str">
        <x:v>Dutch BAG address point via PDOK Locatieserver</x:v>
      </x:c>
      <x:c r="F322" s="57" t="str">
        <x:v>2026-08-15</x:v>
      </x:c>
      <x:c r="G322" s="14" t="str">
        <x:v>Exact postcode-matched address point: Maasduinenweg 1, 5977NP Evertsoord.</x:v>
      </x:c>
    </x:row>
    <x:row r="323">
      <x:c r="A323" s="56" t="str">
        <x:v>NL-0161</x:v>
      </x:c>
      <x:c r="B323" s="57" t="str">
        <x:v>Eindhovensche Golf — Main Course</x:v>
      </x:c>
      <x:c r="C323" s="57" t="str">
        <x:v>Course identity/specification</x:v>
      </x:c>
      <x:c r="D323" s="57" t="str">
        <x:v>https://www.golf.nl/de-baan-op/banenzoeker/overzicht</x:v>
      </x:c>
      <x:c r="E323" s="57" t="str">
        <x:v>Current national federation course register</x:v>
      </x:c>
      <x:c r="F323" s="57" t="str">
        <x:v>2026-08-15</x:v>
      </x:c>
      <x:c r="G323" s="14" t="str">
        <x:v>Current NGF/GOLF.NL listing: 18 holes, par 72, 6324 metres. Combined from exact NGF-listed constituent nine-hole loops: 1ste negen (9 holes, par 36, 3092 m); 2de negen (9 holes, par 36, 3232 m) Listed as qualifying.</x:v>
      </x:c>
    </x:row>
    <x:row r="324">
      <x:c r="A324" s="56" t="str">
        <x:v>NL-0161</x:v>
      </x:c>
      <x:c r="B324" s="57" t="str">
        <x:v>Eindhovensche Golf — Main Course</x:v>
      </x:c>
      <x:c r="C324" s="57" t="str">
        <x:v>Coordinates/address</x:v>
      </x:c>
      <x:c r="D324" s="57" t="str">
        <x:v>https://api.pdok.nl/bzk/locatieserver/search/v3_1/free?q=Eindhovenseweg+300%2C+5553+VB+Valkenswaard&amp;fq=type%3Aadres&amp;rows=10</x:v>
      </x:c>
      <x:c r="E324" s="57" t="str">
        <x:v>Dutch BAG address point via PDOK Locatieserver</x:v>
      </x:c>
      <x:c r="F324" s="57" t="str">
        <x:v>2026-08-15</x:v>
      </x:c>
      <x:c r="G324" s="14" t="str">
        <x:v>Exact postcode-matched address point: Eindhovenseweg 300, 5553VB Valkenswaard.</x:v>
      </x:c>
    </x:row>
    <x:row r="325">
      <x:c r="A325" s="56" t="str">
        <x:v>NL-0162</x:v>
      </x:c>
      <x:c r="B325" s="57" t="str">
        <x:v>Golf &amp; Country Course De Schoot</x:v>
      </x:c>
      <x:c r="C325" s="57" t="str">
        <x:v>Course identity/specification</x:v>
      </x:c>
      <x:c r="D325" s="57" t="str">
        <x:v>https://www.golf.nl/de-baan-op/banenzoeker/overzicht</x:v>
      </x:c>
      <x:c r="E325" s="57" t="str">
        <x:v>Current national federation course register</x:v>
      </x:c>
      <x:c r="F325" s="57" t="str">
        <x:v>2026-08-15</x:v>
      </x:c>
      <x:c r="G325" s="14" t="str">
        <x:v>Current NGF/GOLF.NL listing: 9 holes, par 36, 2869 metres. Listed as qualifying.</x:v>
      </x:c>
    </x:row>
    <x:row r="326">
      <x:c r="A326" s="56" t="str">
        <x:v>NL-0162</x:v>
      </x:c>
      <x:c r="B326" s="57" t="str">
        <x:v>Golf &amp; Country Course De Schoot</x:v>
      </x:c>
      <x:c r="C326" s="57" t="str">
        <x:v>Coordinates/address</x:v>
      </x:c>
      <x:c r="D326" s="57" t="str">
        <x:v>https://api.pdok.nl/bzk/locatieserver/search/v3_1/free?q=Schootsedijk+18%2C+5491+TD+Sint+Oedenrode&amp;fq=type%3Aadres&amp;rows=10</x:v>
      </x:c>
      <x:c r="E326" s="57" t="str">
        <x:v>Dutch BAG address point via PDOK Locatieserver</x:v>
      </x:c>
      <x:c r="F326" s="57" t="str">
        <x:v>2026-08-15</x:v>
      </x:c>
      <x:c r="G326" s="14" t="str">
        <x:v>Exact postcode-matched address point: Schootsedijk 18, 5491TD Sint-Oedenrode.</x:v>
      </x:c>
    </x:row>
    <x:row r="327">
      <x:c r="A327" s="56" t="str">
        <x:v>NL-0163</x:v>
      </x:c>
      <x:c r="B327" s="57" t="str">
        <x:v>Golf &amp; Countryclub de Tongelreep — Main Course</x:v>
      </x:c>
      <x:c r="C327" s="57" t="str">
        <x:v>Course identity/specification</x:v>
      </x:c>
      <x:c r="D327" s="57" t="str">
        <x:v>https://www.golf.nl/de-baan-op/banenzoeker/overzicht</x:v>
      </x:c>
      <x:c r="E327" s="57" t="str">
        <x:v>Current national federation course register</x:v>
      </x:c>
      <x:c r="F327" s="57" t="str">
        <x:v>2026-08-15</x:v>
      </x:c>
      <x:c r="G327" s="14" t="str">
        <x:v>Current NGF/GOLF.NL listing: 9 holes, par 35, 2686 metres. Listed as qualifying.</x:v>
      </x:c>
    </x:row>
    <x:row r="328">
      <x:c r="A328" s="56" t="str">
        <x:v>NL-0163</x:v>
      </x:c>
      <x:c r="B328" s="57" t="str">
        <x:v>Golf &amp; Countryclub de Tongelreep — Main Course</x:v>
      </x:c>
      <x:c r="C328" s="57" t="str">
        <x:v>Coordinates/address</x:v>
      </x:c>
      <x:c r="D328" s="57" t="str">
        <x:v>https://api.pdok.nl/bzk/locatieserver/search/v3_1/free?q=Charles+Roelslaan+15%2C+5644+HX+Eindhoven&amp;fq=type%3Aadres&amp;rows=10</x:v>
      </x:c>
      <x:c r="E328" s="57" t="str">
        <x:v>Dutch BAG address point via PDOK Locatieserver</x:v>
      </x:c>
      <x:c r="F328" s="57" t="str">
        <x:v>2026-08-15</x:v>
      </x:c>
      <x:c r="G328" s="14" t="str">
        <x:v>Exact postcode-matched address point: Charles Roelslaan 15, 5644HX Eindhoven.</x:v>
      </x:c>
    </x:row>
    <x:row r="329">
      <x:c r="A329" s="56" t="str">
        <x:v>NL-0164</x:v>
      </x:c>
      <x:c r="B329" s="57" t="str">
        <x:v>Golf &amp; Countryclub de Tongelreep — Par-3 Course</x:v>
      </x:c>
      <x:c r="C329" s="57" t="str">
        <x:v>Course identity/specification</x:v>
      </x:c>
      <x:c r="D329" s="57" t="str">
        <x:v>https://www.golf.nl/de-baan-op/banenzoeker/overzicht</x:v>
      </x:c>
      <x:c r="E329" s="57" t="str">
        <x:v>Current national federation course register</x:v>
      </x:c>
      <x:c r="F329" s="57" t="str">
        <x:v>2026-08-15</x:v>
      </x:c>
      <x:c r="G329" s="14" t="str">
        <x:v>Current NGF/GOLF.NL listing: 9 holes, par 27, 286 metres. Listed as non-qualifying.</x:v>
      </x:c>
    </x:row>
    <x:row r="330">
      <x:c r="A330" s="56" t="str">
        <x:v>NL-0164</x:v>
      </x:c>
      <x:c r="B330" s="57" t="str">
        <x:v>Golf &amp; Countryclub de Tongelreep — Par-3 Course</x:v>
      </x:c>
      <x:c r="C330" s="57" t="str">
        <x:v>Coordinates/address</x:v>
      </x:c>
      <x:c r="D330" s="57" t="str">
        <x:v>https://api.pdok.nl/bzk/locatieserver/search/v3_1/free?q=Charles+Roelslaan+15%2C+5644+HX+Eindhoven&amp;fq=type%3Aadres&amp;rows=10</x:v>
      </x:c>
      <x:c r="E330" s="57" t="str">
        <x:v>Dutch BAG address point via PDOK Locatieserver</x:v>
      </x:c>
      <x:c r="F330" s="57" t="str">
        <x:v>2026-08-15</x:v>
      </x:c>
      <x:c r="G330" s="14" t="str">
        <x:v>Exact postcode-matched address point: Charles Roelslaan 15, 5644HX Eindhoven.</x:v>
      </x:c>
    </x:row>
    <x:row r="331">
      <x:c r="A331" s="56" t="str">
        <x:v>NL-0165</x:v>
      </x:c>
      <x:c r="B331" s="57" t="str">
        <x:v>Golf &amp; Recreatiepark 't Caves — Main Course</x:v>
      </x:c>
      <x:c r="C331" s="57" t="str">
        <x:v>Course identity/specification</x:v>
      </x:c>
      <x:c r="D331" s="57" t="str">
        <x:v>https://www.golf.nl/de-baan-op/banenzoeker/overzicht</x:v>
      </x:c>
      <x:c r="E331" s="57" t="str">
        <x:v>Current national federation course register</x:v>
      </x:c>
      <x:c r="F331" s="57" t="str">
        <x:v>2026-08-15</x:v>
      </x:c>
      <x:c r="G331" s="14" t="str">
        <x:v>Current NGF/GOLF.NL listing: 9 holes, par 32, 1937 metres. Listed as qualifying.</x:v>
      </x:c>
    </x:row>
    <x:row r="332">
      <x:c r="A332" s="56" t="str">
        <x:v>NL-0165</x:v>
      </x:c>
      <x:c r="B332" s="57" t="str">
        <x:v>Golf &amp; Recreatiepark 't Caves — Main Course</x:v>
      </x:c>
      <x:c r="C332" s="57" t="str">
        <x:v>Coordinates/address</x:v>
      </x:c>
      <x:c r="D332" s="57" t="str">
        <x:v>https://api.pdok.nl/bzk/locatieserver/search/v3_1/free?q=Veneind+5%2C+5513+NE+Wintelre&amp;fq=type%3Aadres&amp;rows=10</x:v>
      </x:c>
      <x:c r="E332" s="57" t="str">
        <x:v>Dutch BAG address point via PDOK Locatieserver</x:v>
      </x:c>
      <x:c r="F332" s="57" t="str">
        <x:v>2026-08-15</x:v>
      </x:c>
      <x:c r="G332" s="14" t="str">
        <x:v>Exact postcode-matched address point: Veneind 5A-34, 5513NE Wintelre.</x:v>
      </x:c>
    </x:row>
    <x:row r="333">
      <x:c r="A333" s="56" t="str">
        <x:v>NL-0166</x:v>
      </x:c>
      <x:c r="B333" s="57" t="str">
        <x:v>Golf &amp; Recreatiepark 't Caves — Par-3 Course</x:v>
      </x:c>
      <x:c r="C333" s="57" t="str">
        <x:v>Course identity/specification</x:v>
      </x:c>
      <x:c r="D333" s="57" t="str">
        <x:v>https://www.golf.nl/de-baan-op/banenzoeker/overzicht</x:v>
      </x:c>
      <x:c r="E333" s="57" t="str">
        <x:v>Current national federation course register</x:v>
      </x:c>
      <x:c r="F333" s="57" t="str">
        <x:v>2026-08-15</x:v>
      </x:c>
      <x:c r="G333" s="14" t="str">
        <x:v>Current NGF/GOLF.NL listing: 9 holes, par 27, 726 metres. Listed as qualifying.</x:v>
      </x:c>
    </x:row>
    <x:row r="334">
      <x:c r="A334" s="56" t="str">
        <x:v>NL-0166</x:v>
      </x:c>
      <x:c r="B334" s="57" t="str">
        <x:v>Golf &amp; Recreatiepark 't Caves — Par-3 Course</x:v>
      </x:c>
      <x:c r="C334" s="57" t="str">
        <x:v>Coordinates/address</x:v>
      </x:c>
      <x:c r="D334" s="57" t="str">
        <x:v>https://api.pdok.nl/bzk/locatieserver/search/v3_1/free?q=Veneind+5%2C+5513+NE+Wintelre&amp;fq=type%3Aadres&amp;rows=10</x:v>
      </x:c>
      <x:c r="E334" s="57" t="str">
        <x:v>Dutch BAG address point via PDOK Locatieserver</x:v>
      </x:c>
      <x:c r="F334" s="57" t="str">
        <x:v>2026-08-15</x:v>
      </x:c>
      <x:c r="G334" s="14" t="str">
        <x:v>Exact postcode-matched address point: Veneind 5A-34, 5513NE Wintelre.</x:v>
      </x:c>
    </x:row>
    <x:row r="335">
      <x:c r="A335" s="56" t="str">
        <x:v>NL-0167</x:v>
      </x:c>
      <x:c r="B335" s="57" t="str">
        <x:v>Golf De Gulbergen — Libellenbaan</x:v>
      </x:c>
      <x:c r="C335" s="57" t="str">
        <x:v>Course identity/specification</x:v>
      </x:c>
      <x:c r="D335" s="57" t="str">
        <x:v>https://www.golf.nl/de-baan-op/banenzoeker/overzicht</x:v>
      </x:c>
      <x:c r="E335" s="57" t="str">
        <x:v>Current national federation course register</x:v>
      </x:c>
      <x:c r="F335" s="57" t="str">
        <x:v>2026-08-15</x:v>
      </x:c>
      <x:c r="G335" s="14" t="str">
        <x:v>Current NGF/GOLF.NL listing: 9 holes, par 36, 2915 metres. Listed as qualifying.</x:v>
      </x:c>
    </x:row>
    <x:row r="336">
      <x:c r="A336" s="56" t="str">
        <x:v>NL-0167</x:v>
      </x:c>
      <x:c r="B336" s="57" t="str">
        <x:v>Golf De Gulbergen — Libellenbaan</x:v>
      </x:c>
      <x:c r="C336" s="57" t="str">
        <x:v>Coordinates/address</x:v>
      </x:c>
      <x:c r="D336" s="57" t="str">
        <x:v>https://api.pdok.nl/bzk/locatieserver/search/v3_1/free?q=Heiderschoor+26%2C+5731+RG+Mierlo&amp;fq=type%3Aadres&amp;rows=10</x:v>
      </x:c>
      <x:c r="E336" s="57" t="str">
        <x:v>Dutch BAG address point via PDOK Locatieserver</x:v>
      </x:c>
      <x:c r="F336" s="57" t="str">
        <x:v>2026-08-15</x:v>
      </x:c>
      <x:c r="G336" s="14" t="str">
        <x:v>Exact postcode-matched address point: Heiderschoor 26, 5731RG Mierlo.</x:v>
      </x:c>
    </x:row>
    <x:row r="337">
      <x:c r="A337" s="56" t="str">
        <x:v>NL-0168</x:v>
      </x:c>
      <x:c r="B337" s="57" t="str">
        <x:v>Golf De Gulbergen — Old Course</x:v>
      </x:c>
      <x:c r="C337" s="57" t="str">
        <x:v>Course identity/specification</x:v>
      </x:c>
      <x:c r="D337" s="57" t="str">
        <x:v>https://www.golf.nl/de-baan-op/banenzoeker/overzicht</x:v>
      </x:c>
      <x:c r="E337" s="57" t="str">
        <x:v>Current national federation course register</x:v>
      </x:c>
      <x:c r="F337" s="57" t="str">
        <x:v>2026-08-15</x:v>
      </x:c>
      <x:c r="G337" s="14" t="str">
        <x:v>Current NGF/GOLF.NL listing: 9 holes, par 32, 1760 metres. Listed as qualifying.</x:v>
      </x:c>
    </x:row>
    <x:row r="338">
      <x:c r="A338" s="56" t="str">
        <x:v>NL-0168</x:v>
      </x:c>
      <x:c r="B338" s="57" t="str">
        <x:v>Golf De Gulbergen — Old Course</x:v>
      </x:c>
      <x:c r="C338" s="57" t="str">
        <x:v>Coordinates/address</x:v>
      </x:c>
      <x:c r="D338" s="57" t="str">
        <x:v>https://api.pdok.nl/bzk/locatieserver/search/v3_1/free?q=Heiderschoor+26%2C+5731+RG+Mierlo&amp;fq=type%3Aadres&amp;rows=10</x:v>
      </x:c>
      <x:c r="E338" s="57" t="str">
        <x:v>Dutch BAG address point via PDOK Locatieserver</x:v>
      </x:c>
      <x:c r="F338" s="57" t="str">
        <x:v>2026-08-15</x:v>
      </x:c>
      <x:c r="G338" s="14" t="str">
        <x:v>Exact postcode-matched address point: Heiderschoor 26, 5731RG Mierlo.</x:v>
      </x:c>
    </x:row>
    <x:row r="339">
      <x:c r="A339" s="56" t="str">
        <x:v>NL-0169</x:v>
      </x:c>
      <x:c r="B339" s="57" t="str">
        <x:v>Golf De Gulbergen — Sprookjesbaan</x:v>
      </x:c>
      <x:c r="C339" s="57" t="str">
        <x:v>Course identity/specification</x:v>
      </x:c>
      <x:c r="D339" s="57" t="str">
        <x:v>https://www.golf.nl/de-baan-op/banenzoeker/overzicht</x:v>
      </x:c>
      <x:c r="E339" s="57" t="str">
        <x:v>Current national federation course register</x:v>
      </x:c>
      <x:c r="F339" s="57" t="str">
        <x:v>2026-08-15</x:v>
      </x:c>
      <x:c r="G339" s="14" t="str">
        <x:v>Current NGF/GOLF.NL listing: 9 holes, par 34, 2740 metres. Listed as qualifying.</x:v>
      </x:c>
    </x:row>
    <x:row r="340">
      <x:c r="A340" s="56" t="str">
        <x:v>NL-0169</x:v>
      </x:c>
      <x:c r="B340" s="57" t="str">
        <x:v>Golf De Gulbergen — Sprookjesbaan</x:v>
      </x:c>
      <x:c r="C340" s="57" t="str">
        <x:v>Coordinates/address</x:v>
      </x:c>
      <x:c r="D340" s="57" t="str">
        <x:v>https://api.pdok.nl/bzk/locatieserver/search/v3_1/free?q=Heiderschoor+26%2C+5731+RG+Mierlo&amp;fq=type%3Aadres&amp;rows=10</x:v>
      </x:c>
      <x:c r="E340" s="57" t="str">
        <x:v>Dutch BAG address point via PDOK Locatieserver</x:v>
      </x:c>
      <x:c r="F340" s="57" t="str">
        <x:v>2026-08-15</x:v>
      </x:c>
      <x:c r="G340" s="14" t="str">
        <x:v>Exact postcode-matched address point: Heiderschoor 26, 5731RG Mierlo.</x:v>
      </x:c>
    </x:row>
    <x:row r="341">
      <x:c r="A341" s="56" t="str">
        <x:v>NL-0170</x:v>
      </x:c>
      <x:c r="B341" s="57" t="str">
        <x:v>Golf Parc De Pettelaar</x:v>
      </x:c>
      <x:c r="C341" s="57" t="str">
        <x:v>Course identity/specification</x:v>
      </x:c>
      <x:c r="D341" s="57" t="str">
        <x:v>https://www.golf.nl/de-baan-op/banenzoeker/overzicht</x:v>
      </x:c>
      <x:c r="E341" s="57" t="str">
        <x:v>Current national federation course register</x:v>
      </x:c>
      <x:c r="F341" s="57" t="str">
        <x:v>2026-08-15</x:v>
      </x:c>
      <x:c r="G341" s="14" t="str">
        <x:v>Current NGF/GOLF.NL listing: 9 holes, par 29, 3311 metres. Listed as qualifying.</x:v>
      </x:c>
    </x:row>
    <x:row r="342">
      <x:c r="A342" s="56" t="str">
        <x:v>NL-0170</x:v>
      </x:c>
      <x:c r="B342" s="57" t="str">
        <x:v>Golf Parc De Pettelaar</x:v>
      </x:c>
      <x:c r="C342" s="57" t="str">
        <x:v>Coordinates/address</x:v>
      </x:c>
      <x:c r="D342" s="57" t="str">
        <x:v>https://api.pdok.nl/bzk/locatieserver/search/v3_1/free?q=Meerendonkweg+2%2C+5216+TZ+%27S-Hertogenbosch&amp;fq=type%3Aadres&amp;rows=10</x:v>
      </x:c>
      <x:c r="E342" s="57" t="str">
        <x:v>Dutch BAG address point via PDOK Locatieserver</x:v>
      </x:c>
      <x:c r="F342" s="57" t="str">
        <x:v>2026-08-15</x:v>
      </x:c>
      <x:c r="G342" s="14" t="str">
        <x:v>Exact postcode-matched address point: Meerendonkweg 2, 5216TZ 's-Hertogenbosch.</x:v>
      </x:c>
    </x:row>
    <x:row r="343">
      <x:c r="A343" s="56" t="str">
        <x:v>NL-0171</x:v>
      </x:c>
      <x:c r="B343" s="57" t="str">
        <x:v>Golfbaan De Swinkelsche — Main Course</x:v>
      </x:c>
      <x:c r="C343" s="57" t="str">
        <x:v>Course identity/specification</x:v>
      </x:c>
      <x:c r="D343" s="57" t="str">
        <x:v>https://www.golf.nl/de-baan-op/banenzoeker/overzicht</x:v>
      </x:c>
      <x:c r="E343" s="57" t="str">
        <x:v>Current national federation course register</x:v>
      </x:c>
      <x:c r="F343" s="57" t="str">
        <x:v>2026-08-15</x:v>
      </x:c>
      <x:c r="G343" s="14" t="str">
        <x:v>Current NGF/GOLF.NL listing: 18 holes, par 72, 6401 metres. Combined from exact NGF-listed constituent nine-hole loops: 1ste negen (9 holes, par 36, 3165 m); 2de negen (9 holes, par 36, 3236 m) Listed as qualifying.</x:v>
      </x:c>
    </x:row>
    <x:row r="344">
      <x:c r="A344" s="56" t="str">
        <x:v>NL-0171</x:v>
      </x:c>
      <x:c r="B344" s="57" t="str">
        <x:v>Golfbaan De Swinkelsche — Main Course</x:v>
      </x:c>
      <x:c r="C344" s="57" t="str">
        <x:v>Coordinates/address</x:v>
      </x:c>
      <x:c r="D344" s="57" t="str">
        <x:v>https://api.pdok.nl/bzk/locatieserver/search/v3_1/free?q=Maarheezerdijk+12%2C+5712+PC+Someren&amp;fq=type%3Aadres&amp;rows=10</x:v>
      </x:c>
      <x:c r="E344" s="57" t="str">
        <x:v>Dutch BAG address point via PDOK Locatieserver</x:v>
      </x:c>
      <x:c r="F344" s="57" t="str">
        <x:v>2026-08-15</x:v>
      </x:c>
      <x:c r="G344" s="14" t="str">
        <x:v>Exact postcode-matched address point: Maarheezerdijk 12, 5712PC Someren.</x:v>
      </x:c>
    </x:row>
    <x:row r="345">
      <x:c r="A345" s="56" t="str">
        <x:v>NL-0172</x:v>
      </x:c>
      <x:c r="B345" s="57" t="str">
        <x:v>Golfbaan De Swinkelsche — Peelrijtbaan</x:v>
      </x:c>
      <x:c r="C345" s="57" t="str">
        <x:v>Course identity/specification</x:v>
      </x:c>
      <x:c r="D345" s="57" t="str">
        <x:v>https://www.golf.nl/de-baan-op/banenzoeker/overzicht</x:v>
      </x:c>
      <x:c r="E345" s="57" t="str">
        <x:v>Current national federation course register</x:v>
      </x:c>
      <x:c r="F345" s="57" t="str">
        <x:v>2026-08-15</x:v>
      </x:c>
      <x:c r="G345" s="14" t="str">
        <x:v>Current NGF/GOLF.NL listing: 9 holes, par 27, 770 metres. Listed as qualifying.</x:v>
      </x:c>
    </x:row>
    <x:row r="346">
      <x:c r="A346" s="56" t="str">
        <x:v>NL-0172</x:v>
      </x:c>
      <x:c r="B346" s="57" t="str">
        <x:v>Golfbaan De Swinkelsche — Peelrijtbaan</x:v>
      </x:c>
      <x:c r="C346" s="57" t="str">
        <x:v>Coordinates/address</x:v>
      </x:c>
      <x:c r="D346" s="57" t="str">
        <x:v>https://api.pdok.nl/bzk/locatieserver/search/v3_1/free?q=Maarheezerdijk+12%2C+5712+PC+Someren&amp;fq=type%3Aadres&amp;rows=10</x:v>
      </x:c>
      <x:c r="E346" s="57" t="str">
        <x:v>Dutch BAG address point via PDOK Locatieserver</x:v>
      </x:c>
      <x:c r="F346" s="57" t="str">
        <x:v>2026-08-15</x:v>
      </x:c>
      <x:c r="G346" s="14" t="str">
        <x:v>Exact postcode-matched address point: Maarheezerdijk 12, 5712PC Someren.</x:v>
      </x:c>
    </x:row>
    <x:row r="347">
      <x:c r="A347" s="56" t="str">
        <x:v>NL-0173</x:v>
      </x:c>
      <x:c r="B347" s="57" t="str">
        <x:v>Golfbaan Het Woold — Gezandebaan</x:v>
      </x:c>
      <x:c r="C347" s="57" t="str">
        <x:v>Course identity/specification</x:v>
      </x:c>
      <x:c r="D347" s="57" t="str">
        <x:v>https://www.golf.nl/de-baan-op/banenzoeker/overzicht</x:v>
      </x:c>
      <x:c r="E347" s="57" t="str">
        <x:v>Current national federation course register</x:v>
      </x:c>
      <x:c r="F347" s="57" t="str">
        <x:v>2026-08-15</x:v>
      </x:c>
      <x:c r="G347" s="14" t="str">
        <x:v>Current NGF/GOLF.NL listing: 9 holes, par 27, 847 metres. Listed as qualifying.</x:v>
      </x:c>
    </x:row>
    <x:row r="348">
      <x:c r="A348" s="56" t="str">
        <x:v>NL-0173</x:v>
      </x:c>
      <x:c r="B348" s="57" t="str">
        <x:v>Golfbaan Het Woold — Gezandebaan</x:v>
      </x:c>
      <x:c r="C348" s="57" t="str">
        <x:v>Coordinates/address</x:v>
      </x:c>
      <x:c r="D348" s="57" t="str">
        <x:v>https://api.pdok.nl/bzk/locatieserver/search/v3_1/free?q=Gezandebaan+46a%2C+5725+TN+Asten+Heusden&amp;fq=type%3Aadres&amp;rows=10</x:v>
      </x:c>
      <x:c r="E348" s="57" t="str">
        <x:v>Dutch BAG address point via PDOK Locatieserver</x:v>
      </x:c>
      <x:c r="F348" s="57" t="str">
        <x:v>2026-08-15</x:v>
      </x:c>
      <x:c r="G348" s="14" t="str">
        <x:v>Exact postcode-matched address point: Gezandebaan 46a, 5725TN Heusden.</x:v>
      </x:c>
    </x:row>
    <x:row r="349">
      <x:c r="A349" s="56" t="str">
        <x:v>NL-0174</x:v>
      </x:c>
      <x:c r="B349" s="57" t="str">
        <x:v>Golfbaan Het Woold — Vier Eijckenbaan</x:v>
      </x:c>
      <x:c r="C349" s="57" t="str">
        <x:v>Course identity/specification</x:v>
      </x:c>
      <x:c r="D349" s="57" t="str">
        <x:v>https://www.golf.nl/de-baan-op/banenzoeker/overzicht</x:v>
      </x:c>
      <x:c r="E349" s="57" t="str">
        <x:v>Current national federation course register</x:v>
      </x:c>
      <x:c r="F349" s="57" t="str">
        <x:v>2026-08-15</x:v>
      </x:c>
      <x:c r="G349" s="14" t="str">
        <x:v>Current NGF/GOLF.NL listing: 18 holes, par 72, 6235 metres. Combined from exact NGF-listed constituent nine-hole loops: Vier Eijckenbaan 1ste negen (9 holes, par 36, 3169 m); Vier Eijckenbaan 2de negen (9 holes, par 36, 3066 m) Listed as qualifying.</x:v>
      </x:c>
    </x:row>
    <x:row r="350">
      <x:c r="A350" s="56" t="str">
        <x:v>NL-0174</x:v>
      </x:c>
      <x:c r="B350" s="57" t="str">
        <x:v>Golfbaan Het Woold — Vier Eijckenbaan</x:v>
      </x:c>
      <x:c r="C350" s="57" t="str">
        <x:v>Coordinates/address</x:v>
      </x:c>
      <x:c r="D350" s="57" t="str">
        <x:v>https://api.pdok.nl/bzk/locatieserver/search/v3_1/free?q=Gezandebaan+46a%2C+5725+TN+Asten+Heusden&amp;fq=type%3Aadres&amp;rows=10</x:v>
      </x:c>
      <x:c r="E350" s="57" t="str">
        <x:v>Dutch BAG address point via PDOK Locatieserver</x:v>
      </x:c>
      <x:c r="F350" s="57" t="str">
        <x:v>2026-08-15</x:v>
      </x:c>
      <x:c r="G350" s="14" t="str">
        <x:v>Exact postcode-matched address point: Gezandebaan 46a, 5725TN Heusden.</x:v>
      </x:c>
    </x:row>
    <x:row r="351">
      <x:c r="A351" s="56" t="str">
        <x:v>NL-0175</x:v>
      </x:c>
      <x:c r="B351" s="57" t="str">
        <x:v>Golfbaan Hof van Heden — Shortgolf / Pitch &amp; Putt Course</x:v>
      </x:c>
      <x:c r="C351" s="57" t="str">
        <x:v>Course identity/specification</x:v>
      </x:c>
      <x:c r="D351" s="57" t="str">
        <x:v>https://www.golf.nl/de-baan-op/banenzoeker/overzicht</x:v>
      </x:c>
      <x:c r="E351" s="57" t="str">
        <x:v>Current national federation course register</x:v>
      </x:c>
      <x:c r="F351" s="57" t="str">
        <x:v>2026-08-15</x:v>
      </x:c>
      <x:c r="G351" s="14" t="str">
        <x:v>Current NGF/GOLF.NL listing: 18 holes, par 54, 867 metres. Combined from exact NGF-listed constituent nine-hole loops: 1ste negen (9 holes, par 27, 424 m); 2de negen (9 holes, par 27, 443 m) Listed as non-qualifying.</x:v>
      </x:c>
    </x:row>
    <x:row r="352">
      <x:c r="A352" s="56" t="str">
        <x:v>NL-0175</x:v>
      </x:c>
      <x:c r="B352" s="57" t="str">
        <x:v>Golfbaan Hof van Heden — Shortgolf / Pitch &amp; Putt Course</x:v>
      </x:c>
      <x:c r="C352" s="57" t="str">
        <x:v>Coordinates/address</x:v>
      </x:c>
      <x:c r="D352" s="57" t="str">
        <x:v>https://api.pdok.nl/bzk/locatieserver/search/v3_1/free?q=Witrijt+10%2C+5571+XH+Bergeijk&amp;fq=type%3Aadres&amp;rows=10</x:v>
      </x:c>
      <x:c r="E352" s="57" t="str">
        <x:v>Dutch BAG address point via PDOK Locatieserver</x:v>
      </x:c>
      <x:c r="F352" s="57" t="str">
        <x:v>2026-08-15</x:v>
      </x:c>
      <x:c r="G352" s="14" t="str">
        <x:v>Exact postcode-matched address point: Witrijt 10, 5571XH Bergeijk.</x:v>
      </x:c>
    </x:row>
    <x:row r="353">
      <x:c r="A353" s="56" t="str">
        <x:v>NL-0176</x:v>
      </x:c>
      <x:c r="B353" s="57" t="str">
        <x:v>Golfbaan Landgoed Bergvliet — Lus A</x:v>
      </x:c>
      <x:c r="C353" s="57" t="str">
        <x:v>Course identity/specification</x:v>
      </x:c>
      <x:c r="D353" s="57" t="str">
        <x:v>https://www.golf.nl/de-baan-op/banenzoeker/overzicht</x:v>
      </x:c>
      <x:c r="E353" s="57" t="str">
        <x:v>Current national federation course register</x:v>
      </x:c>
      <x:c r="F353" s="57" t="str">
        <x:v>2026-08-15</x:v>
      </x:c>
      <x:c r="G353" s="14" t="str">
        <x:v>Current NGF/GOLF.NL listing: 9 holes, par 36, 3061 metres. Listed as qualifying.</x:v>
      </x:c>
    </x:row>
    <x:row r="354">
      <x:c r="A354" s="56" t="str">
        <x:v>NL-0176</x:v>
      </x:c>
      <x:c r="B354" s="57" t="str">
        <x:v>Golfbaan Landgoed Bergvliet — Lus A</x:v>
      </x:c>
      <x:c r="C354" s="57" t="str">
        <x:v>Coordinates/address</x:v>
      </x:c>
      <x:c r="D354" s="57" t="str">
        <x:v>https://api.pdok.nl/bzk/locatieserver/search/v3_1/free?q=Salesdreef+2%2C+4904+SW+Oosterhout&amp;fq=type%3Aadres&amp;rows=10</x:v>
      </x:c>
      <x:c r="E354" s="57" t="str">
        <x:v>Dutch BAG address point via PDOK Locatieserver</x:v>
      </x:c>
      <x:c r="F354" s="57" t="str">
        <x:v>2026-08-15</x:v>
      </x:c>
      <x:c r="G354" s="14" t="str">
        <x:v>Exact postcode-matched address point: Salesdreef 2, 4904SW Oosterhout.</x:v>
      </x:c>
    </x:row>
    <x:row r="355">
      <x:c r="A355" s="56" t="str">
        <x:v>NL-0177</x:v>
      </x:c>
      <x:c r="B355" s="57" t="str">
        <x:v>Golfbaan Landgoed Bergvliet — Lus B</x:v>
      </x:c>
      <x:c r="C355" s="57" t="str">
        <x:v>Course identity/specification</x:v>
      </x:c>
      <x:c r="D355" s="57" t="str">
        <x:v>https://18birdies.com/golf-courses/club/d0fdd330-86ac-11e4-8c28-020000005b00/landgoed-bergvliet</x:v>
      </x:c>
      <x:c r="E355" s="57" t="str">
        <x:v>Current official/exact course source</x:v>
      </x:c>
      <x:c r="F355" s="57" t="str">
        <x:v>2026-08-15</x:v>
      </x:c>
      <x:c r="G355" s="14" t="str">
        <x:v>Current NGF/GOLF.NL listing: 9 holes, par 35, 2867 metres. Exact published scorecard totals the back nine at par 35. The national overview's par-45 value was not retained. Listed as qualifying.</x:v>
      </x:c>
    </x:row>
    <x:row r="356">
      <x:c r="A356" s="56" t="str">
        <x:v>NL-0177</x:v>
      </x:c>
      <x:c r="B356" s="57" t="str">
        <x:v>Golfbaan Landgoed Bergvliet — Lus B</x:v>
      </x:c>
      <x:c r="C356" s="57" t="str">
        <x:v>Coordinates/address</x:v>
      </x:c>
      <x:c r="D356" s="57" t="str">
        <x:v>https://api.pdok.nl/bzk/locatieserver/search/v3_1/free?q=Salesdreef+2%2C+4904+SW+Oosterhout&amp;fq=type%3Aadres&amp;rows=10</x:v>
      </x:c>
      <x:c r="E356" s="57" t="str">
        <x:v>Dutch BAG address point via PDOK Locatieserver</x:v>
      </x:c>
      <x:c r="F356" s="57" t="str">
        <x:v>2026-08-15</x:v>
      </x:c>
      <x:c r="G356" s="14" t="str">
        <x:v>Exact postcode-matched address point: Salesdreef 2, 4904SW Oosterhout.</x:v>
      </x:c>
    </x:row>
    <x:row r="357">
      <x:c r="A357" s="56" t="str">
        <x:v>NL-0178</x:v>
      </x:c>
      <x:c r="B357" s="57" t="str">
        <x:v>Golfbaan Landgoed Bergvliet — Par-3 Course</x:v>
      </x:c>
      <x:c r="C357" s="57" t="str">
        <x:v>Course identity/specification</x:v>
      </x:c>
      <x:c r="D357" s="57" t="str">
        <x:v>https://www.golf.nl/de-baan-op/banenzoeker/overzicht</x:v>
      </x:c>
      <x:c r="E357" s="57" t="str">
        <x:v>Current national federation course register</x:v>
      </x:c>
      <x:c r="F357" s="57" t="str">
        <x:v>2026-08-15</x:v>
      </x:c>
      <x:c r="G357" s="14" t="str">
        <x:v>Current NGF/GOLF.NL listing: 9 holes, par 27, 923 metres. Listed as qualifying.</x:v>
      </x:c>
    </x:row>
    <x:row r="358">
      <x:c r="A358" s="56" t="str">
        <x:v>NL-0178</x:v>
      </x:c>
      <x:c r="B358" s="57" t="str">
        <x:v>Golfbaan Landgoed Bergvliet — Par-3 Course</x:v>
      </x:c>
      <x:c r="C358" s="57" t="str">
        <x:v>Coordinates/address</x:v>
      </x:c>
      <x:c r="D358" s="57" t="str">
        <x:v>https://api.pdok.nl/bzk/locatieserver/search/v3_1/free?q=Salesdreef+2%2C+4904+SW+Oosterhout&amp;fq=type%3Aadres&amp;rows=10</x:v>
      </x:c>
      <x:c r="E358" s="57" t="str">
        <x:v>Dutch BAG address point via PDOK Locatieserver</x:v>
      </x:c>
      <x:c r="F358" s="57" t="str">
        <x:v>2026-08-15</x:v>
      </x:c>
      <x:c r="G358" s="14" t="str">
        <x:v>Exact postcode-matched address point: Salesdreef 2, 4904SW Oosterhout.</x:v>
      </x:c>
    </x:row>
    <x:row r="359">
      <x:c r="A359" s="56" t="str">
        <x:v>NL-0179</x:v>
      </x:c>
      <x:c r="B359" s="57" t="str">
        <x:v>Golfbaan Oijense Zij</x:v>
      </x:c>
      <x:c r="C359" s="57" t="str">
        <x:v>Course identity/specification</x:v>
      </x:c>
      <x:c r="D359" s="57" t="str">
        <x:v>https://www.golf.nl/de-baan-op/banenzoeker/overzicht</x:v>
      </x:c>
      <x:c r="E359" s="57" t="str">
        <x:v>Current national federation course register</x:v>
      </x:c>
      <x:c r="F359" s="57" t="str">
        <x:v>2026-08-15</x:v>
      </x:c>
      <x:c r="G359" s="14" t="str">
        <x:v>Current NGF/GOLF.NL listing: 9 holes, par 27, 729 metres. Listed as qualifying.</x:v>
      </x:c>
    </x:row>
    <x:row r="360">
      <x:c r="A360" s="56" t="str">
        <x:v>NL-0179</x:v>
      </x:c>
      <x:c r="B360" s="57" t="str">
        <x:v>Golfbaan Oijense Zij</x:v>
      </x:c>
      <x:c r="C360" s="57" t="str">
        <x:v>Coordinates/address</x:v>
      </x:c>
      <x:c r="D360" s="57" t="str">
        <x:v>https://api.pdok.nl/bzk/locatieserver/search/v3_1/free?q=Oijenseweg+272%2C+5346+JG+Oss&amp;fq=type%3Aadres&amp;rows=10</x:v>
      </x:c>
      <x:c r="E360" s="57" t="str">
        <x:v>Dutch BAG address point via PDOK Locatieserver</x:v>
      </x:c>
      <x:c r="F360" s="57" t="str">
        <x:v>2026-08-15</x:v>
      </x:c>
      <x:c r="G360" s="14" t="str">
        <x:v>Exact postcode-matched address point: Oijenseweg 272, 5346JG Oss.</x:v>
      </x:c>
    </x:row>
    <x:row r="361">
      <x:c r="A361" s="56" t="str">
        <x:v>NL-0180</x:v>
      </x:c>
      <x:c r="B361" s="57" t="str">
        <x:v>Golfbaan Stippelberg — Main Course</x:v>
      </x:c>
      <x:c r="C361" s="57" t="str">
        <x:v>Course identity/specification</x:v>
      </x:c>
      <x:c r="D361" s="57" t="str">
        <x:v>https://www.golf.nl/de-baan-op/banenzoeker/overzicht</x:v>
      </x:c>
      <x:c r="E361" s="57" t="str">
        <x:v>Current national federation course register</x:v>
      </x:c>
      <x:c r="F361" s="57" t="str">
        <x:v>2026-08-15</x:v>
      </x:c>
      <x:c r="G361" s="14" t="str">
        <x:v>Current NGF/GOLF.NL listing: 18 holes, par 71, 6131 metres. Combined from exact NGF-listed constituent nine-hole loops: 1ste negen (9 holes, par 35, 3005 m); 2de negen (9 holes, par 36, 3126 m) Listed as qualifying.</x:v>
      </x:c>
    </x:row>
    <x:row r="362">
      <x:c r="A362" s="56" t="str">
        <x:v>NL-0180</x:v>
      </x:c>
      <x:c r="B362" s="57" t="str">
        <x:v>Golfbaan Stippelberg — Main Course</x:v>
      </x:c>
      <x:c r="C362" s="57" t="str">
        <x:v>Coordinates/address</x:v>
      </x:c>
      <x:c r="D362" s="57" t="str">
        <x:v>https://api.pdok.nl/bzk/locatieserver/search/v3_1/free?q=Hooizak+7%2C+5761+RZ+Bakel&amp;fq=type%3Aadres&amp;rows=10</x:v>
      </x:c>
      <x:c r="E362" s="57" t="str">
        <x:v>Dutch BAG address point via PDOK Locatieserver</x:v>
      </x:c>
      <x:c r="F362" s="57" t="str">
        <x:v>2026-08-15</x:v>
      </x:c>
      <x:c r="G362" s="14" t="str">
        <x:v>Exact postcode-matched address point: Hooizak 7, 5761RZ Bakel.</x:v>
      </x:c>
    </x:row>
    <x:row r="363">
      <x:c r="A363" s="56" t="str">
        <x:v>NL-0181</x:v>
      </x:c>
      <x:c r="B363" s="57" t="str">
        <x:v>Golfcentrum Dongen</x:v>
      </x:c>
      <x:c r="C363" s="57" t="str">
        <x:v>Course identity/specification</x:v>
      </x:c>
      <x:c r="D363" s="57" t="str">
        <x:v>https://www.golf.nl/de-baan-op/banenzoeker/overzicht</x:v>
      </x:c>
      <x:c r="E363" s="57" t="str">
        <x:v>Current national federation course register</x:v>
      </x:c>
      <x:c r="F363" s="57" t="str">
        <x:v>2026-08-15</x:v>
      </x:c>
      <x:c r="G363" s="14" t="str">
        <x:v>Current NGF/GOLF.NL listing: 9 holes, par 36, 2758 metres. Listed as qualifying.</x:v>
      </x:c>
    </x:row>
    <x:row r="364">
      <x:c r="A364" s="56" t="str">
        <x:v>NL-0181</x:v>
      </x:c>
      <x:c r="B364" s="57" t="str">
        <x:v>Golfcentrum Dongen</x:v>
      </x:c>
      <x:c r="C364" s="57" t="str">
        <x:v>Coordinates/address</x:v>
      </x:c>
      <x:c r="D364" s="57" t="str">
        <x:v>https://api.pdok.nl/bzk/locatieserver/search/v3_1/free?q=Zandeweg+2%2C+5107+NM+Dongen&amp;fq=type%3Aadres&amp;rows=10</x:v>
      </x:c>
      <x:c r="E364" s="57" t="str">
        <x:v>Dutch BAG address point via PDOK Locatieserver</x:v>
      </x:c>
      <x:c r="F364" s="57" t="str">
        <x:v>2026-08-15</x:v>
      </x:c>
      <x:c r="G364" s="14" t="str">
        <x:v>Exact postcode-matched address point: Zandeweg 2, 5107NM Dongen.</x:v>
      </x:c>
    </x:row>
    <x:row r="365">
      <x:c r="A365" s="56" t="str">
        <x:v>NL-0182</x:v>
      </x:c>
      <x:c r="B365" s="57" t="str">
        <x:v>Golfcentrum Eindhoven</x:v>
      </x:c>
      <x:c r="C365" s="57" t="str">
        <x:v>Course identity/specification</x:v>
      </x:c>
      <x:c r="D365" s="57" t="str">
        <x:v>https://www.golf.nl/de-baan-op/banenzoeker/overzicht</x:v>
      </x:c>
      <x:c r="E365" s="57" t="str">
        <x:v>Current national federation course register</x:v>
      </x:c>
      <x:c r="F365" s="57" t="str">
        <x:v>2026-08-15</x:v>
      </x:c>
      <x:c r="G365" s="14" t="str">
        <x:v>Current NGF/GOLF.NL listing: 9 holes, par 27, 804 metres. Listed as qualifying.</x:v>
      </x:c>
    </x:row>
    <x:row r="366">
      <x:c r="A366" s="56" t="str">
        <x:v>NL-0182</x:v>
      </x:c>
      <x:c r="B366" s="57" t="str">
        <x:v>Golfcentrum Eindhoven</x:v>
      </x:c>
      <x:c r="C366" s="57" t="str">
        <x:v>Coordinates/address</x:v>
      </x:c>
      <x:c r="D366" s="57" t="str">
        <x:v>https://api.pdok.nl/bzk/locatieserver/search/v3_1/free?q=J.C.+Dirkxspad%2C+5631+BZ+Eindhoven&amp;fq=type%3Aadres&amp;rows=10</x:v>
      </x:c>
      <x:c r="E366" s="57" t="str">
        <x:v>Dutch BAG address point via PDOK Locatieserver</x:v>
      </x:c>
      <x:c r="F366" s="57" t="str">
        <x:v>2026-08-15</x:v>
      </x:c>
      <x:c r="G366" s="14" t="str">
        <x:v>Exact postcode-matched address point: J C Dirkxpad 1A, 5631BZ Eindhoven.</x:v>
      </x:c>
    </x:row>
    <x:row r="367">
      <x:c r="A367" s="56" t="str">
        <x:v>NL-0183</x:v>
      </x:c>
      <x:c r="B367" s="57" t="str">
        <x:v>Golfcentrum Roosendaal</x:v>
      </x:c>
      <x:c r="C367" s="57" t="str">
        <x:v>Course identity/specification</x:v>
      </x:c>
      <x:c r="D367" s="57" t="str">
        <x:v>https://www.golf.nl/de-baan-op/banenzoeker/overzicht</x:v>
      </x:c>
      <x:c r="E367" s="57" t="str">
        <x:v>Current national federation course register</x:v>
      </x:c>
      <x:c r="F367" s="57" t="str">
        <x:v>2026-08-15</x:v>
      </x:c>
      <x:c r="G367" s="14" t="str">
        <x:v>Current NGF/GOLF.NL listing: 9 holes, par 33, 2032 metres. Listed as qualifying.</x:v>
      </x:c>
    </x:row>
    <x:row r="368">
      <x:c r="A368" s="56" t="str">
        <x:v>NL-0183</x:v>
      </x:c>
      <x:c r="B368" s="57" t="str">
        <x:v>Golfcentrum Roosendaal</x:v>
      </x:c>
      <x:c r="C368" s="57" t="str">
        <x:v>Coordinates/address</x:v>
      </x:c>
      <x:c r="D368" s="57" t="str">
        <x:v>https://api.pdok.nl/bzk/locatieserver/search/v3_1/free?q=De+Stok+16%2C+4703+SZ+Roosendaal&amp;fq=type%3Aadres&amp;rows=10</x:v>
      </x:c>
      <x:c r="E368" s="57" t="str">
        <x:v>Dutch BAG address point via PDOK Locatieserver</x:v>
      </x:c>
      <x:c r="F368" s="57" t="str">
        <x:v>2026-08-15</x:v>
      </x:c>
      <x:c r="G368" s="14" t="str">
        <x:v>Exact postcode-matched address point: De Stok 16, 4703SZ Roosendaal.</x:v>
      </x:c>
    </x:row>
    <x:row r="369">
      <x:c r="A369" s="56" t="str">
        <x:v>NL-0184</x:v>
      </x:c>
      <x:c r="B369" s="57" t="str">
        <x:v>Golfclub De Dommel — Main Course</x:v>
      </x:c>
      <x:c r="C369" s="57" t="str">
        <x:v>Course identity/specification</x:v>
      </x:c>
      <x:c r="D369" s="57" t="str">
        <x:v>https://www.golf.nl/de-baan-op/banenzoeker/overzicht</x:v>
      </x:c>
      <x:c r="E369" s="57" t="str">
        <x:v>Current national federation course register</x:v>
      </x:c>
      <x:c r="F369" s="57" t="str">
        <x:v>2026-08-15</x:v>
      </x:c>
      <x:c r="G369" s="14" t="str">
        <x:v>Current NGF/GOLF.NL listing: 18 holes, par 70, 5456 metres. Combined from exact NGF-listed constituent nine-hole loops: 1ste negen (9 holes, par 34, 2637 m); 2de negen (9 holes, par 36, 2819 m) Listed as qualifying.</x:v>
      </x:c>
    </x:row>
    <x:row r="370">
      <x:c r="A370" s="56" t="str">
        <x:v>NL-0184</x:v>
      </x:c>
      <x:c r="B370" s="57" t="str">
        <x:v>Golfclub De Dommel — Main Course</x:v>
      </x:c>
      <x:c r="C370" s="57" t="str">
        <x:v>Coordinates/address</x:v>
      </x:c>
      <x:c r="D370" s="57" t="str">
        <x:v>https://api.pdok.nl/bzk/locatieserver/search/v3_1/free?q=Zegenwerp+12%2C+5271+NC+Sint+Michielsgestel&amp;fq=type%3Aadres&amp;rows=10</x:v>
      </x:c>
      <x:c r="E370" s="57" t="str">
        <x:v>Dutch BAG address point via PDOK Locatieserver</x:v>
      </x:c>
      <x:c r="F370" s="57" t="str">
        <x:v>2026-08-15</x:v>
      </x:c>
      <x:c r="G370" s="14" t="str">
        <x:v>Exact postcode-matched address point: Zegenwerp 12, 5271NC Sint-Michielsgestel.</x:v>
      </x:c>
    </x:row>
    <x:row r="371">
      <x:c r="A371" s="56" t="str">
        <x:v>NL-0185</x:v>
      </x:c>
      <x:c r="B371" s="57" t="str">
        <x:v>Golfclub Den Heikant</x:v>
      </x:c>
      <x:c r="C371" s="57" t="str">
        <x:v>Course identity/specification</x:v>
      </x:c>
      <x:c r="D371" s="57" t="str">
        <x:v>https://www.golf.nl/de-baan-op/banenzoeker/overzicht</x:v>
      </x:c>
      <x:c r="E371" s="57" t="str">
        <x:v>Current national federation course register</x:v>
      </x:c>
      <x:c r="F371" s="57" t="str">
        <x:v>2026-08-15</x:v>
      </x:c>
      <x:c r="G371" s="14" t="str">
        <x:v>Current NGF/GOLF.NL listing: 9 holes, par 27, 985 metres. Listed as qualifying.</x:v>
      </x:c>
    </x:row>
    <x:row r="372">
      <x:c r="A372" s="56" t="str">
        <x:v>NL-0185</x:v>
      </x:c>
      <x:c r="B372" s="57" t="str">
        <x:v>Golfclub Den Heikant</x:v>
      </x:c>
      <x:c r="C372" s="57" t="str">
        <x:v>Coordinates/address</x:v>
      </x:c>
      <x:c r="D372" s="57" t="str">
        <x:v>https://api.pdok.nl/bzk/locatieserver/search/v3_1/free?q=Asdonkseweg+6%2C+5735+SP+Aarle+Rixtel&amp;fq=type%3Aadres&amp;rows=10</x:v>
      </x:c>
      <x:c r="E372" s="57" t="str">
        <x:v>Dutch BAG address point via PDOK Locatieserver</x:v>
      </x:c>
      <x:c r="F372" s="57" t="str">
        <x:v>2026-08-15</x:v>
      </x:c>
      <x:c r="G372" s="14" t="str">
        <x:v>Exact postcode-matched address point: Asdonkseweg 6, 5735SP Aarle-Rixtel.</x:v>
      </x:c>
    </x:row>
    <x:row r="373">
      <x:c r="A373" s="56" t="str">
        <x:v>NL-0186</x:v>
      </x:c>
      <x:c r="B373" s="57" t="str">
        <x:v>Golfclub Landgoed Coudewater</x:v>
      </x:c>
      <x:c r="C373" s="57" t="str">
        <x:v>Course identity/specification</x:v>
      </x:c>
      <x:c r="D373" s="57" t="str">
        <x:v>https://www.golf.nl/de-baan-op/banenzoeker/overzicht</x:v>
      </x:c>
      <x:c r="E373" s="57" t="str">
        <x:v>Current national federation course register</x:v>
      </x:c>
      <x:c r="F373" s="57" t="str">
        <x:v>2026-08-15</x:v>
      </x:c>
      <x:c r="G373" s="14" t="str">
        <x:v>Current NGF/GOLF.NL listing: 9 holes, par 35, 2654 metres. Listed as qualifying.</x:v>
      </x:c>
    </x:row>
    <x:row r="374">
      <x:c r="A374" s="56" t="str">
        <x:v>NL-0186</x:v>
      </x:c>
      <x:c r="B374" s="57" t="str">
        <x:v>Golfclub Landgoed Coudewater</x:v>
      </x:c>
      <x:c r="C374" s="57" t="str">
        <x:v>Coordinates/address</x:v>
      </x:c>
      <x:c r="D374" s="57" t="str">
        <x:v>https://api.pdok.nl/bzk/locatieserver/search/v3_1/free?q=Peter+de+Gorterstraat+11%2C+5248+NS+Rosmalen&amp;fq=type%3Aadres&amp;rows=10</x:v>
      </x:c>
      <x:c r="E374" s="57" t="str">
        <x:v>Dutch BAG address point via PDOK Locatieserver</x:v>
      </x:c>
      <x:c r="F374" s="57" t="str">
        <x:v>2026-08-15</x:v>
      </x:c>
      <x:c r="G374" s="14" t="str">
        <x:v>Exact postcode-matched address point: Peter de Gorterstraat 11, 5248NS Rosmalen.</x:v>
      </x:c>
    </x:row>
    <x:row r="375">
      <x:c r="A375" s="56" t="str">
        <x:v>NL-0187</x:v>
      </x:c>
      <x:c r="B375" s="57" t="str">
        <x:v>Golfclub Landgoed Nieuwkerk</x:v>
      </x:c>
      <x:c r="C375" s="57" t="str">
        <x:v>Course identity/specification</x:v>
      </x:c>
      <x:c r="D375" s="57" t="str">
        <x:v>https://www.golf.nl/de-baan-op/banenzoeker/overzicht</x:v>
      </x:c>
      <x:c r="E375" s="57" t="str">
        <x:v>Current national federation course register</x:v>
      </x:c>
      <x:c r="F375" s="57" t="str">
        <x:v>2026-08-15</x:v>
      </x:c>
      <x:c r="G375" s="14" t="str">
        <x:v>Current NGF/GOLF.NL listing: 9 holes, par 36, 2723 metres. Listed as qualifying.</x:v>
      </x:c>
    </x:row>
    <x:row r="376">
      <x:c r="A376" s="56" t="str">
        <x:v>NL-0187</x:v>
      </x:c>
      <x:c r="B376" s="57" t="str">
        <x:v>Golfclub Landgoed Nieuwkerk</x:v>
      </x:c>
      <x:c r="C376" s="57" t="str">
        <x:v>Coordinates/address</x:v>
      </x:c>
      <x:c r="D376" s="57" t="str">
        <x:v>https://api.pdok.nl/bzk/locatieserver/search/v3_1/free?q=Nieuwkerksedijk+Zuid+50%2C+5051+DW+Goirle&amp;fq=type%3Aadres&amp;rows=10</x:v>
      </x:c>
      <x:c r="E376" s="57" t="str">
        <x:v>Dutch BAG address point via PDOK Locatieserver</x:v>
      </x:c>
      <x:c r="F376" s="57" t="str">
        <x:v>2026-08-15</x:v>
      </x:c>
      <x:c r="G376" s="14" t="str">
        <x:v>Exact postcode-matched address point: Nieuwkerksedijk-Zuid 50, 5051DW Goirle.</x:v>
      </x:c>
    </x:row>
    <x:row r="377">
      <x:c r="A377" s="56" t="str">
        <x:v>NL-0188</x:v>
      </x:c>
      <x:c r="B377" s="57" t="str">
        <x:v>Golfclub Midden-Brabant — Main Course</x:v>
      </x:c>
      <x:c r="C377" s="57" t="str">
        <x:v>Course identity/specification</x:v>
      </x:c>
      <x:c r="D377" s="57" t="str">
        <x:v>https://www.golf.nl/de-baan-op/banenzoeker/overzicht</x:v>
      </x:c>
      <x:c r="E377" s="57" t="str">
        <x:v>Current national federation course register</x:v>
      </x:c>
      <x:c r="F377" s="57" t="str">
        <x:v>2026-08-15</x:v>
      </x:c>
      <x:c r="G377" s="14" t="str">
        <x:v>Current NGF/GOLF.NL listing: 18 holes, par 72, 5875 metres. Combined from exact NGF-listed constituent nine-hole loops: 1ste negen (9 holes, par 36, 2972 m); 2de negen (9 holes, par 36, 2903 m) Listed as qualifying.</x:v>
      </x:c>
    </x:row>
    <x:row r="378">
      <x:c r="A378" s="56" t="str">
        <x:v>NL-0188</x:v>
      </x:c>
      <x:c r="B378" s="57" t="str">
        <x:v>Golfclub Midden-Brabant — Main Course</x:v>
      </x:c>
      <x:c r="C378" s="57" t="str">
        <x:v>Coordinates/address</x:v>
      </x:c>
      <x:c r="D378" s="57" t="str">
        <x:v>https://api.pdok.nl/bzk/locatieserver/search/v3_1/free?q=Dunsedijk+1%2C+5085+ND+Esbeek&amp;fq=type%3Aadres&amp;rows=10</x:v>
      </x:c>
      <x:c r="E378" s="57" t="str">
        <x:v>Dutch BAG address point via PDOK Locatieserver</x:v>
      </x:c>
      <x:c r="F378" s="57" t="str">
        <x:v>2026-08-15</x:v>
      </x:c>
      <x:c r="G378" s="14" t="str">
        <x:v>Exact postcode-matched address point: Dunsedijk 1A-01, 5085ND Esbeek.</x:v>
      </x:c>
    </x:row>
    <x:row r="379">
      <x:c r="A379" s="56" t="str">
        <x:v>NL-0189</x:v>
      </x:c>
      <x:c r="B379" s="57" t="str">
        <x:v>Golfclub Princenbosch — A</x:v>
      </x:c>
      <x:c r="C379" s="57" t="str">
        <x:v>Course identity/specification</x:v>
      </x:c>
      <x:c r="D379" s="57" t="str">
        <x:v>https://www.golf.nl/de-baan-op/banenzoeker/overzicht</x:v>
      </x:c>
      <x:c r="E379" s="57" t="str">
        <x:v>Current national federation course register</x:v>
      </x:c>
      <x:c r="F379" s="57" t="str">
        <x:v>2026-08-15</x:v>
      </x:c>
      <x:c r="G379" s="14" t="str">
        <x:v>Current NGF/GOLF.NL listing: 9 holes, par 35, 2803 metres. Listed as qualifying.</x:v>
      </x:c>
    </x:row>
    <x:row r="380">
      <x:c r="A380" s="56" t="str">
        <x:v>NL-0189</x:v>
      </x:c>
      <x:c r="B380" s="57" t="str">
        <x:v>Golfclub Princenbosch — A</x:v>
      </x:c>
      <x:c r="C380" s="57" t="str">
        <x:v>Coordinates/address</x:v>
      </x:c>
      <x:c r="D380" s="57" t="str">
        <x:v>https://api.pdok.nl/bzk/locatieserver/search/v3_1/free?q=Bavelseweg+153%2C+5124+PX+Molenschot&amp;fq=type%3Aadres&amp;rows=10</x:v>
      </x:c>
      <x:c r="E380" s="57" t="str">
        <x:v>Dutch BAG address point via PDOK Locatieserver</x:v>
      </x:c>
      <x:c r="F380" s="57" t="str">
        <x:v>2026-08-15</x:v>
      </x:c>
      <x:c r="G380" s="14" t="str">
        <x:v>Exact postcode-matched address point: Bavelseweg 153A, 5124PX Molenschot.</x:v>
      </x:c>
    </x:row>
    <x:row r="381">
      <x:c r="A381" s="56" t="str">
        <x:v>NL-0190</x:v>
      </x:c>
      <x:c r="B381" s="57" t="str">
        <x:v>Golfclub Princenbosch — B</x:v>
      </x:c>
      <x:c r="C381" s="57" t="str">
        <x:v>Course identity/specification</x:v>
      </x:c>
      <x:c r="D381" s="57" t="str">
        <x:v>https://www.golf.nl/de-baan-op/banenzoeker/overzicht</x:v>
      </x:c>
      <x:c r="E381" s="57" t="str">
        <x:v>Current national federation course register</x:v>
      </x:c>
      <x:c r="F381" s="57" t="str">
        <x:v>2026-08-15</x:v>
      </x:c>
      <x:c r="G381" s="14" t="str">
        <x:v>Current NGF/GOLF.NL listing: 9 holes, par 35, 2731 metres. Listed as qualifying.</x:v>
      </x:c>
    </x:row>
    <x:row r="382">
      <x:c r="A382" s="56" t="str">
        <x:v>NL-0190</x:v>
      </x:c>
      <x:c r="B382" s="57" t="str">
        <x:v>Golfclub Princenbosch — B</x:v>
      </x:c>
      <x:c r="C382" s="57" t="str">
        <x:v>Coordinates/address</x:v>
      </x:c>
      <x:c r="D382" s="57" t="str">
        <x:v>https://api.pdok.nl/bzk/locatieserver/search/v3_1/free?q=Bavelseweg+153%2C+5124+PX+Molenschot&amp;fq=type%3Aadres&amp;rows=10</x:v>
      </x:c>
      <x:c r="E382" s="57" t="str">
        <x:v>Dutch BAG address point via PDOK Locatieserver</x:v>
      </x:c>
      <x:c r="F382" s="57" t="str">
        <x:v>2026-08-15</x:v>
      </x:c>
      <x:c r="G382" s="14" t="str">
        <x:v>Exact postcode-matched address point: Bavelseweg 153A, 5124PX Molenschot.</x:v>
      </x:c>
    </x:row>
    <x:row r="383">
      <x:c r="A383" s="56" t="str">
        <x:v>NL-0191</x:v>
      </x:c>
      <x:c r="B383" s="57" t="str">
        <x:v>Golfclub Princenbosch — C</x:v>
      </x:c>
      <x:c r="C383" s="57" t="str">
        <x:v>Course identity/specification</x:v>
      </x:c>
      <x:c r="D383" s="57" t="str">
        <x:v>https://www.golf.nl/de-baan-op/banenzoeker/overzicht</x:v>
      </x:c>
      <x:c r="E383" s="57" t="str">
        <x:v>Current national federation course register</x:v>
      </x:c>
      <x:c r="F383" s="57" t="str">
        <x:v>2026-08-15</x:v>
      </x:c>
      <x:c r="G383" s="14" t="str">
        <x:v>Current NGF/GOLF.NL listing: 9 holes, par 37, 3176 metres. Listed as qualifying.</x:v>
      </x:c>
    </x:row>
    <x:row r="384">
      <x:c r="A384" s="56" t="str">
        <x:v>NL-0191</x:v>
      </x:c>
      <x:c r="B384" s="57" t="str">
        <x:v>Golfclub Princenbosch — C</x:v>
      </x:c>
      <x:c r="C384" s="57" t="str">
        <x:v>Coordinates/address</x:v>
      </x:c>
      <x:c r="D384" s="57" t="str">
        <x:v>https://api.pdok.nl/bzk/locatieserver/search/v3_1/free?q=Bavelseweg+153%2C+5124+PX+Molenschot&amp;fq=type%3Aadres&amp;rows=10</x:v>
      </x:c>
      <x:c r="E384" s="57" t="str">
        <x:v>Dutch BAG address point via PDOK Locatieserver</x:v>
      </x:c>
      <x:c r="F384" s="57" t="str">
        <x:v>2026-08-15</x:v>
      </x:c>
      <x:c r="G384" s="14" t="str">
        <x:v>Exact postcode-matched address point: Bavelseweg 153A, 5124PX Molenschot.</x:v>
      </x:c>
    </x:row>
    <x:row r="385">
      <x:c r="A385" s="56" t="str">
        <x:v>NL-0192</x:v>
      </x:c>
      <x:c r="B385" s="57" t="str">
        <x:v>Golfclub Princenbosch — Par-3 Course</x:v>
      </x:c>
      <x:c r="C385" s="57" t="str">
        <x:v>Course identity/specification</x:v>
      </x:c>
      <x:c r="D385" s="57" t="str">
        <x:v>https://www.golf.nl/de-baan-op/banenzoeker/overzicht</x:v>
      </x:c>
      <x:c r="E385" s="57" t="str">
        <x:v>Current national federation course register</x:v>
      </x:c>
      <x:c r="F385" s="57" t="str">
        <x:v>2026-08-15</x:v>
      </x:c>
      <x:c r="G385" s="14" t="str">
        <x:v>Current NGF/GOLF.NL listing: 9 holes, par 27, 929 metres. Listed as qualifying.</x:v>
      </x:c>
    </x:row>
    <x:row r="386">
      <x:c r="A386" s="56" t="str">
        <x:v>NL-0192</x:v>
      </x:c>
      <x:c r="B386" s="57" t="str">
        <x:v>Golfclub Princenbosch — Par-3 Course</x:v>
      </x:c>
      <x:c r="C386" s="57" t="str">
        <x:v>Coordinates/address</x:v>
      </x:c>
      <x:c r="D386" s="57" t="str">
        <x:v>https://api.pdok.nl/bzk/locatieserver/search/v3_1/free?q=Bavelseweg+153%2C+5124+PX+Molenschot&amp;fq=type%3Aadres&amp;rows=10</x:v>
      </x:c>
      <x:c r="E386" s="57" t="str">
        <x:v>Dutch BAG address point via PDOK Locatieserver</x:v>
      </x:c>
      <x:c r="F386" s="57" t="str">
        <x:v>2026-08-15</x:v>
      </x:c>
      <x:c r="G386" s="14" t="str">
        <x:v>Exact postcode-matched address point: Bavelseweg 153A, 5124PX Molenschot.</x:v>
      </x:c>
    </x:row>
    <x:row r="387">
      <x:c r="A387" s="56" t="str">
        <x:v>NL-0193</x:v>
      </x:c>
      <x:c r="B387" s="57" t="str">
        <x:v>Golfclub Riel</x:v>
      </x:c>
      <x:c r="C387" s="57" t="str">
        <x:v>Course identity/specification</x:v>
      </x:c>
      <x:c r="D387" s="57" t="str">
        <x:v>https://www.golf.nl/de-baan-op/banenzoeker/overzicht</x:v>
      </x:c>
      <x:c r="E387" s="57" t="str">
        <x:v>Current national federation course register</x:v>
      </x:c>
      <x:c r="F387" s="57" t="str">
        <x:v>2026-08-15</x:v>
      </x:c>
      <x:c r="G387" s="14" t="str">
        <x:v>Current NGF/GOLF.NL listing: 9 holes, par 31, 1831 metres. Listed as qualifying.</x:v>
      </x:c>
    </x:row>
    <x:row r="388">
      <x:c r="A388" s="56" t="str">
        <x:v>NL-0193</x:v>
      </x:c>
      <x:c r="B388" s="57" t="str">
        <x:v>Golfclub Riel</x:v>
      </x:c>
      <x:c r="C388" s="57" t="str">
        <x:v>Coordinates/address</x:v>
      </x:c>
      <x:c r="D388" s="57" t="str">
        <x:v>https://api.pdok.nl/bzk/locatieserver/search/v3_1/free?q=Gijzenrooiseweg+23%2C+5661+MA+Geldrop&amp;fq=type%3Aadres&amp;rows=10</x:v>
      </x:c>
      <x:c r="E388" s="57" t="str">
        <x:v>Dutch BAG address point via PDOK Locatieserver</x:v>
      </x:c>
      <x:c r="F388" s="57" t="str">
        <x:v>2026-08-15</x:v>
      </x:c>
      <x:c r="G388" s="14" t="str">
        <x:v>Exact postcode-matched address point: Gijzenrooiseweg 23, 5661MA Geldrop.</x:v>
      </x:c>
    </x:row>
    <x:row r="389">
      <x:c r="A389" s="56" t="str">
        <x:v>NL-0194</x:v>
      </x:c>
      <x:c r="B389" s="57" t="str">
        <x:v>Golfclub Son</x:v>
      </x:c>
      <x:c r="C389" s="57" t="str">
        <x:v>Course identity/specification</x:v>
      </x:c>
      <x:c r="D389" s="57" t="str">
        <x:v>https://www.golf.nl/de-baan-op/banenzoeker/overzicht</x:v>
      </x:c>
      <x:c r="E389" s="57" t="str">
        <x:v>Current national federation course register</x:v>
      </x:c>
      <x:c r="F389" s="57" t="str">
        <x:v>2026-08-15</x:v>
      </x:c>
      <x:c r="G389" s="14" t="str">
        <x:v>Current NGF/GOLF.NL listing: 9 holes, par 28, 1177 metres. Listed as qualifying.</x:v>
      </x:c>
    </x:row>
    <x:row r="390">
      <x:c r="A390" s="56" t="str">
        <x:v>NL-0194</x:v>
      </x:c>
      <x:c r="B390" s="57" t="str">
        <x:v>Golfclub Son</x:v>
      </x:c>
      <x:c r="C390" s="57" t="str">
        <x:v>Coordinates/address</x:v>
      </x:c>
      <x:c r="D390" s="57" t="str">
        <x:v>https://api.pdok.nl/bzk/locatieserver/search/v3_1/free?q=Sportpark+de+Gentiaan%2C+Rooijseweg+11%2C+5691+PA+Son&amp;fq=type%3Aadres&amp;rows=10</x:v>
      </x:c>
      <x:c r="E390" s="57" t="str">
        <x:v>Dutch BAG address point via PDOK Locatieserver</x:v>
      </x:c>
      <x:c r="F390" s="57" t="str">
        <x:v>2026-08-15</x:v>
      </x:c>
      <x:c r="G390" s="14" t="str">
        <x:v>Exact postcode-matched address point: Rooijseweg 11, 5691PA Son en Breugel.</x:v>
      </x:c>
    </x:row>
    <x:row r="391">
      <x:c r="A391" s="56" t="str">
        <x:v>NL-0195</x:v>
      </x:c>
      <x:c r="B391" s="57" t="str">
        <x:v>Golfclub Vught</x:v>
      </x:c>
      <x:c r="C391" s="57" t="str">
        <x:v>Course identity/specification</x:v>
      </x:c>
      <x:c r="D391" s="57" t="str">
        <x:v>https://www.golf.nl/de-baan-op/banenzoeker/overzicht</x:v>
      </x:c>
      <x:c r="E391" s="57" t="str">
        <x:v>Current national federation course register</x:v>
      </x:c>
      <x:c r="F391" s="57" t="str">
        <x:v>2026-08-15</x:v>
      </x:c>
      <x:c r="G391" s="14" t="str">
        <x:v>Current NGF/GOLF.NL listing: 9 holes, par 27, 915 metres. Listed as qualifying.</x:v>
      </x:c>
    </x:row>
    <x:row r="392">
      <x:c r="A392" s="56" t="str">
        <x:v>NL-0195</x:v>
      </x:c>
      <x:c r="B392" s="57" t="str">
        <x:v>Golfclub Vught</x:v>
      </x:c>
      <x:c r="C392" s="57" t="str">
        <x:v>Coordinates/address</x:v>
      </x:c>
      <x:c r="D392" s="57" t="str">
        <x:v>https://api.pdok.nl/bzk/locatieserver/search/v3_1/free?q=Sportpark+Bergenshuizen%2C+De+Bus+2%2C+5262+LV+Vught&amp;fq=type%3Aadres&amp;rows=10</x:v>
      </x:c>
      <x:c r="E392" s="57" t="str">
        <x:v>Dutch BAG address point via PDOK Locatieserver</x:v>
      </x:c>
      <x:c r="F392" s="57" t="str">
        <x:v>2026-08-15</x:v>
      </x:c>
      <x:c r="G392" s="14" t="str">
        <x:v>Exact postcode-matched address point: De Bus 2, 5262LV Vught.</x:v>
      </x:c>
    </x:row>
    <x:row r="393">
      <x:c r="A393" s="56" t="str">
        <x:v>NL-0196</x:v>
      </x:c>
      <x:c r="B393" s="57" t="str">
        <x:v>Golfclub Wouwse Plantage — Main Course</x:v>
      </x:c>
      <x:c r="C393" s="57" t="str">
        <x:v>Course identity/specification</x:v>
      </x:c>
      <x:c r="D393" s="57" t="str">
        <x:v>https://www.golf.nl/de-baan-op/banenzoeker/overzicht</x:v>
      </x:c>
      <x:c r="E393" s="57" t="str">
        <x:v>Current national federation course register</x:v>
      </x:c>
      <x:c r="F393" s="57" t="str">
        <x:v>2026-08-15</x:v>
      </x:c>
      <x:c r="G393" s="14" t="str">
        <x:v>Current NGF/GOLF.NL listing: 18 holes, par 72, 6312 metres. Combined from exact NGF-listed constituent nine-hole loops: 1ste negen (9 holes, par 36, 3054 m); 2de negen (9 holes, par 36, 3258 m) Listed as qualifying.</x:v>
      </x:c>
    </x:row>
    <x:row r="394">
      <x:c r="A394" s="56" t="str">
        <x:v>NL-0196</x:v>
      </x:c>
      <x:c r="B394" s="57" t="str">
        <x:v>Golfclub Wouwse Plantage — Main Course</x:v>
      </x:c>
      <x:c r="C394" s="57" t="str">
        <x:v>Coordinates/address</x:v>
      </x:c>
      <x:c r="D394" s="57" t="str">
        <x:v>https://api.pdok.nl/bzk/locatieserver/search/v3_1/free?q=Zoomvlietweg+66%2C+4624+RP+Bergen+Op+Zoom&amp;fq=type%3Aadres&amp;rows=10</x:v>
      </x:c>
      <x:c r="E394" s="57" t="str">
        <x:v>Dutch BAG address point via PDOK Locatieserver</x:v>
      </x:c>
      <x:c r="F394" s="57" t="str">
        <x:v>2026-08-15</x:v>
      </x:c>
      <x:c r="G394" s="14" t="str">
        <x:v>Exact postcode-matched address point: Zoomvlietweg 66, 4624RP Bergen op Zoom.</x:v>
      </x:c>
    </x:row>
    <x:row r="395">
      <x:c r="A395" s="56" t="str">
        <x:v>NL-0197</x:v>
      </x:c>
      <x:c r="B395" s="57" t="str">
        <x:v>Golfpark Almkreek — Main Course</x:v>
      </x:c>
      <x:c r="C395" s="57" t="str">
        <x:v>Course identity/specification</x:v>
      </x:c>
      <x:c r="D395" s="57" t="str">
        <x:v>https://www.golf.nl/de-baan-op/banenzoeker/overzicht</x:v>
      </x:c>
      <x:c r="E395" s="57" t="str">
        <x:v>Current national federation course register</x:v>
      </x:c>
      <x:c r="F395" s="57" t="str">
        <x:v>2026-08-15</x:v>
      </x:c>
      <x:c r="G395" s="14" t="str">
        <x:v>Current NGF/GOLF.NL listing: 18 holes, par 72, 5881 metres. Combined from exact NGF-listed constituent nine-hole loops: 1ste negen (9 holes, par 36, 3086 m); 2de negen (9 holes, par 36, 2795 m) Listed as qualifying.</x:v>
      </x:c>
    </x:row>
    <x:row r="396">
      <x:c r="A396" s="56" t="str">
        <x:v>NL-0197</x:v>
      </x:c>
      <x:c r="B396" s="57" t="str">
        <x:v>Golfpark Almkreek — Main Course</x:v>
      </x:c>
      <x:c r="C396" s="57" t="str">
        <x:v>Coordinates/address</x:v>
      </x:c>
      <x:c r="D396" s="57" t="str">
        <x:v>https://api.pdok.nl/bzk/locatieserver/search/v3_1/free?q=Hoekje+7b%2C+4286+LN+Almkerk&amp;fq=type%3Aadres&amp;rows=10</x:v>
      </x:c>
      <x:c r="E396" s="57" t="str">
        <x:v>Dutch BAG address point via PDOK Locatieserver</x:v>
      </x:c>
      <x:c r="F396" s="57" t="str">
        <x:v>2026-08-15</x:v>
      </x:c>
      <x:c r="G396" s="14" t="str">
        <x:v>Exact postcode-matched address point: Hoekje 7b, 4286LN Almkerk.</x:v>
      </x:c>
    </x:row>
    <x:row r="397">
      <x:c r="A397" s="56" t="str">
        <x:v>NL-0198</x:v>
      </x:c>
      <x:c r="B397" s="57" t="str">
        <x:v>Golfpark Almkreek — Par-3 Course</x:v>
      </x:c>
      <x:c r="C397" s="57" t="str">
        <x:v>Course identity/specification</x:v>
      </x:c>
      <x:c r="D397" s="57" t="str">
        <x:v>https://www.golf.nl/de-baan-op/banenzoeker/overzicht</x:v>
      </x:c>
      <x:c r="E397" s="57" t="str">
        <x:v>Current national federation course register</x:v>
      </x:c>
      <x:c r="F397" s="57" t="str">
        <x:v>2026-08-15</x:v>
      </x:c>
      <x:c r="G397" s="14" t="str">
        <x:v>Current NGF/GOLF.NL listing: 9 holes, par 27, 690 metres. Listed as non-qualifying.</x:v>
      </x:c>
    </x:row>
    <x:row r="398">
      <x:c r="A398" s="56" t="str">
        <x:v>NL-0198</x:v>
      </x:c>
      <x:c r="B398" s="57" t="str">
        <x:v>Golfpark Almkreek — Par-3 Course</x:v>
      </x:c>
      <x:c r="C398" s="57" t="str">
        <x:v>Coordinates/address</x:v>
      </x:c>
      <x:c r="D398" s="57" t="str">
        <x:v>https://api.pdok.nl/bzk/locatieserver/search/v3_1/free?q=Hoekje+7b%2C+4286+LN+Almkerk&amp;fq=type%3Aadres&amp;rows=10</x:v>
      </x:c>
      <x:c r="E398" s="57" t="str">
        <x:v>Dutch BAG address point via PDOK Locatieserver</x:v>
      </x:c>
      <x:c r="F398" s="57" t="str">
        <x:v>2026-08-15</x:v>
      </x:c>
      <x:c r="G398" s="14" t="str">
        <x:v>Exact postcode-matched address point: Hoekje 7b, 4286LN Almkerk.</x:v>
      </x:c>
    </x:row>
    <x:row r="399">
      <x:c r="A399" s="56" t="str">
        <x:v>NL-0199</x:v>
      </x:c>
      <x:c r="B399" s="57" t="str">
        <x:v>Golfpark Almkreek — Par-3/4 Course</x:v>
      </x:c>
      <x:c r="C399" s="57" t="str">
        <x:v>Course identity/specification</x:v>
      </x:c>
      <x:c r="D399" s="57" t="str">
        <x:v>https://www.golf.nl/de-baan-op/banenzoeker/overzicht</x:v>
      </x:c>
      <x:c r="E399" s="57" t="str">
        <x:v>Current national federation course register</x:v>
      </x:c>
      <x:c r="F399" s="57" t="str">
        <x:v>2026-08-15</x:v>
      </x:c>
      <x:c r="G399" s="14" t="str">
        <x:v>Current NGF/GOLF.NL listing: 14 holes, par 44, 1422 metres. Listed as qualifying.</x:v>
      </x:c>
    </x:row>
    <x:row r="400">
      <x:c r="A400" s="56" t="str">
        <x:v>NL-0199</x:v>
      </x:c>
      <x:c r="B400" s="57" t="str">
        <x:v>Golfpark Almkreek — Par-3/4 Course</x:v>
      </x:c>
      <x:c r="C400" s="57" t="str">
        <x:v>Coordinates/address</x:v>
      </x:c>
      <x:c r="D400" s="57" t="str">
        <x:v>https://api.pdok.nl/bzk/locatieserver/search/v3_1/free?q=Hoekje+7b%2C+4286+LN+Almkerk&amp;fq=type%3Aadres&amp;rows=10</x:v>
      </x:c>
      <x:c r="E400" s="57" t="str">
        <x:v>Dutch BAG address point via PDOK Locatieserver</x:v>
      </x:c>
      <x:c r="F400" s="57" t="str">
        <x:v>2026-08-15</x:v>
      </x:c>
      <x:c r="G400" s="14" t="str">
        <x:v>Exact postcode-matched address point: Hoekje 7b, 4286LN Almkerk.</x:v>
      </x:c>
    </x:row>
    <x:row r="401">
      <x:c r="A401" s="56" t="str">
        <x:v>NL-0200</x:v>
      </x:c>
      <x:c r="B401" s="57" t="str">
        <x:v>Golfpark De Bonte Bij</x:v>
      </x:c>
      <x:c r="C401" s="57" t="str">
        <x:v>Course identity/specification</x:v>
      </x:c>
      <x:c r="D401" s="57" t="str">
        <x:v>https://www.golf.nl/de-baan-op/banenzoeker/overzicht</x:v>
      </x:c>
      <x:c r="E401" s="57" t="str">
        <x:v>Current national federation course register</x:v>
      </x:c>
      <x:c r="F401" s="57" t="str">
        <x:v>2026-08-15</x:v>
      </x:c>
      <x:c r="G401" s="14" t="str">
        <x:v>Current NGF/GOLF.NL listing: 9 holes, par 27, 1085 metres. Listed as qualifying.</x:v>
      </x:c>
    </x:row>
    <x:row r="402">
      <x:c r="A402" s="56" t="str">
        <x:v>NL-0200</x:v>
      </x:c>
      <x:c r="B402" s="57" t="str">
        <x:v>Golfpark De Bonte Bij</x:v>
      </x:c>
      <x:c r="C402" s="57" t="str">
        <x:v>Coordinates/address</x:v>
      </x:c>
      <x:c r="D402" s="57" t="str">
        <x:v>https://api.pdok.nl/bzk/locatieserver/search/v3_1/free?q=Doelenweg+1%2C+5406+XK+Uden&amp;fq=type%3Aadres&amp;rows=10</x:v>
      </x:c>
      <x:c r="E402" s="57" t="str">
        <x:v>Dutch BAG address point via PDOK Locatieserver</x:v>
      </x:c>
      <x:c r="F402" s="57" t="str">
        <x:v>2026-08-15</x:v>
      </x:c>
      <x:c r="G402" s="14" t="str">
        <x:v>Exact postcode-matched address point: Doelenweg 1, 5406XK Uden.</x:v>
      </x:c>
    </x:row>
    <x:row r="403">
      <x:c r="A403" s="56" t="str">
        <x:v>NL-0201</x:v>
      </x:c>
      <x:c r="B403" s="57" t="str">
        <x:v>Golfpark De Haenen — Academy Course</x:v>
      </x:c>
      <x:c r="C403" s="57" t="str">
        <x:v>Course identity/specification</x:v>
      </x:c>
      <x:c r="D403" s="57" t="str">
        <x:v>https://www.golf.nl/de-baan-op/banenzoeker/overzicht</x:v>
      </x:c>
      <x:c r="E403" s="57" t="str">
        <x:v>Current national federation course register</x:v>
      </x:c>
      <x:c r="F403" s="57" t="str">
        <x:v>2026-08-15</x:v>
      </x:c>
      <x:c r="G403" s="14" t="str">
        <x:v>Current NGF/GOLF.NL listing: 6 holes, par 18, 300 metres. The current official facility contact page and BAG address replace the postcode typo in the NGF overview (Laan der Continenten 70, 4847 DE Teteringen). Listed as non-qualifying.</x:v>
      </x:c>
    </x:row>
    <x:row r="404">
      <x:c r="A404" s="56" t="str">
        <x:v>NL-0201</x:v>
      </x:c>
      <x:c r="B404" s="57" t="str">
        <x:v>Golfpark De Haenen — Academy Course</x:v>
      </x:c>
      <x:c r="C404" s="57" t="str">
        <x:v>Coordinates/address</x:v>
      </x:c>
      <x:c r="D404" s="57" t="str">
        <x:v>https://api.pdok.nl/bzk/locatieserver/search/v3_1/free?q=Laan+der+Continenten+70%2C+4847+DG+Teteringen&amp;fq=type%3Aadres&amp;rows=10</x:v>
      </x:c>
      <x:c r="E404" s="57" t="str">
        <x:v>Dutch BAG address point via PDOK Locatieserver</x:v>
      </x:c>
      <x:c r="F404" s="57" t="str">
        <x:v>2026-08-15</x:v>
      </x:c>
      <x:c r="G404" s="14" t="str">
        <x:v>Exact postcode-matched address point: Laan der Continenten 70, 4847DG Teteringen. Corrected address verified on the facility's current contact page: https://www.dehaenen.nl/contactgegevens.</x:v>
      </x:c>
    </x:row>
    <x:row r="405">
      <x:c r="A405" s="56" t="str">
        <x:v>NL-0202</x:v>
      </x:c>
      <x:c r="B405" s="57" t="str">
        <x:v>Golfpark De Haenen — Main Course</x:v>
      </x:c>
      <x:c r="C405" s="57" t="str">
        <x:v>Course identity/specification</x:v>
      </x:c>
      <x:c r="D405" s="57" t="str">
        <x:v>https://www.golf.nl/de-baan-op/banenzoeker/overzicht</x:v>
      </x:c>
      <x:c r="E405" s="57" t="str">
        <x:v>Current national federation course register</x:v>
      </x:c>
      <x:c r="F405" s="57" t="str">
        <x:v>2026-08-15</x:v>
      </x:c>
      <x:c r="G405" s="14" t="str">
        <x:v>Current NGF/GOLF.NL listing: 18 holes, par 70, 5733 metres. Combined from exact NGF-listed constituent nine-hole loops: 1ste negen (9 holes, par 35, 2919 m); 2de negen (9 holes, par 35, 2814 m) The current official facility contact page and BAG address replace the postcode typo in the NGF overview (Laan der Continenten 70, 4847 DE Teteringen). Listed as qualifying.</x:v>
      </x:c>
    </x:row>
    <x:row r="406">
      <x:c r="A406" s="56" t="str">
        <x:v>NL-0202</x:v>
      </x:c>
      <x:c r="B406" s="57" t="str">
        <x:v>Golfpark De Haenen — Main Course</x:v>
      </x:c>
      <x:c r="C406" s="57" t="str">
        <x:v>Coordinates/address</x:v>
      </x:c>
      <x:c r="D406" s="57" t="str">
        <x:v>https://api.pdok.nl/bzk/locatieserver/search/v3_1/free?q=Laan+der+Continenten+70%2C+4847+DG+Teteringen&amp;fq=type%3Aadres&amp;rows=10</x:v>
      </x:c>
      <x:c r="E406" s="57" t="str">
        <x:v>Dutch BAG address point via PDOK Locatieserver</x:v>
      </x:c>
      <x:c r="F406" s="57" t="str">
        <x:v>2026-08-15</x:v>
      </x:c>
      <x:c r="G406" s="14" t="str">
        <x:v>Exact postcode-matched address point: Laan der Continenten 70, 4847DG Teteringen. Corrected address verified on the facility's current contact page: https://www.dehaenen.nl/contactgegevens.</x:v>
      </x:c>
    </x:row>
    <x:row r="407">
      <x:c r="A407" s="56" t="str">
        <x:v>NL-0203</x:v>
      </x:c>
      <x:c r="B407" s="57" t="str">
        <x:v>Golfpark De Haverleij — Main Course</x:v>
      </x:c>
      <x:c r="C407" s="57" t="str">
        <x:v>Course identity/specification</x:v>
      </x:c>
      <x:c r="D407" s="57" t="str">
        <x:v>https://www.golf.nl/de-baan-op/banenzoeker/overzicht</x:v>
      </x:c>
      <x:c r="E407" s="57" t="str">
        <x:v>Current national federation course register</x:v>
      </x:c>
      <x:c r="F407" s="57" t="str">
        <x:v>2026-08-15</x:v>
      </x:c>
      <x:c r="G407" s="14" t="str">
        <x:v>Current NGF/GOLF.NL listing: 18 holes, par 72, 5815 metres. Combined from exact NGF-listed constituent nine-hole loops: 1ste negen (9 holes, par 36, 2972 m); 2de negen (9 holes, par 36, 2843 m) Listed as qualifying.</x:v>
      </x:c>
    </x:row>
    <x:row r="408">
      <x:c r="A408" s="56" t="str">
        <x:v>NL-0203</x:v>
      </x:c>
      <x:c r="B408" s="57" t="str">
        <x:v>Golfpark De Haverleij — Main Course</x:v>
      </x:c>
      <x:c r="C408" s="57" t="str">
        <x:v>Coordinates/address</x:v>
      </x:c>
      <x:c r="D408" s="57" t="str">
        <x:v>https://api.pdok.nl/bzk/locatieserver/search/v3_1/free?q=Leunweg+40%2C+5221+BC+%27S-Hertogenbosch&amp;fq=type%3Aadres&amp;rows=10</x:v>
      </x:c>
      <x:c r="E408" s="57" t="str">
        <x:v>Dutch BAG address point via PDOK Locatieserver</x:v>
      </x:c>
      <x:c r="F408" s="57" t="str">
        <x:v>2026-08-15</x:v>
      </x:c>
      <x:c r="G408" s="14" t="str">
        <x:v>Exact postcode-matched address point: Leunweg 40, 5221BC 's-Hertogenbosch.</x:v>
      </x:c>
    </x:row>
    <x:row r="409">
      <x:c r="A409" s="56" t="str">
        <x:v>NL-0204</x:v>
      </x:c>
      <x:c r="B409" s="57" t="str">
        <x:v>Golfpark De Haverleij — Par-3 Course</x:v>
      </x:c>
      <x:c r="C409" s="57" t="str">
        <x:v>Course identity/specification</x:v>
      </x:c>
      <x:c r="D409" s="57" t="str">
        <x:v>https://www.golf.nl/de-baan-op/banenzoeker/overzicht</x:v>
      </x:c>
      <x:c r="E409" s="57" t="str">
        <x:v>Current national federation course register</x:v>
      </x:c>
      <x:c r="F409" s="57" t="str">
        <x:v>2026-08-15</x:v>
      </x:c>
      <x:c r="G409" s="14" t="str">
        <x:v>Current NGF/GOLF.NL listing: 9 holes, par 27, 782 metres. Listed as qualifying.</x:v>
      </x:c>
    </x:row>
    <x:row r="410">
      <x:c r="A410" s="56" t="str">
        <x:v>NL-0204</x:v>
      </x:c>
      <x:c r="B410" s="57" t="str">
        <x:v>Golfpark De Haverleij — Par-3 Course</x:v>
      </x:c>
      <x:c r="C410" s="57" t="str">
        <x:v>Coordinates/address</x:v>
      </x:c>
      <x:c r="D410" s="57" t="str">
        <x:v>https://api.pdok.nl/bzk/locatieserver/search/v3_1/free?q=Leunweg+40%2C+5221+BC+%27S-Hertogenbosch&amp;fq=type%3Aadres&amp;rows=10</x:v>
      </x:c>
      <x:c r="E410" s="57" t="str">
        <x:v>Dutch BAG address point via PDOK Locatieserver</x:v>
      </x:c>
      <x:c r="F410" s="57" t="str">
        <x:v>2026-08-15</x:v>
      </x:c>
      <x:c r="G410" s="14" t="str">
        <x:v>Exact postcode-matched address point: Leunweg 40, 5221BC 's-Hertogenbosch.</x:v>
      </x:c>
    </x:row>
    <x:row r="411">
      <x:c r="A411" s="56" t="str">
        <x:v>NL-0205</x:v>
      </x:c>
      <x:c r="B411" s="57" t="str">
        <x:v>Golfpark De Kurenpolder — Main Course</x:v>
      </x:c>
      <x:c r="C411" s="57" t="str">
        <x:v>Course identity/specification</x:v>
      </x:c>
      <x:c r="D411" s="57" t="str">
        <x:v>https://www.golf.nl/de-baan-op/banenzoeker/overzicht</x:v>
      </x:c>
      <x:c r="E411" s="57" t="str">
        <x:v>Current national federation course register</x:v>
      </x:c>
      <x:c r="F411" s="57" t="str">
        <x:v>2026-08-15</x:v>
      </x:c>
      <x:c r="G411" s="14" t="str">
        <x:v>Current NGF/GOLF.NL listing: 9 holes, par 34, 2646 metres. Listed as qualifying.</x:v>
      </x:c>
    </x:row>
    <x:row r="412">
      <x:c r="A412" s="56" t="str">
        <x:v>NL-0205</x:v>
      </x:c>
      <x:c r="B412" s="57" t="str">
        <x:v>Golfpark De Kurenpolder — Main Course</x:v>
      </x:c>
      <x:c r="C412" s="57" t="str">
        <x:v>Coordinates/address</x:v>
      </x:c>
      <x:c r="D412" s="57" t="str">
        <x:v>https://api.pdok.nl/bzk/locatieserver/search/v3_1/free?q=Kurenpolderweg+31%2C+4273+LA+Hank&amp;fq=type%3Aadres&amp;rows=10</x:v>
      </x:c>
      <x:c r="E412" s="57" t="str">
        <x:v>Dutch BAG address point via PDOK Locatieserver</x:v>
      </x:c>
      <x:c r="F412" s="57" t="str">
        <x:v>2026-08-15</x:v>
      </x:c>
      <x:c r="G412" s="14" t="str">
        <x:v>Exact postcode-matched address point: Kurenpolderweg 31D-31, 4273LA Hank.</x:v>
      </x:c>
    </x:row>
    <x:row r="413">
      <x:c r="A413" s="56" t="str">
        <x:v>NL-0206</x:v>
      </x:c>
      <x:c r="B413" s="57" t="str">
        <x:v>Golfpark De Kurenpolder — Par-3 Course</x:v>
      </x:c>
      <x:c r="C413" s="57" t="str">
        <x:v>Course identity/specification</x:v>
      </x:c>
      <x:c r="D413" s="57" t="str">
        <x:v>https://www.golf.nl/de-baan-op/banenzoeker/overzicht</x:v>
      </x:c>
      <x:c r="E413" s="57" t="str">
        <x:v>Current national federation course register</x:v>
      </x:c>
      <x:c r="F413" s="57" t="str">
        <x:v>2026-08-15</x:v>
      </x:c>
      <x:c r="G413" s="14" t="str">
        <x:v>Current NGF/GOLF.NL listing: 9 holes, par 27, 700 metres. Listed as qualifying.</x:v>
      </x:c>
    </x:row>
    <x:row r="414">
      <x:c r="A414" s="56" t="str">
        <x:v>NL-0206</x:v>
      </x:c>
      <x:c r="B414" s="57" t="str">
        <x:v>Golfpark De Kurenpolder — Par-3 Course</x:v>
      </x:c>
      <x:c r="C414" s="57" t="str">
        <x:v>Coordinates/address</x:v>
      </x:c>
      <x:c r="D414" s="57" t="str">
        <x:v>https://api.pdok.nl/bzk/locatieserver/search/v3_1/free?q=Kurenpolderweg+31%2C+4273+LA+Hank&amp;fq=type%3Aadres&amp;rows=10</x:v>
      </x:c>
      <x:c r="E414" s="57" t="str">
        <x:v>Dutch BAG address point via PDOK Locatieserver</x:v>
      </x:c>
      <x:c r="F414" s="57" t="str">
        <x:v>2026-08-15</x:v>
      </x:c>
      <x:c r="G414" s="14" t="str">
        <x:v>Exact postcode-matched address point: Kurenpolderweg 31D-31, 4273LA Hank.</x:v>
      </x:c>
    </x:row>
    <x:row r="415">
      <x:c r="A415" s="56" t="str">
        <x:v>NL-0207</x:v>
      </x:c>
      <x:c r="B415" s="57" t="str">
        <x:v>Golfpark De Loonsche Duynen — Main Course</x:v>
      </x:c>
      <x:c r="C415" s="57" t="str">
        <x:v>Course identity/specification</x:v>
      </x:c>
      <x:c r="D415" s="57" t="str">
        <x:v>https://www.golf.nl/de-baan-op/banenzoeker/overzicht</x:v>
      </x:c>
      <x:c r="E415" s="57" t="str">
        <x:v>Current national federation course register</x:v>
      </x:c>
      <x:c r="F415" s="57" t="str">
        <x:v>2026-08-15</x:v>
      </x:c>
      <x:c r="G415" s="14" t="str">
        <x:v>Current NGF/GOLF.NL listing: 18 holes, par 72, 6269 metres. Combined from exact NGF-listed constituent nine-hole loops: 1ste negen (9 holes, par 36, 3217 m); 2de negen (9 holes, par 36, 3052 m) Listed as qualifying.</x:v>
      </x:c>
    </x:row>
    <x:row r="416">
      <x:c r="A416" s="56" t="str">
        <x:v>NL-0207</x:v>
      </x:c>
      <x:c r="B416" s="57" t="str">
        <x:v>Golfpark De Loonsche Duynen — Main Course</x:v>
      </x:c>
      <x:c r="C416" s="57" t="str">
        <x:v>Coordinates/address</x:v>
      </x:c>
      <x:c r="D416" s="57" t="str">
        <x:v>https://api.pdok.nl/bzk/locatieserver/search/v3_1/free?q=Veldstraat+6%2C+5176+NB+De+Moer&amp;fq=type%3Aadres&amp;rows=10</x:v>
      </x:c>
      <x:c r="E416" s="57" t="str">
        <x:v>Dutch BAG address point via PDOK Locatieserver</x:v>
      </x:c>
      <x:c r="F416" s="57" t="str">
        <x:v>2026-08-15</x:v>
      </x:c>
      <x:c r="G416" s="14" t="str">
        <x:v>Exact postcode-matched address point: Veldstraat 6, 5176NB De Moer.</x:v>
      </x:c>
    </x:row>
    <x:row r="417">
      <x:c r="A417" s="56" t="str">
        <x:v>NL-0208</x:v>
      </x:c>
      <x:c r="B417" s="57" t="str">
        <x:v>Golfpark De Loonsche Duynen — Par-3/4 Course</x:v>
      </x:c>
      <x:c r="C417" s="57" t="str">
        <x:v>Course identity/specification</x:v>
      </x:c>
      <x:c r="D417" s="57" t="str">
        <x:v>https://www.golf.nl/de-baan-op/banenzoeker/overzicht</x:v>
      </x:c>
      <x:c r="E417" s="57" t="str">
        <x:v>Current national federation course register</x:v>
      </x:c>
      <x:c r="F417" s="57" t="str">
        <x:v>2026-08-15</x:v>
      </x:c>
      <x:c r="G417" s="14" t="str">
        <x:v>Current NGF/GOLF.NL listing: 9 holes, par 28, 1326 metres. Listed as qualifying.</x:v>
      </x:c>
    </x:row>
    <x:row r="418">
      <x:c r="A418" s="56" t="str">
        <x:v>NL-0208</x:v>
      </x:c>
      <x:c r="B418" s="57" t="str">
        <x:v>Golfpark De Loonsche Duynen — Par-3/4 Course</x:v>
      </x:c>
      <x:c r="C418" s="57" t="str">
        <x:v>Coordinates/address</x:v>
      </x:c>
      <x:c r="D418" s="57" t="str">
        <x:v>https://api.pdok.nl/bzk/locatieserver/search/v3_1/free?q=Veldstraat+6%2C+5176+NB+De+Moer&amp;fq=type%3Aadres&amp;rows=10</x:v>
      </x:c>
      <x:c r="E418" s="57" t="str">
        <x:v>Dutch BAG address point via PDOK Locatieserver</x:v>
      </x:c>
      <x:c r="F418" s="57" t="str">
        <x:v>2026-08-15</x:v>
      </x:c>
      <x:c r="G418" s="14" t="str">
        <x:v>Exact postcode-matched address point: Veldstraat 6, 5176NB De Moer.</x:v>
      </x:c>
    </x:row>
    <x:row r="419">
      <x:c r="A419" s="56" t="str">
        <x:v>NL-0209</x:v>
      </x:c>
      <x:c r="B419" s="57" t="str">
        <x:v>Golfpark De Turfvaert — Main Course</x:v>
      </x:c>
      <x:c r="C419" s="57" t="str">
        <x:v>Course identity/specification</x:v>
      </x:c>
      <x:c r="D419" s="57" t="str">
        <x:v>https://www.golf.nl/de-baan-op/banenzoeker/overzicht</x:v>
      </x:c>
      <x:c r="E419" s="57" t="str">
        <x:v>Current national federation course register</x:v>
      </x:c>
      <x:c r="F419" s="57" t="str">
        <x:v>2026-08-15</x:v>
      </x:c>
      <x:c r="G419" s="14" t="str">
        <x:v>Current NGF/GOLF.NL listing: 18 holes, par 70, 5683 metres. Combined from exact NGF-listed constituent nine-hole loops: 1ste negen (9 holes, par 35, 2876 m); 2de negen (9 holes, par 35, 2807 m) Listed as qualifying.</x:v>
      </x:c>
    </x:row>
    <x:row r="420">
      <x:c r="A420" s="56" t="str">
        <x:v>NL-0209</x:v>
      </x:c>
      <x:c r="B420" s="57" t="str">
        <x:v>Golfpark De Turfvaert — Main Course</x:v>
      </x:c>
      <x:c r="C420" s="57" t="str">
        <x:v>Coordinates/address</x:v>
      </x:c>
      <x:c r="D420" s="57" t="str">
        <x:v>https://api.pdok.nl/bzk/locatieserver/search/v3_1/free?q=Zwart+Moerken+12%2C+4891+TK+Rijsbergen&amp;fq=type%3Aadres&amp;rows=10</x:v>
      </x:c>
      <x:c r="E420" s="57" t="str">
        <x:v>Dutch BAG address point via PDOK Locatieserver</x:v>
      </x:c>
      <x:c r="F420" s="57" t="str">
        <x:v>2026-08-15</x:v>
      </x:c>
      <x:c r="G420" s="14" t="str">
        <x:v>Exact postcode-matched address point: Zwart Moerken 12, 4891TK Rijsbergen.</x:v>
      </x:c>
    </x:row>
    <x:row r="421">
      <x:c r="A421" s="56" t="str">
        <x:v>NL-0210</x:v>
      </x:c>
      <x:c r="B421" s="57" t="str">
        <x:v>Golfpark Gendersteyn — Blauw</x:v>
      </x:c>
      <x:c r="C421" s="57" t="str">
        <x:v>Course identity/specification</x:v>
      </x:c>
      <x:c r="D421" s="57" t="str">
        <x:v>https://www.golf.nl/de-baan-op/banenzoeker/overzicht</x:v>
      </x:c>
      <x:c r="E421" s="57" t="str">
        <x:v>Current national federation course register</x:v>
      </x:c>
      <x:c r="F421" s="57" t="str">
        <x:v>2026-08-15</x:v>
      </x:c>
      <x:c r="G421" s="14" t="str">
        <x:v>Current NGF/GOLF.NL listing: 7 holes, par 28, 2246 metres. Listed as non-qualifying.</x:v>
      </x:c>
    </x:row>
    <x:row r="422">
      <x:c r="A422" s="56" t="str">
        <x:v>NL-0210</x:v>
      </x:c>
      <x:c r="B422" s="57" t="str">
        <x:v>Golfpark Gendersteyn — Blauw</x:v>
      </x:c>
      <x:c r="C422" s="57" t="str">
        <x:v>Coordinates/address</x:v>
      </x:c>
      <x:c r="D422" s="57" t="str">
        <x:v>https://api.pdok.nl/bzk/locatieserver/search/v3_1/free?q=Locht+140%2C+5504+RP+Veldhoven&amp;fq=type%3Aadres&amp;rows=10</x:v>
      </x:c>
      <x:c r="E422" s="57" t="str">
        <x:v>Dutch BAG address point via PDOK Locatieserver</x:v>
      </x:c>
      <x:c r="F422" s="57" t="str">
        <x:v>2026-08-15</x:v>
      </x:c>
      <x:c r="G422" s="14" t="str">
        <x:v>Exact postcode-matched address point: Locht 128A, 5504RP Veldhoven.</x:v>
      </x:c>
    </x:row>
    <x:row r="423">
      <x:c r="A423" s="56" t="str">
        <x:v>NL-0211</x:v>
      </x:c>
      <x:c r="B423" s="57" t="str">
        <x:v>Golfpark Gendersteyn — Geel</x:v>
      </x:c>
      <x:c r="C423" s="57" t="str">
        <x:v>Course identity/specification</x:v>
      </x:c>
      <x:c r="D423" s="57" t="str">
        <x:v>https://www.golf.nl/de-baan-op/banenzoeker/overzicht</x:v>
      </x:c>
      <x:c r="E423" s="57" t="str">
        <x:v>Current national federation course register</x:v>
      </x:c>
      <x:c r="F423" s="57" t="str">
        <x:v>2026-08-15</x:v>
      </x:c>
      <x:c r="G423" s="14" t="str">
        <x:v>Current NGF/GOLF.NL listing: 9 holes, par 36, 3034 metres. Listed as qualifying.</x:v>
      </x:c>
    </x:row>
    <x:row r="424">
      <x:c r="A424" s="56" t="str">
        <x:v>NL-0211</x:v>
      </x:c>
      <x:c r="B424" s="57" t="str">
        <x:v>Golfpark Gendersteyn — Geel</x:v>
      </x:c>
      <x:c r="C424" s="57" t="str">
        <x:v>Coordinates/address</x:v>
      </x:c>
      <x:c r="D424" s="57" t="str">
        <x:v>https://api.pdok.nl/bzk/locatieserver/search/v3_1/free?q=Locht+140%2C+5504+RP+Veldhoven&amp;fq=type%3Aadres&amp;rows=10</x:v>
      </x:c>
      <x:c r="E424" s="57" t="str">
        <x:v>Dutch BAG address point via PDOK Locatieserver</x:v>
      </x:c>
      <x:c r="F424" s="57" t="str">
        <x:v>2026-08-15</x:v>
      </x:c>
      <x:c r="G424" s="14" t="str">
        <x:v>Exact postcode-matched address point: Locht 128A, 5504RP Veldhoven.</x:v>
      </x:c>
    </x:row>
    <x:row r="425">
      <x:c r="A425" s="56" t="str">
        <x:v>NL-0212</x:v>
      </x:c>
      <x:c r="B425" s="57" t="str">
        <x:v>Golfpark Gendersteyn — Rood</x:v>
      </x:c>
      <x:c r="C425" s="57" t="str">
        <x:v>Course identity/specification</x:v>
      </x:c>
      <x:c r="D425" s="57" t="str">
        <x:v>https://www.golf.nl/de-baan-op/banenzoeker/overzicht</x:v>
      </x:c>
      <x:c r="E425" s="57" t="str">
        <x:v>Current national federation course register</x:v>
      </x:c>
      <x:c r="F425" s="57" t="str">
        <x:v>2026-08-15</x:v>
      </x:c>
      <x:c r="G425" s="14" t="str">
        <x:v>Current NGF/GOLF.NL listing: 9 holes, par 35, 2859 metres. Listed as qualifying.</x:v>
      </x:c>
    </x:row>
    <x:row r="426">
      <x:c r="A426" s="56" t="str">
        <x:v>NL-0212</x:v>
      </x:c>
      <x:c r="B426" s="57" t="str">
        <x:v>Golfpark Gendersteyn — Rood</x:v>
      </x:c>
      <x:c r="C426" s="57" t="str">
        <x:v>Coordinates/address</x:v>
      </x:c>
      <x:c r="D426" s="57" t="str">
        <x:v>https://api.pdok.nl/bzk/locatieserver/search/v3_1/free?q=Locht+140%2C+5504+RP+Veldhoven&amp;fq=type%3Aadres&amp;rows=10</x:v>
      </x:c>
      <x:c r="E426" s="57" t="str">
        <x:v>Dutch BAG address point via PDOK Locatieserver</x:v>
      </x:c>
      <x:c r="F426" s="57" t="str">
        <x:v>2026-08-15</x:v>
      </x:c>
      <x:c r="G426" s="14" t="str">
        <x:v>Exact postcode-matched address point: Locht 128A, 5504RP Veldhoven.</x:v>
      </x:c>
    </x:row>
    <x:row r="427">
      <x:c r="A427" s="56" t="str">
        <x:v>NL-0213</x:v>
      </x:c>
      <x:c r="B427" s="57" t="str">
        <x:v>Golfpark Weilenseind</x:v>
      </x:c>
      <x:c r="C427" s="57" t="str">
        <x:v>Course identity/specification</x:v>
      </x:c>
      <x:c r="D427" s="57" t="str">
        <x:v>https://www.golf.nl/de-baan-op/banenzoeker/overzicht</x:v>
      </x:c>
      <x:c r="E427" s="57" t="str">
        <x:v>Current national federation course register</x:v>
      </x:c>
      <x:c r="F427" s="57" t="str">
        <x:v>2026-08-15</x:v>
      </x:c>
      <x:c r="G427" s="14" t="str">
        <x:v>Current NGF/GOLF.NL listing: 9 holes, par 30, 1462 metres. Listed as qualifying.</x:v>
      </x:c>
    </x:row>
    <x:row r="428">
      <x:c r="A428" s="56" t="str">
        <x:v>NL-0213</x:v>
      </x:c>
      <x:c r="B428" s="57" t="str">
        <x:v>Golfpark Weilenseind</x:v>
      </x:c>
      <x:c r="C428" s="57" t="str">
        <x:v>Coordinates/address</x:v>
      </x:c>
      <x:c r="D428" s="57" t="str">
        <x:v>https://api.pdok.nl/bzk/locatieserver/search/v3_1/free?q=Alphenseweg+14A%2C+5126+PN+Gilze&amp;fq=type%3Aadres&amp;rows=10</x:v>
      </x:c>
      <x:c r="E428" s="57" t="str">
        <x:v>Dutch BAG address point via PDOK Locatieserver</x:v>
      </x:c>
      <x:c r="F428" s="57" t="str">
        <x:v>2026-08-15</x:v>
      </x:c>
      <x:c r="G428" s="14" t="str">
        <x:v>Exact postcode-matched address point: Alphenseweg 14A, 5126PN Gilze.</x:v>
      </x:c>
    </x:row>
    <x:row r="429">
      <x:c r="A429" s="56" t="str">
        <x:v>NL-0214</x:v>
      </x:c>
      <x:c r="B429" s="57" t="str">
        <x:v>Golfvereniging Albatross</x:v>
      </x:c>
      <x:c r="C429" s="57" t="str">
        <x:v>Course identity/specification</x:v>
      </x:c>
      <x:c r="D429" s="57" t="str">
        <x:v>https://www.golf.nl/de-baan-op/banenzoeker/overzicht</x:v>
      </x:c>
      <x:c r="E429" s="57" t="str">
        <x:v>Current national federation course register</x:v>
      </x:c>
      <x:c r="F429" s="57" t="str">
        <x:v>2026-08-15</x:v>
      </x:c>
      <x:c r="G429" s="14" t="str">
        <x:v>Current NGF/GOLF.NL listing: 9 holes, par 35, 2750 metres. Listed as qualifying.</x:v>
      </x:c>
    </x:row>
    <x:row r="430">
      <x:c r="A430" s="56" t="str">
        <x:v>NL-0214</x:v>
      </x:c>
      <x:c r="B430" s="57" t="str">
        <x:v>Golfvereniging Albatross</x:v>
      </x:c>
      <x:c r="C430" s="57" t="str">
        <x:v>Coordinates/address</x:v>
      </x:c>
      <x:c r="D430" s="57" t="str">
        <x:v>https://api.pdok.nl/bzk/locatieserver/search/v3_1/free?q=Weimersedreef+19%2C+4841+KG+Prinsenbeek&amp;fq=type%3Aadres&amp;rows=10</x:v>
      </x:c>
      <x:c r="E430" s="57" t="str">
        <x:v>Dutch BAG address point via PDOK Locatieserver</x:v>
      </x:c>
      <x:c r="F430" s="57" t="str">
        <x:v>2026-08-15</x:v>
      </x:c>
      <x:c r="G430" s="14" t="str">
        <x:v>Exact postcode-matched address point: Weimersedreef 19, 4841KG Prinsenbeek.</x:v>
      </x:c>
    </x:row>
    <x:row r="431">
      <x:c r="A431" s="56" t="str">
        <x:v>NL-0215</x:v>
      </x:c>
      <x:c r="B431" s="57" t="str">
        <x:v>Helmondse Golfclub Overbrug</x:v>
      </x:c>
      <x:c r="C431" s="57" t="str">
        <x:v>Course identity/specification</x:v>
      </x:c>
      <x:c r="D431" s="57" t="str">
        <x:v>https://www.golf.nl/de-baan-op/banenzoeker/overzicht</x:v>
      </x:c>
      <x:c r="E431" s="57" t="str">
        <x:v>Current national federation course register</x:v>
      </x:c>
      <x:c r="F431" s="57" t="str">
        <x:v>2026-08-15</x:v>
      </x:c>
      <x:c r="G431" s="14" t="str">
        <x:v>Current NGF/GOLF.NL listing: 9 holes, par 36, 2766 metres. Listed as qualifying.</x:v>
      </x:c>
    </x:row>
    <x:row r="432">
      <x:c r="A432" s="56" t="str">
        <x:v>NL-0215</x:v>
      </x:c>
      <x:c r="B432" s="57" t="str">
        <x:v>Helmondse Golfclub Overbrug</x:v>
      </x:c>
      <x:c r="C432" s="57" t="str">
        <x:v>Coordinates/address</x:v>
      </x:c>
      <x:c r="D432" s="57" t="str">
        <x:v>https://api.pdok.nl/bzk/locatieserver/search/v3_1/free?q=Verliefd+Laantje+3a%2C+5707+LG+Helmond&amp;fq=type%3Aadres&amp;rows=10</x:v>
      </x:c>
      <x:c r="E432" s="57" t="str">
        <x:v>Dutch BAG address point via PDOK Locatieserver</x:v>
      </x:c>
      <x:c r="F432" s="57" t="str">
        <x:v>2026-08-15</x:v>
      </x:c>
      <x:c r="G432" s="14" t="str">
        <x:v>Exact postcode-matched address point: Verliefd Laantje 3A, 5707LG Helmond.</x:v>
      </x:c>
    </x:row>
    <x:row r="433">
      <x:c r="A433" s="56" t="str">
        <x:v>NL-0216</x:v>
      </x:c>
      <x:c r="B433" s="57" t="str">
        <x:v>Leender Golfclub Haviksoord — Main Course</x:v>
      </x:c>
      <x:c r="C433" s="57" t="str">
        <x:v>Course identity/specification</x:v>
      </x:c>
      <x:c r="D433" s="57" t="str">
        <x:v>https://www.golf.nl/de-baan-op/banenzoeker/overzicht</x:v>
      </x:c>
      <x:c r="E433" s="57" t="str">
        <x:v>Current national federation course register</x:v>
      </x:c>
      <x:c r="F433" s="57" t="str">
        <x:v>2026-08-15</x:v>
      </x:c>
      <x:c r="G433" s="14" t="str">
        <x:v>Current NGF/GOLF.NL listing: 18 holes, par 72, 6083 metres. Combined from exact NGF-listed constituent nine-hole loops: 1ste negen (9 holes, par 36, 2932 m); 2de negen (9 holes, par 36, 3151 m) Listed as qualifying.</x:v>
      </x:c>
    </x:row>
    <x:row r="434">
      <x:c r="A434" s="56" t="str">
        <x:v>NL-0216</x:v>
      </x:c>
      <x:c r="B434" s="57" t="str">
        <x:v>Leender Golfclub Haviksoord — Main Course</x:v>
      </x:c>
      <x:c r="C434" s="57" t="str">
        <x:v>Coordinates/address</x:v>
      </x:c>
      <x:c r="D434" s="57" t="str">
        <x:v>https://api.pdok.nl/bzk/locatieserver/search/v3_1/free?q=Maarheezerweg+Noord+11%2C+5595+XG+Leende&amp;fq=type%3Aadres&amp;rows=10</x:v>
      </x:c>
      <x:c r="E434" s="57" t="str">
        <x:v>Dutch BAG address point via PDOK Locatieserver</x:v>
      </x:c>
      <x:c r="F434" s="57" t="str">
        <x:v>2026-08-15</x:v>
      </x:c>
      <x:c r="G434" s="14" t="str">
        <x:v>Exact postcode-matched address point: Maarheezerweg-Noord 15a-11, 5595XG Leende.</x:v>
      </x:c>
    </x:row>
    <x:row r="435">
      <x:c r="A435" s="56" t="str">
        <x:v>NL-0217</x:v>
      </x:c>
      <x:c r="B435" s="57" t="str">
        <x:v>Midden-Brabant, Golfbaan — Par 3 Pitch &amp; Putt oefenbaan</x:v>
      </x:c>
      <x:c r="C435" s="57" t="str">
        <x:v>Course identity/specification</x:v>
      </x:c>
      <x:c r="D435" s="57" t="str">
        <x:v>https://www.golf.nl/de-baan-op/banenzoeker/overzicht</x:v>
      </x:c>
      <x:c r="E435" s="57" t="str">
        <x:v>Current national federation course register</x:v>
      </x:c>
      <x:c r="F435" s="57" t="str">
        <x:v>2026-08-15</x:v>
      </x:c>
      <x:c r="G435" s="14" t="str">
        <x:v>Current NGF/GOLF.NL listing: 9 holes, par 27, 600 metres. Listed as non-qualifying.</x:v>
      </x:c>
    </x:row>
    <x:row r="436">
      <x:c r="A436" s="56" t="str">
        <x:v>NL-0217</x:v>
      </x:c>
      <x:c r="B436" s="57" t="str">
        <x:v>Midden-Brabant, Golfbaan — Par 3 Pitch &amp; Putt oefenbaan</x:v>
      </x:c>
      <x:c r="C436" s="57" t="str">
        <x:v>Coordinates/address</x:v>
      </x:c>
      <x:c r="D436" s="57" t="str">
        <x:v>https://api.pdok.nl/bzk/locatieserver/search/v3_1/free?q=Dunsedijk+1%2C+5085+ND+Esbeek&amp;fq=type%3Aadres&amp;rows=10</x:v>
      </x:c>
      <x:c r="E436" s="57" t="str">
        <x:v>Dutch BAG address point via PDOK Locatieserver</x:v>
      </x:c>
      <x:c r="F436" s="57" t="str">
        <x:v>2026-08-15</x:v>
      </x:c>
      <x:c r="G436" s="14" t="str">
        <x:v>Exact postcode-matched address point: Dunsedijk 1A-01, 5085ND Esbeek.</x:v>
      </x:c>
    </x:row>
    <x:row r="437">
      <x:c r="A437" s="56" t="str">
        <x:v>NL-0218</x:v>
      </x:c>
      <x:c r="B437" s="57" t="str">
        <x:v>Noord-Brabantsche Golfclub Toxandria — Main Course</x:v>
      </x:c>
      <x:c r="C437" s="57" t="str">
        <x:v>Course identity/specification</x:v>
      </x:c>
      <x:c r="D437" s="57" t="str">
        <x:v>https://www.golf.nl/de-baan-op/banenzoeker/overzicht</x:v>
      </x:c>
      <x:c r="E437" s="57" t="str">
        <x:v>Current national federation course register</x:v>
      </x:c>
      <x:c r="F437" s="57" t="str">
        <x:v>2026-08-15</x:v>
      </x:c>
      <x:c r="G437" s="14" t="str">
        <x:v>Current NGF/GOLF.NL listing: 18 holes, par 72, 6077 metres. Combined from exact NGF-listed constituent nine-hole loops: 1ste negen (9 holes, par 36, 2997 m); 2de negen (9 holes, par 36, 3080 m) Listed as qualifying.</x:v>
      </x:c>
    </x:row>
    <x:row r="438">
      <x:c r="A438" s="56" t="str">
        <x:v>NL-0218</x:v>
      </x:c>
      <x:c r="B438" s="57" t="str">
        <x:v>Noord-Brabantsche Golfclub Toxandria — Main Course</x:v>
      </x:c>
      <x:c r="C438" s="57" t="str">
        <x:v>Coordinates/address</x:v>
      </x:c>
      <x:c r="D438" s="57" t="str">
        <x:v>https://api.pdok.nl/bzk/locatieserver/search/v3_1/free?q=Veenstraat+89%2C+5124+NC+Molenschot&amp;fq=type%3Aadres&amp;rows=10</x:v>
      </x:c>
      <x:c r="E438" s="57" t="str">
        <x:v>Dutch BAG address point via PDOK Locatieserver</x:v>
      </x:c>
      <x:c r="F438" s="57" t="str">
        <x:v>2026-08-15</x:v>
      </x:c>
      <x:c r="G438" s="14" t="str">
        <x:v>Exact postcode-matched address point: Veenstraat 89, 5124NC Molenschot.</x:v>
      </x:c>
    </x:row>
    <x:row r="439">
      <x:c r="A439" s="56" t="str">
        <x:v>NL-0219</x:v>
      </x:c>
      <x:c r="B439" s="57" t="str">
        <x:v>Oosterhoutse Golf Club — Academy Course</x:v>
      </x:c>
      <x:c r="C439" s="57" t="str">
        <x:v>Course identity/specification</x:v>
      </x:c>
      <x:c r="D439" s="57" t="str">
        <x:v>https://www.golf.nl/de-baan-op/banenzoeker/overzicht</x:v>
      </x:c>
      <x:c r="E439" s="57" t="str">
        <x:v>Current national federation course register</x:v>
      </x:c>
      <x:c r="F439" s="57" t="str">
        <x:v>2026-08-15</x:v>
      </x:c>
      <x:c r="G439" s="14" t="str">
        <x:v>Current NGF/GOLF.NL listing: 9 holes, par 27, 1270 metres. Listed as qualifying.</x:v>
      </x:c>
    </x:row>
    <x:row r="440">
      <x:c r="A440" s="56" t="str">
        <x:v>NL-0219</x:v>
      </x:c>
      <x:c r="B440" s="57" t="str">
        <x:v>Oosterhoutse Golf Club — Academy Course</x:v>
      </x:c>
      <x:c r="C440" s="57" t="str">
        <x:v>Coordinates/address</x:v>
      </x:c>
      <x:c r="D440" s="57" t="str">
        <x:v>https://api.pdok.nl/bzk/locatieserver/search/v3_1/free?q=Dukaatstraat+21%2C+4903+RN+Oosterhout&amp;fq=type%3Aadres&amp;rows=10</x:v>
      </x:c>
      <x:c r="E440" s="57" t="str">
        <x:v>Dutch BAG address point via PDOK Locatieserver</x:v>
      </x:c>
      <x:c r="F440" s="57" t="str">
        <x:v>2026-08-15</x:v>
      </x:c>
      <x:c r="G440" s="14" t="str">
        <x:v>Exact postcode-matched address point: Dukaatstraat 21, 4903RN Oosterhout.</x:v>
      </x:c>
    </x:row>
    <x:row r="441">
      <x:c r="A441" s="56" t="str">
        <x:v>NL-0220</x:v>
      </x:c>
      <x:c r="B441" s="57" t="str">
        <x:v>Oosterhoutse Golf Club — Main Course</x:v>
      </x:c>
      <x:c r="C441" s="57" t="str">
        <x:v>Course identity/specification</x:v>
      </x:c>
      <x:c r="D441" s="57" t="str">
        <x:v>https://www.golf.nl/de-baan-op/banenzoeker/overzicht</x:v>
      </x:c>
      <x:c r="E441" s="57" t="str">
        <x:v>Current national federation course register</x:v>
      </x:c>
      <x:c r="F441" s="57" t="str">
        <x:v>2026-08-15</x:v>
      </x:c>
      <x:c r="G441" s="14" t="str">
        <x:v>Current NGF/GOLF.NL listing: 18 holes, par 72, 6144 metres. Combined from exact NGF-listed constituent nine-hole loops: 1ste negen (9 holes, par 37, 3197 m); 2de negen (9 holes, par 35, 2947 m) Listed as qualifying.</x:v>
      </x:c>
    </x:row>
    <x:row r="442">
      <x:c r="A442" s="56" t="str">
        <x:v>NL-0220</x:v>
      </x:c>
      <x:c r="B442" s="57" t="str">
        <x:v>Oosterhoutse Golf Club — Main Course</x:v>
      </x:c>
      <x:c r="C442" s="57" t="str">
        <x:v>Coordinates/address</x:v>
      </x:c>
      <x:c r="D442" s="57" t="str">
        <x:v>https://api.pdok.nl/bzk/locatieserver/search/v3_1/free?q=Dukaatstraat+21%2C+4903+RN+Oosterhout&amp;fq=type%3Aadres&amp;rows=10</x:v>
      </x:c>
      <x:c r="E442" s="57" t="str">
        <x:v>Dutch BAG address point via PDOK Locatieserver</x:v>
      </x:c>
      <x:c r="F442" s="57" t="str">
        <x:v>2026-08-15</x:v>
      </x:c>
      <x:c r="G442" s="14" t="str">
        <x:v>Exact postcode-matched address point: Dukaatstraat 21, 4903RN Oosterhout.</x:v>
      </x:c>
    </x:row>
    <x:row r="443">
      <x:c r="A443" s="56" t="str">
        <x:v>NL-0221</x:v>
      </x:c>
      <x:c r="B443" s="57" t="str">
        <x:v>Pitch &amp; putt Golf De Leemput</x:v>
      </x:c>
      <x:c r="C443" s="57" t="str">
        <x:v>Course identity/specification</x:v>
      </x:c>
      <x:c r="D443" s="57" t="str">
        <x:v>https://www.golf.nl/de-baan-op/banenzoeker/overzicht</x:v>
      </x:c>
      <x:c r="E443" s="57" t="str">
        <x:v>Current national federation course register</x:v>
      </x:c>
      <x:c r="F443" s="57" t="str">
        <x:v>2026-08-15</x:v>
      </x:c>
      <x:c r="G443" s="14" t="str">
        <x:v>Current NGF/GOLF.NL listing: 9 holes, par 27, 400 metres. Listed as non-qualifying.</x:v>
      </x:c>
    </x:row>
    <x:row r="444">
      <x:c r="A444" s="56" t="str">
        <x:v>NL-0221</x:v>
      </x:c>
      <x:c r="B444" s="57" t="str">
        <x:v>Pitch &amp; putt Golf De Leemput</x:v>
      </x:c>
      <x:c r="C444" s="57" t="str">
        <x:v>Coordinates/address</x:v>
      </x:c>
      <x:c r="D444" s="57" t="str">
        <x:v>https://api.pdok.nl/bzk/locatieserver/search/v3_1/free?q=Vijf+Eiken+11%2C+5121+RG+Rijen&amp;fq=type%3Aadres&amp;rows=10</x:v>
      </x:c>
      <x:c r="E444" s="57" t="str">
        <x:v>Dutch BAG address point via PDOK Locatieserver</x:v>
      </x:c>
      <x:c r="F444" s="57" t="str">
        <x:v>2026-08-15</x:v>
      </x:c>
      <x:c r="G444" s="14" t="str">
        <x:v>Exact postcode-matched address point: Vijf Eiken 11, 5121RG Rijen.</x:v>
      </x:c>
    </x:row>
    <x:row r="445">
      <x:c r="A445" s="56" t="str">
        <x:v>NL-0222</x:v>
      </x:c>
      <x:c r="B445" s="57" t="str">
        <x:v>Pitch &amp; Putt Oirschot</x:v>
      </x:c>
      <x:c r="C445" s="57" t="str">
        <x:v>Course identity/specification</x:v>
      </x:c>
      <x:c r="D445" s="57" t="str">
        <x:v>https://www.golf.nl/de-baan-op/banenzoeker/overzicht</x:v>
      </x:c>
      <x:c r="E445" s="57" t="str">
        <x:v>Current national federation course register</x:v>
      </x:c>
      <x:c r="F445" s="57" t="str">
        <x:v>2026-08-15</x:v>
      </x:c>
      <x:c r="G445" s="14" t="str">
        <x:v>Current NGF/GOLF.NL listing: 9 holes, par 27, 450 metres. Listed as non-qualifying.</x:v>
      </x:c>
    </x:row>
    <x:row r="446">
      <x:c r="A446" s="56" t="str">
        <x:v>NL-0222</x:v>
      </x:c>
      <x:c r="B446" s="57" t="str">
        <x:v>Pitch &amp; Putt Oirschot</x:v>
      </x:c>
      <x:c r="C446" s="57" t="str">
        <x:v>Coordinates/address</x:v>
      </x:c>
      <x:c r="D446" s="57" t="str">
        <x:v>https://api.pdok.nl/bzk/locatieserver/search/v3_1/free?q=Spoordonkseweg+80%2C+5688+KE+Oirschot&amp;fq=type%3Aadres&amp;rows=10</x:v>
      </x:c>
      <x:c r="E446" s="57" t="str">
        <x:v>Dutch BAG address point via PDOK Locatieserver</x:v>
      </x:c>
      <x:c r="F446" s="57" t="str">
        <x:v>2026-08-15</x:v>
      </x:c>
      <x:c r="G446" s="14" t="str">
        <x:v>Exact postcode-matched address point: Spoordonkseweg 80A, 5688KE Oirschot.</x:v>
      </x:c>
    </x:row>
    <x:row r="447">
      <x:c r="A447" s="56" t="str">
        <x:v>NL-0223</x:v>
      </x:c>
      <x:c r="B447" s="57" t="str">
        <x:v>Prise d'Eau Golf — Blaak</x:v>
      </x:c>
      <x:c r="C447" s="57" t="str">
        <x:v>Course identity/specification</x:v>
      </x:c>
      <x:c r="D447" s="57" t="str">
        <x:v>https://www.golf.nl/de-baan-op/banenzoeker/overzicht</x:v>
      </x:c>
      <x:c r="E447" s="57" t="str">
        <x:v>Current national federation course register</x:v>
      </x:c>
      <x:c r="F447" s="57" t="str">
        <x:v>2026-08-15</x:v>
      </x:c>
      <x:c r="G447" s="14" t="str">
        <x:v>Current NGF/GOLF.NL listing: 9 holes, par 36, 3190 metres. Listed as qualifying.</x:v>
      </x:c>
    </x:row>
    <x:row r="448">
      <x:c r="A448" s="56" t="str">
        <x:v>NL-0223</x:v>
      </x:c>
      <x:c r="B448" s="57" t="str">
        <x:v>Prise d'Eau Golf — Blaak</x:v>
      </x:c>
      <x:c r="C448" s="57" t="str">
        <x:v>Coordinates/address</x:v>
      </x:c>
      <x:c r="D448" s="57" t="str">
        <x:v>https://api.pdok.nl/bzk/locatieserver/search/v3_1/free?q=Gilzerbaan+400%2C+5032+VC+Tilburg&amp;fq=type%3Aadres&amp;rows=10</x:v>
      </x:c>
      <x:c r="E448" s="57" t="str">
        <x:v>Dutch BAG address point via PDOK Locatieserver</x:v>
      </x:c>
      <x:c r="F448" s="57" t="str">
        <x:v>2026-08-15</x:v>
      </x:c>
      <x:c r="G448" s="14" t="str">
        <x:v>Exact postcode-matched address point: Gilzerbaan 400, 5032VC Tilburg.</x:v>
      </x:c>
    </x:row>
    <x:row r="449">
      <x:c r="A449" s="56" t="str">
        <x:v>NL-0224</x:v>
      </x:c>
      <x:c r="B449" s="57" t="str">
        <x:v>Prise d'Eau Golf — Leij</x:v>
      </x:c>
      <x:c r="C449" s="57" t="str">
        <x:v>Course identity/specification</x:v>
      </x:c>
      <x:c r="D449" s="57" t="str">
        <x:v>https://www.golf.nl/de-baan-op/banenzoeker/overzicht</x:v>
      </x:c>
      <x:c r="E449" s="57" t="str">
        <x:v>Current national federation course register</x:v>
      </x:c>
      <x:c r="F449" s="57" t="str">
        <x:v>2026-08-15</x:v>
      </x:c>
      <x:c r="G449" s="14" t="str">
        <x:v>Current NGF/GOLF.NL listing: 9 holes, par 36, 3233 metres. Listed as qualifying.</x:v>
      </x:c>
    </x:row>
    <x:row r="450">
      <x:c r="A450" s="56" t="str">
        <x:v>NL-0224</x:v>
      </x:c>
      <x:c r="B450" s="57" t="str">
        <x:v>Prise d'Eau Golf — Leij</x:v>
      </x:c>
      <x:c r="C450" s="57" t="str">
        <x:v>Coordinates/address</x:v>
      </x:c>
      <x:c r="D450" s="57" t="str">
        <x:v>https://api.pdok.nl/bzk/locatieserver/search/v3_1/free?q=Gilzerbaan+400%2C+5032+VC+Tilburg&amp;fq=type%3Aadres&amp;rows=10</x:v>
      </x:c>
      <x:c r="E450" s="57" t="str">
        <x:v>Dutch BAG address point via PDOK Locatieserver</x:v>
      </x:c>
      <x:c r="F450" s="57" t="str">
        <x:v>2026-08-15</x:v>
      </x:c>
      <x:c r="G450" s="14" t="str">
        <x:v>Exact postcode-matched address point: Gilzerbaan 400, 5032VC Tilburg.</x:v>
      </x:c>
    </x:row>
    <x:row r="451">
      <x:c r="A451" s="56" t="str">
        <x:v>NL-0225</x:v>
      </x:c>
      <x:c r="B451" s="57" t="str">
        <x:v>Prise d'Eau Golf — Sijsten</x:v>
      </x:c>
      <x:c r="C451" s="57" t="str">
        <x:v>Course identity/specification</x:v>
      </x:c>
      <x:c r="D451" s="57" t="str">
        <x:v>https://www.golf.nl/de-baan-op/banenzoeker/overzicht</x:v>
      </x:c>
      <x:c r="E451" s="57" t="str">
        <x:v>Current national federation course register</x:v>
      </x:c>
      <x:c r="F451" s="57" t="str">
        <x:v>2026-08-15</x:v>
      </x:c>
      <x:c r="G451" s="14" t="str">
        <x:v>Current NGF/GOLF.NL listing: 9 holes, par 36, 3214 metres. Listed as qualifying.</x:v>
      </x:c>
    </x:row>
    <x:row r="452">
      <x:c r="A452" s="56" t="str">
        <x:v>NL-0225</x:v>
      </x:c>
      <x:c r="B452" s="57" t="str">
        <x:v>Prise d'Eau Golf — Sijsten</x:v>
      </x:c>
      <x:c r="C452" s="57" t="str">
        <x:v>Coordinates/address</x:v>
      </x:c>
      <x:c r="D452" s="57" t="str">
        <x:v>https://api.pdok.nl/bzk/locatieserver/search/v3_1/free?q=Gilzerbaan+400%2C+5032+VC+Tilburg&amp;fq=type%3Aadres&amp;rows=10</x:v>
      </x:c>
      <x:c r="E452" s="57" t="str">
        <x:v>Dutch BAG address point via PDOK Locatieserver</x:v>
      </x:c>
      <x:c r="F452" s="57" t="str">
        <x:v>2026-08-15</x:v>
      </x:c>
      <x:c r="G452" s="14" t="str">
        <x:v>Exact postcode-matched address point: Gilzerbaan 400, 5032VC Tilburg.</x:v>
      </x:c>
    </x:row>
    <x:row r="453">
      <x:c r="A453" s="56" t="str">
        <x:v>NL-0226</x:v>
      </x:c>
      <x:c r="B453" s="57" t="str">
        <x:v>Prise d'Eau Golf — Warande</x:v>
      </x:c>
      <x:c r="C453" s="57" t="str">
        <x:v>Course identity/specification</x:v>
      </x:c>
      <x:c r="D453" s="57" t="str">
        <x:v>https://www.golf.nl/de-baan-op/banenzoeker/overzicht</x:v>
      </x:c>
      <x:c r="E453" s="57" t="str">
        <x:v>Current national federation course register</x:v>
      </x:c>
      <x:c r="F453" s="57" t="str">
        <x:v>2026-08-15</x:v>
      </x:c>
      <x:c r="G453" s="14" t="str">
        <x:v>Current NGF/GOLF.NL listing: 9 holes, par 27, 903 metres. Listed as qualifying.</x:v>
      </x:c>
    </x:row>
    <x:row r="454">
      <x:c r="A454" s="56" t="str">
        <x:v>NL-0226</x:v>
      </x:c>
      <x:c r="B454" s="57" t="str">
        <x:v>Prise d'Eau Golf — Warande</x:v>
      </x:c>
      <x:c r="C454" s="57" t="str">
        <x:v>Coordinates/address</x:v>
      </x:c>
      <x:c r="D454" s="57" t="str">
        <x:v>https://api.pdok.nl/bzk/locatieserver/search/v3_1/free?q=Gilzerbaan+400%2C+5032+VC+Tilburg&amp;fq=type%3Aadres&amp;rows=10</x:v>
      </x:c>
      <x:c r="E454" s="57" t="str">
        <x:v>Dutch BAG address point via PDOK Locatieserver</x:v>
      </x:c>
      <x:c r="F454" s="57" t="str">
        <x:v>2026-08-15</x:v>
      </x:c>
      <x:c r="G454" s="14" t="str">
        <x:v>Exact postcode-matched address point: Gilzerbaan 400, 5032VC Tilburg.</x:v>
      </x:c>
    </x:row>
    <x:row r="455">
      <x:c r="A455" s="56" t="str">
        <x:v>NL-0227</x:v>
      </x:c>
      <x:c r="B455" s="57" t="str">
        <x:v>Stichting Golfbaan Overloon</x:v>
      </x:c>
      <x:c r="C455" s="57" t="str">
        <x:v>Course identity/specification</x:v>
      </x:c>
      <x:c r="D455" s="57" t="str">
        <x:v>https://www.golf.nl/de-baan-op/banenzoeker/overzicht</x:v>
      </x:c>
      <x:c r="E455" s="57" t="str">
        <x:v>Current national federation course register</x:v>
      </x:c>
      <x:c r="F455" s="57" t="str">
        <x:v>2026-08-15</x:v>
      </x:c>
      <x:c r="G455" s="14" t="str">
        <x:v>Current NGF/GOLF.NL listing: 9 holes, par 30, 1564 metres. Listed as qualifying.</x:v>
      </x:c>
    </x:row>
    <x:row r="456">
      <x:c r="A456" s="56" t="str">
        <x:v>NL-0227</x:v>
      </x:c>
      <x:c r="B456" s="57" t="str">
        <x:v>Stichting Golfbaan Overloon</x:v>
      </x:c>
      <x:c r="C456" s="57" t="str">
        <x:v>Coordinates/address</x:v>
      </x:c>
      <x:c r="D456" s="57" t="str">
        <x:v>https://api.pdok.nl/bzk/locatieserver/search/v3_1/free?q=Kuluutweg+8%2C+5825+BC+Overloon&amp;fq=type%3Aadres&amp;rows=10</x:v>
      </x:c>
      <x:c r="E456" s="57" t="str">
        <x:v>Dutch BAG address point via PDOK Locatieserver</x:v>
      </x:c>
      <x:c r="F456" s="57" t="str">
        <x:v>2026-08-15</x:v>
      </x:c>
      <x:c r="G456" s="14" t="str">
        <x:v>Exact postcode-matched address point: Kuluutweg 8a, 5825BC Overloon.</x:v>
      </x:c>
    </x:row>
    <x:row r="457">
      <x:c r="A457" s="56" t="str">
        <x:v>NL-0228</x:v>
      </x:c>
      <x:c r="B457" s="57" t="str">
        <x:v>Stippelberg, Golfbaan — Executive course</x:v>
      </x:c>
      <x:c r="C457" s="57" t="str">
        <x:v>Course identity/specification</x:v>
      </x:c>
      <x:c r="D457" s="57" t="str">
        <x:v>https://www.golf.nl/de-baan-op/banenzoeker/overzicht</x:v>
      </x:c>
      <x:c r="E457" s="57" t="str">
        <x:v>Current national federation course register</x:v>
      </x:c>
      <x:c r="F457" s="57" t="str">
        <x:v>2026-08-15</x:v>
      </x:c>
      <x:c r="G457" s="14" t="str">
        <x:v>Current NGF/GOLF.NL listing: 9 holes, par 31, 1885 metres. Listed as qualifying.</x:v>
      </x:c>
    </x:row>
    <x:row r="458">
      <x:c r="A458" s="56" t="str">
        <x:v>NL-0228</x:v>
      </x:c>
      <x:c r="B458" s="57" t="str">
        <x:v>Stippelberg, Golfbaan — Executive course</x:v>
      </x:c>
      <x:c r="C458" s="57" t="str">
        <x:v>Coordinates/address</x:v>
      </x:c>
      <x:c r="D458" s="57" t="str">
        <x:v>https://api.pdok.nl/bzk/locatieserver/search/v3_1/free?q=Hooizak+7%2C+5761+RZ+Bakel&amp;fq=type%3Aadres&amp;rows=10</x:v>
      </x:c>
      <x:c r="E458" s="57" t="str">
        <x:v>Dutch BAG address point via PDOK Locatieserver</x:v>
      </x:c>
      <x:c r="F458" s="57" t="str">
        <x:v>2026-08-15</x:v>
      </x:c>
      <x:c r="G458" s="14" t="str">
        <x:v>Exact postcode-matched address point: Hooizak 7, 5761RZ Bakel.</x:v>
      </x:c>
    </x:row>
    <x:row r="459">
      <x:c r="A459" s="56" t="str">
        <x:v>NL-0229</x:v>
      </x:c>
      <x:c r="B459" s="57" t="str">
        <x:v>The Duke — Main Course</x:v>
      </x:c>
      <x:c r="C459" s="57" t="str">
        <x:v>Course identity/specification</x:v>
      </x:c>
      <x:c r="D459" s="57" t="str">
        <x:v>https://www.golf.nl/de-baan-op/banenzoeker/overzicht</x:v>
      </x:c>
      <x:c r="E459" s="57" t="str">
        <x:v>Current national federation course register</x:v>
      </x:c>
      <x:c r="F459" s="57" t="str">
        <x:v>2026-08-15</x:v>
      </x:c>
      <x:c r="G459" s="14" t="str">
        <x:v>Current NGF/GOLF.NL listing: 18 holes, par 72, 5782 metres. Combined from exact NGF-listed constituent nine-hole loops: 1ste negen (9 holes, par 36, 2894 m); 2de negen (9 holes, par 36, 2888 m) Listed as qualifying.</x:v>
      </x:c>
    </x:row>
    <x:row r="460">
      <x:c r="A460" s="56" t="str">
        <x:v>NL-0229</x:v>
      </x:c>
      <x:c r="B460" s="57" t="str">
        <x:v>The Duke — Main Course</x:v>
      </x:c>
      <x:c r="C460" s="57" t="str">
        <x:v>Coordinates/address</x:v>
      </x:c>
      <x:c r="D460" s="57" t="str">
        <x:v>https://api.pdok.nl/bzk/locatieserver/search/v3_1/free?q=Slotenseweg+11%2C+5388+RC+Nistelrode&amp;fq=type%3Aadres&amp;rows=10</x:v>
      </x:c>
      <x:c r="E460" s="57" t="str">
        <x:v>Dutch BAG address point via PDOK Locatieserver</x:v>
      </x:c>
      <x:c r="F460" s="57" t="str">
        <x:v>2026-08-15</x:v>
      </x:c>
      <x:c r="G460" s="14" t="str">
        <x:v>Exact postcode-matched address point: Slotenseweg 11, 5388RC Nistelrode.</x:v>
      </x:c>
    </x:row>
    <x:row r="461">
      <x:c r="A461" s="56" t="str">
        <x:v>NL-0230</x:v>
      </x:c>
      <x:c r="B461" s="57" t="str">
        <x:v>Valkenswaardse Golfclub</x:v>
      </x:c>
      <x:c r="C461" s="57" t="str">
        <x:v>Course identity/specification</x:v>
      </x:c>
      <x:c r="D461" s="57" t="str">
        <x:v>https://www.golf.nl/de-baan-op/banenzoeker/overzicht</x:v>
      </x:c>
      <x:c r="E461" s="57" t="str">
        <x:v>Current national federation course register</x:v>
      </x:c>
      <x:c r="F461" s="57" t="str">
        <x:v>2026-08-15</x:v>
      </x:c>
      <x:c r="G461" s="14" t="str">
        <x:v>Current NGF/GOLF.NL listing: 9 holes, par 29, 1445 metres. Listed as qualifying.</x:v>
      </x:c>
    </x:row>
    <x:row r="462">
      <x:c r="A462" s="56" t="str">
        <x:v>NL-0230</x:v>
      </x:c>
      <x:c r="B462" s="57" t="str">
        <x:v>Valkenswaardse Golfclub</x:v>
      </x:c>
      <x:c r="C462" s="57" t="str">
        <x:v>Coordinates/address</x:v>
      </x:c>
      <x:c r="D462" s="57" t="str">
        <x:v>https://api.pdok.nl/bzk/locatieserver/search/v3_1/free?q=Pastoor+Heerkensdreef+16c%2C+5552+BG+Valkenswaard&amp;fq=type%3Aadres&amp;rows=10</x:v>
      </x:c>
      <x:c r="E462" s="57" t="str">
        <x:v>Dutch BAG address point via PDOK Locatieserver</x:v>
      </x:c>
      <x:c r="F462" s="57" t="str">
        <x:v>2026-08-15</x:v>
      </x:c>
      <x:c r="G462" s="14" t="str">
        <x:v>Exact postcode-matched address point: Past. Heerkensdreef 16C, 5552BG Valkenswaard.</x:v>
      </x:c>
    </x:row>
    <x:row r="463">
      <x:c r="A463" s="56" t="str">
        <x:v>NL-0231</x:v>
      </x:c>
      <x:c r="B463" s="57" t="str">
        <x:v>Amsterdamse Golfclub — Main Course</x:v>
      </x:c>
      <x:c r="C463" s="57" t="str">
        <x:v>Course identity/specification</x:v>
      </x:c>
      <x:c r="D463" s="57" t="str">
        <x:v>https://www.golf.nl/de-baan-op/banenzoeker/overzicht</x:v>
      </x:c>
      <x:c r="E463" s="57" t="str">
        <x:v>Current national federation course register</x:v>
      </x:c>
      <x:c r="F463" s="57" t="str">
        <x:v>2026-08-15</x:v>
      </x:c>
      <x:c r="G463" s="14" t="str">
        <x:v>Current NGF/GOLF.NL listing: 18 holes, par 72, 6217 metres. Combined from exact NGF-listed constituent nine-hole loops: 1ste negen (9 holes, par 36, 3049 m); 2de negen (9 holes, par 36, 3168 m) Listed as qualifying.</x:v>
      </x:c>
    </x:row>
    <x:row r="464">
      <x:c r="A464" s="56" t="str">
        <x:v>NL-0231</x:v>
      </x:c>
      <x:c r="B464" s="57" t="str">
        <x:v>Amsterdamse Golfclub — Main Course</x:v>
      </x:c>
      <x:c r="C464" s="57" t="str">
        <x:v>Coordinates/address</x:v>
      </x:c>
      <x:c r="D464" s="57" t="str">
        <x:v>https://api.pdok.nl/bzk/locatieserver/search/v3_1/free?q=Bauduinlaan+35%2C+1047+HK+Amsterdam&amp;fq=type%3Aadres&amp;rows=10</x:v>
      </x:c>
      <x:c r="E464" s="57" t="str">
        <x:v>Dutch BAG address point via PDOK Locatieserver</x:v>
      </x:c>
      <x:c r="F464" s="57" t="str">
        <x:v>2026-08-15</x:v>
      </x:c>
      <x:c r="G464" s="14" t="str">
        <x:v>Exact postcode-matched address point: Bauduinlaan 35, 1047HK Amsterdam.</x:v>
      </x:c>
    </x:row>
    <x:row r="465">
      <x:c r="A465" s="56" t="str">
        <x:v>NL-0232</x:v>
      </x:c>
      <x:c r="B465" s="57" t="str">
        <x:v>Golf &amp; Country Club Regthuys — Dijklus</x:v>
      </x:c>
      <x:c r="C465" s="57" t="str">
        <x:v>Course identity/specification</x:v>
      </x:c>
      <x:c r="D465" s="57" t="str">
        <x:v>https://www.golf.nl/de-baan-op/banenzoeker/overzicht</x:v>
      </x:c>
      <x:c r="E465" s="57" t="str">
        <x:v>Current national federation course register</x:v>
      </x:c>
      <x:c r="F465" s="57" t="str">
        <x:v>2026-08-15</x:v>
      </x:c>
      <x:c r="G465" s="14" t="str">
        <x:v>Current NGF/GOLF.NL listing: 9 holes, par 35, 2509 metres. Listed as qualifying.</x:v>
      </x:c>
    </x:row>
    <x:row r="466">
      <x:c r="A466" s="56" t="str">
        <x:v>NL-0232</x:v>
      </x:c>
      <x:c r="B466" s="57" t="str">
        <x:v>Golf &amp; Country Club Regthuys — Dijklus</x:v>
      </x:c>
      <x:c r="C466" s="57" t="str">
        <x:v>Coordinates/address</x:v>
      </x:c>
      <x:c r="D466" s="57" t="str">
        <x:v>https://api.pdok.nl/bzk/locatieserver/search/v3_1/free?q=Limmerschouw+49B%2C+1731+RM+Winkel&amp;fq=type%3Aadres&amp;rows=10</x:v>
      </x:c>
      <x:c r="E466" s="57" t="str">
        <x:v>Dutch BAG address point via PDOK Locatieserver</x:v>
      </x:c>
      <x:c r="F466" s="57" t="str">
        <x:v>2026-08-15</x:v>
      </x:c>
      <x:c r="G466" s="14" t="str">
        <x:v>Exact postcode-matched address point: Limmerschouw 49b, 1731RM Winkel.</x:v>
      </x:c>
    </x:row>
    <x:row r="467">
      <x:c r="A467" s="56" t="str">
        <x:v>NL-0233</x:v>
      </x:c>
      <x:c r="B467" s="57" t="str">
        <x:v>Golf &amp; Country Club Regthuys — Korte lus</x:v>
      </x:c>
      <x:c r="C467" s="57" t="str">
        <x:v>Course identity/specification</x:v>
      </x:c>
      <x:c r="D467" s="57" t="str">
        <x:v>https://www.golf.nl/de-baan-op/banenzoeker/overzicht</x:v>
      </x:c>
      <x:c r="E467" s="57" t="str">
        <x:v>Current national federation course register</x:v>
      </x:c>
      <x:c r="F467" s="57" t="str">
        <x:v>2026-08-15</x:v>
      </x:c>
      <x:c r="G467" s="14" t="str">
        <x:v>Current NGF/GOLF.NL listing: 9 holes, par 27, 728 metres. Listed as qualifying.</x:v>
      </x:c>
    </x:row>
    <x:row r="468">
      <x:c r="A468" s="56" t="str">
        <x:v>NL-0233</x:v>
      </x:c>
      <x:c r="B468" s="57" t="str">
        <x:v>Golf &amp; Country Club Regthuys — Korte lus</x:v>
      </x:c>
      <x:c r="C468" s="57" t="str">
        <x:v>Coordinates/address</x:v>
      </x:c>
      <x:c r="D468" s="57" t="str">
        <x:v>https://api.pdok.nl/bzk/locatieserver/search/v3_1/free?q=Limmerschouw+49B%2C+1731+RM+Winkel&amp;fq=type%3Aadres&amp;rows=10</x:v>
      </x:c>
      <x:c r="E468" s="57" t="str">
        <x:v>Dutch BAG address point via PDOK Locatieserver</x:v>
      </x:c>
      <x:c r="F468" s="57" t="str">
        <x:v>2026-08-15</x:v>
      </x:c>
      <x:c r="G468" s="14" t="str">
        <x:v>Exact postcode-matched address point: Limmerschouw 49b, 1731RM Winkel.</x:v>
      </x:c>
    </x:row>
    <x:row r="469">
      <x:c r="A469" s="56" t="str">
        <x:v>NL-0234</x:v>
      </x:c>
      <x:c r="B469" s="57" t="str">
        <x:v>Golf &amp; Country Club Regthuys — Tulplus</x:v>
      </x:c>
      <x:c r="C469" s="57" t="str">
        <x:v>Course identity/specification</x:v>
      </x:c>
      <x:c r="D469" s="57" t="str">
        <x:v>https://www.golf.nl/de-baan-op/banenzoeker/overzicht</x:v>
      </x:c>
      <x:c r="E469" s="57" t="str">
        <x:v>Current national federation course register</x:v>
      </x:c>
      <x:c r="F469" s="57" t="str">
        <x:v>2026-08-15</x:v>
      </x:c>
      <x:c r="G469" s="14" t="str">
        <x:v>Current NGF/GOLF.NL listing: 9 holes, par 36, 2899 metres. Listed as qualifying.</x:v>
      </x:c>
    </x:row>
    <x:row r="470">
      <x:c r="A470" s="56" t="str">
        <x:v>NL-0234</x:v>
      </x:c>
      <x:c r="B470" s="57" t="str">
        <x:v>Golf &amp; Country Club Regthuys — Tulplus</x:v>
      </x:c>
      <x:c r="C470" s="57" t="str">
        <x:v>Coordinates/address</x:v>
      </x:c>
      <x:c r="D470" s="57" t="str">
        <x:v>https://api.pdok.nl/bzk/locatieserver/search/v3_1/free?q=Limmerschouw+49B%2C+1731+RM+Winkel&amp;fq=type%3Aadres&amp;rows=10</x:v>
      </x:c>
      <x:c r="E470" s="57" t="str">
        <x:v>Dutch BAG address point via PDOK Locatieserver</x:v>
      </x:c>
      <x:c r="F470" s="57" t="str">
        <x:v>2026-08-15</x:v>
      </x:c>
      <x:c r="G470" s="14" t="str">
        <x:v>Exact postcode-matched address point: Limmerschouw 49b, 1731RM Winkel.</x:v>
      </x:c>
    </x:row>
    <x:row r="471">
      <x:c r="A471" s="56" t="str">
        <x:v>NL-0235</x:v>
      </x:c>
      <x:c r="B471" s="57" t="str">
        <x:v>Golf Amsteldijk — Main Course</x:v>
      </x:c>
      <x:c r="C471" s="57" t="str">
        <x:v>Course identity/specification</x:v>
      </x:c>
      <x:c r="D471" s="57" t="str">
        <x:v>https://www.golf.nl/de-baan-op/banenzoeker/overzicht</x:v>
      </x:c>
      <x:c r="E471" s="57" t="str">
        <x:v>Current national federation course register</x:v>
      </x:c>
      <x:c r="F471" s="57" t="str">
        <x:v>2026-08-15</x:v>
      </x:c>
      <x:c r="G471" s="14" t="str">
        <x:v>Current NGF/GOLF.NL listing: 9 holes, par 34, 2613 metres. Listed as qualifying.</x:v>
      </x:c>
    </x:row>
    <x:row r="472">
      <x:c r="A472" s="56" t="str">
        <x:v>NL-0235</x:v>
      </x:c>
      <x:c r="B472" s="57" t="str">
        <x:v>Golf Amsteldijk — Main Course</x:v>
      </x:c>
      <x:c r="C472" s="57" t="str">
        <x:v>Coordinates/address</x:v>
      </x:c>
      <x:c r="D472" s="57" t="str">
        <x:v>https://api.pdok.nl/bzk/locatieserver/search/v3_1/free?q=De+Afslag+1%2C+1186+VG+Amstelveen&amp;fq=type%3Aadres&amp;rows=10</x:v>
      </x:c>
      <x:c r="E472" s="57" t="str">
        <x:v>Dutch BAG address point via PDOK Locatieserver</x:v>
      </x:c>
      <x:c r="F472" s="57" t="str">
        <x:v>2026-08-15</x:v>
      </x:c>
      <x:c r="G472" s="14" t="str">
        <x:v>Exact postcode-matched address point: De Afslag 1, 1186VG Amstelveen.</x:v>
      </x:c>
    </x:row>
    <x:row r="473">
      <x:c r="A473" s="56" t="str">
        <x:v>NL-0236</x:v>
      </x:c>
      <x:c r="B473" s="57" t="str">
        <x:v>Golf Amsteldijk — Par-3 Course</x:v>
      </x:c>
      <x:c r="C473" s="57" t="str">
        <x:v>Course identity/specification</x:v>
      </x:c>
      <x:c r="D473" s="57" t="str">
        <x:v>https://www.golf.nl/de-baan-op/banenzoeker/overzicht</x:v>
      </x:c>
      <x:c r="E473" s="57" t="str">
        <x:v>Current national federation course register</x:v>
      </x:c>
      <x:c r="F473" s="57" t="str">
        <x:v>2026-08-15</x:v>
      </x:c>
      <x:c r="G473" s="14" t="str">
        <x:v>Current NGF/GOLF.NL listing: 9 holes, par 27, 522 metres. Listed as non-qualifying.</x:v>
      </x:c>
    </x:row>
    <x:row r="474">
      <x:c r="A474" s="56" t="str">
        <x:v>NL-0236</x:v>
      </x:c>
      <x:c r="B474" s="57" t="str">
        <x:v>Golf Amsteldijk — Par-3 Course</x:v>
      </x:c>
      <x:c r="C474" s="57" t="str">
        <x:v>Coordinates/address</x:v>
      </x:c>
      <x:c r="D474" s="57" t="str">
        <x:v>https://api.pdok.nl/bzk/locatieserver/search/v3_1/free?q=De+Afslag+1%2C+1186+VG+Amstelveen&amp;fq=type%3Aadres&amp;rows=10</x:v>
      </x:c>
      <x:c r="E474" s="57" t="str">
        <x:v>Dutch BAG address point via PDOK Locatieserver</x:v>
      </x:c>
      <x:c r="F474" s="57" t="str">
        <x:v>2026-08-15</x:v>
      </x:c>
      <x:c r="G474" s="14" t="str">
        <x:v>Exact postcode-matched address point: De Afslag 1, 1186VG Amstelveen.</x:v>
      </x:c>
    </x:row>
    <x:row r="475">
      <x:c r="A475" s="56" t="str">
        <x:v>NL-0237</x:v>
      </x:c>
      <x:c r="B475" s="57" t="str">
        <x:v>Golf en Padel Sluispolder — Main Course</x:v>
      </x:c>
      <x:c r="C475" s="57" t="str">
        <x:v>Course identity/specification</x:v>
      </x:c>
      <x:c r="D475" s="57" t="str">
        <x:v>https://www.golf.nl/de-baan-op/banenzoeker/overzicht</x:v>
      </x:c>
      <x:c r="E475" s="57" t="str">
        <x:v>Current national federation course register</x:v>
      </x:c>
      <x:c r="F475" s="57" t="str">
        <x:v>2026-08-15</x:v>
      </x:c>
      <x:c r="G475" s="14" t="str">
        <x:v>Current NGF/GOLF.NL listing: 18 holes, par 72, 6140 metres. Combined from exact NGF-listed constituent nine-hole loops: 1ste negen (9 holes, par 36, 3030 m); 2de negen (9 holes, par 36, 3110 m) Listed as qualifying.</x:v>
      </x:c>
    </x:row>
    <x:row r="476">
      <x:c r="A476" s="56" t="str">
        <x:v>NL-0237</x:v>
      </x:c>
      <x:c r="B476" s="57" t="str">
        <x:v>Golf en Padel Sluispolder — Main Course</x:v>
      </x:c>
      <x:c r="C476" s="57" t="str">
        <x:v>Coordinates/address</x:v>
      </x:c>
      <x:c r="D476" s="57" t="str">
        <x:v>https://api.pdok.nl/bzk/locatieserver/search/v3_1/free?q=Sluispolderweg+7%2C+1817+BM+Alkmaar&amp;fq=type%3Aadres&amp;rows=10</x:v>
      </x:c>
      <x:c r="E476" s="57" t="str">
        <x:v>Dutch BAG address point via PDOK Locatieserver</x:v>
      </x:c>
      <x:c r="F476" s="57" t="str">
        <x:v>2026-08-15</x:v>
      </x:c>
      <x:c r="G476" s="14" t="str">
        <x:v>Exact postcode-matched address point: Sluispolderweg 7, 1817BM Alkmaar.</x:v>
      </x:c>
    </x:row>
    <x:row r="477">
      <x:c r="A477" s="56" t="str">
        <x:v>NL-0238</x:v>
      </x:c>
      <x:c r="B477" s="57" t="str">
        <x:v>Golf en Padel Sluispolder — Par-3 Course</x:v>
      </x:c>
      <x:c r="C477" s="57" t="str">
        <x:v>Course identity/specification</x:v>
      </x:c>
      <x:c r="D477" s="57" t="str">
        <x:v>https://www.golf.nl/de-baan-op/banenzoeker/overzicht</x:v>
      </x:c>
      <x:c r="E477" s="57" t="str">
        <x:v>Current national federation course register</x:v>
      </x:c>
      <x:c r="F477" s="57" t="str">
        <x:v>2026-08-15</x:v>
      </x:c>
      <x:c r="G477" s="14" t="str">
        <x:v>Current NGF/GOLF.NL listing: 9 holes, par 27, 515 metres. Listed as non-qualifying.</x:v>
      </x:c>
    </x:row>
    <x:row r="478">
      <x:c r="A478" s="56" t="str">
        <x:v>NL-0238</x:v>
      </x:c>
      <x:c r="B478" s="57" t="str">
        <x:v>Golf en Padel Sluispolder — Par-3 Course</x:v>
      </x:c>
      <x:c r="C478" s="57" t="str">
        <x:v>Coordinates/address</x:v>
      </x:c>
      <x:c r="D478" s="57" t="str">
        <x:v>https://api.pdok.nl/bzk/locatieserver/search/v3_1/free?q=Sluispolderweg+7%2C+1817+BM+Alkmaar&amp;fq=type%3Aadres&amp;rows=10</x:v>
      </x:c>
      <x:c r="E478" s="57" t="str">
        <x:v>Dutch BAG address point via PDOK Locatieserver</x:v>
      </x:c>
      <x:c r="F478" s="57" t="str">
        <x:v>2026-08-15</x:v>
      </x:c>
      <x:c r="G478" s="14" t="str">
        <x:v>Exact postcode-matched address point: Sluispolderweg 7, 1817BM Alkmaar.</x:v>
      </x:c>
    </x:row>
    <x:row r="479">
      <x:c r="A479" s="56" t="str">
        <x:v>NL-0239</x:v>
      </x:c>
      <x:c r="B479" s="57" t="str">
        <x:v>Golf Waterland — Hazenlus</x:v>
      </x:c>
      <x:c r="C479" s="57" t="str">
        <x:v>Course identity/specification</x:v>
      </x:c>
      <x:c r="D479" s="57" t="str">
        <x:v>https://www.golf.nl/de-baan-op/banenzoeker/overzicht</x:v>
      </x:c>
      <x:c r="E479" s="57" t="str">
        <x:v>Current national federation course register</x:v>
      </x:c>
      <x:c r="F479" s="57" t="str">
        <x:v>2026-08-15</x:v>
      </x:c>
      <x:c r="G479" s="14" t="str">
        <x:v>Current NGF/GOLF.NL listing: 9 holes, par 27, 868 metres. Listed as qualifying.</x:v>
      </x:c>
    </x:row>
    <x:row r="480">
      <x:c r="A480" s="56" t="str">
        <x:v>NL-0239</x:v>
      </x:c>
      <x:c r="B480" s="57" t="str">
        <x:v>Golf Waterland — Hazenlus</x:v>
      </x:c>
      <x:c r="C480" s="57" t="str">
        <x:v>Coordinates/address</x:v>
      </x:c>
      <x:c r="D480" s="57" t="str">
        <x:v>https://api.pdok.nl/bzk/locatieserver/search/v3_1/free?q=Buikslotermeerdijk+141%2C+1027+AC+Amsterdam&amp;fq=type%3Aadres&amp;rows=10</x:v>
      </x:c>
      <x:c r="E480" s="57" t="str">
        <x:v>Dutch BAG address point via PDOK Locatieserver</x:v>
      </x:c>
      <x:c r="F480" s="57" t="str">
        <x:v>2026-08-15</x:v>
      </x:c>
      <x:c r="G480" s="14" t="str">
        <x:v>Exact postcode-matched address point: Buikslotermeerdijk 141, 1027AC Amsterdam.</x:v>
      </x:c>
    </x:row>
    <x:row r="481">
      <x:c r="A481" s="56" t="str">
        <x:v>NL-0240</x:v>
      </x:c>
      <x:c r="B481" s="57" t="str">
        <x:v>Golf Waterland — Main Course</x:v>
      </x:c>
      <x:c r="C481" s="57" t="str">
        <x:v>Course identity/specification</x:v>
      </x:c>
      <x:c r="D481" s="57" t="str">
        <x:v>https://www.golf.nl/de-baan-op/banenzoeker/overzicht</x:v>
      </x:c>
      <x:c r="E481" s="57" t="str">
        <x:v>Current national federation course register</x:v>
      </x:c>
      <x:c r="F481" s="57" t="str">
        <x:v>2026-08-15</x:v>
      </x:c>
      <x:c r="G481" s="14" t="str">
        <x:v>Current NGF/GOLF.NL listing: 18 holes, par 71, 5387 metres. Combined from exact NGF-listed constituent nine-hole loops: 1ste negen (9 holes, par 35, 2651 m); 2de negen (9 holes, par 36, 2736 m) Listed as qualifying.</x:v>
      </x:c>
    </x:row>
    <x:row r="482">
      <x:c r="A482" s="56" t="str">
        <x:v>NL-0240</x:v>
      </x:c>
      <x:c r="B482" s="57" t="str">
        <x:v>Golf Waterland — Main Course</x:v>
      </x:c>
      <x:c r="C482" s="57" t="str">
        <x:v>Coordinates/address</x:v>
      </x:c>
      <x:c r="D482" s="57" t="str">
        <x:v>https://api.pdok.nl/bzk/locatieserver/search/v3_1/free?q=Buikslotermeerdijk+141%2C+1027+AC+Amsterdam&amp;fq=type%3Aadres&amp;rows=10</x:v>
      </x:c>
      <x:c r="E482" s="57" t="str">
        <x:v>Dutch BAG address point via PDOK Locatieserver</x:v>
      </x:c>
      <x:c r="F482" s="57" t="str">
        <x:v>2026-08-15</x:v>
      </x:c>
      <x:c r="G482" s="14" t="str">
        <x:v>Exact postcode-matched address point: Buikslotermeerdijk 141, 1027AC Amsterdam.</x:v>
      </x:c>
    </x:row>
    <x:row r="483">
      <x:c r="A483" s="56" t="str">
        <x:v>NL-0241</x:v>
      </x:c>
      <x:c r="B483" s="57" t="str">
        <x:v>Golf- &amp; Countryclub Heiloo</x:v>
      </x:c>
      <x:c r="C483" s="57" t="str">
        <x:v>Course identity/specification</x:v>
      </x:c>
      <x:c r="D483" s="57" t="str">
        <x:v>https://www.golf.nl/de-baan-op/banenzoeker/overzicht</x:v>
      </x:c>
      <x:c r="E483" s="57" t="str">
        <x:v>Current national federation course register</x:v>
      </x:c>
      <x:c r="F483" s="57" t="str">
        <x:v>2026-08-15</x:v>
      </x:c>
      <x:c r="G483" s="14" t="str">
        <x:v>Current NGF/GOLF.NL listing: 9 holes, par 34, 2713 metres. Listed as qualifying.</x:v>
      </x:c>
    </x:row>
    <x:row r="484">
      <x:c r="A484" s="56" t="str">
        <x:v>NL-0241</x:v>
      </x:c>
      <x:c r="B484" s="57" t="str">
        <x:v>Golf- &amp; Countryclub Heiloo</x:v>
      </x:c>
      <x:c r="C484" s="57" t="str">
        <x:v>Coordinates/address</x:v>
      </x:c>
      <x:c r="D484" s="57" t="str">
        <x:v>https://api.pdok.nl/bzk/locatieserver/search/v3_1/free?q=Lagelaan+8%2C+1851+PC+Heiloo&amp;fq=type%3Aadres&amp;rows=10</x:v>
      </x:c>
      <x:c r="E484" s="57" t="str">
        <x:v>Dutch BAG address point via PDOK Locatieserver</x:v>
      </x:c>
      <x:c r="F484" s="57" t="str">
        <x:v>2026-08-15</x:v>
      </x:c>
      <x:c r="G484" s="14" t="str">
        <x:v>Exact postcode-matched address point: Lagelaan 8a, 1851PC Heiloo.</x:v>
      </x:c>
    </x:row>
    <x:row r="485">
      <x:c r="A485" s="56" t="str">
        <x:v>NL-0242</x:v>
      </x:c>
      <x:c r="B485" s="57" t="str">
        <x:v>Golfbaan De Hoge Dijk/Olympus — Abcoudebaan</x:v>
      </x:c>
      <x:c r="C485" s="57" t="str">
        <x:v>Course identity/specification</x:v>
      </x:c>
      <x:c r="D485" s="57" t="str">
        <x:v>https://www.golf.nl/de-baan-op/banenzoeker/overzicht</x:v>
      </x:c>
      <x:c r="E485" s="57" t="str">
        <x:v>Current national federation course register</x:v>
      </x:c>
      <x:c r="F485" s="57" t="str">
        <x:v>2026-08-15</x:v>
      </x:c>
      <x:c r="G485" s="14" t="str">
        <x:v>Current NGF/GOLF.NL listing: 9 holes, par 31, 1794 metres. Listed as qualifying.</x:v>
      </x:c>
    </x:row>
    <x:row r="486">
      <x:c r="A486" s="56" t="str">
        <x:v>NL-0242</x:v>
      </x:c>
      <x:c r="B486" s="57" t="str">
        <x:v>Golfbaan De Hoge Dijk/Olympus — Abcoudebaan</x:v>
      </x:c>
      <x:c r="C486" s="57" t="str">
        <x:v>Coordinates/address</x:v>
      </x:c>
      <x:c r="D486" s="57" t="str">
        <x:v>https://api.pdok.nl/bzk/locatieserver/search/v3_1/free?q=Abcouderstraatweg+46%2C+1105+AA+Amsterdam&amp;fq=type%3Aadres&amp;rows=10</x:v>
      </x:c>
      <x:c r="E486" s="57" t="str">
        <x:v>Dutch BAG address point via PDOK Locatieserver</x:v>
      </x:c>
      <x:c r="F486" s="57" t="str">
        <x:v>2026-08-15</x:v>
      </x:c>
      <x:c r="G486" s="14" t="str">
        <x:v>Exact postcode-matched address point: Abcouderstraatweg 46, 1105AA Amsterdam.</x:v>
      </x:c>
    </x:row>
    <x:row r="487">
      <x:c r="A487" s="56" t="str">
        <x:v>NL-0243</x:v>
      </x:c>
      <x:c r="B487" s="57" t="str">
        <x:v>Golfbaan De Hoge Dijk/Olympus — Bullewijkbaan</x:v>
      </x:c>
      <x:c r="C487" s="57" t="str">
        <x:v>Course identity/specification</x:v>
      </x:c>
      <x:c r="D487" s="57" t="str">
        <x:v>https://www.golf.nl/de-baan-op/banenzoeker/overzicht</x:v>
      </x:c>
      <x:c r="E487" s="57" t="str">
        <x:v>Current national federation course register</x:v>
      </x:c>
      <x:c r="F487" s="57" t="str">
        <x:v>2026-08-15</x:v>
      </x:c>
      <x:c r="G487" s="14" t="str">
        <x:v>Current NGF/GOLF.NL listing: 9 holes, par 35, 2966 metres. Listed as qualifying.</x:v>
      </x:c>
    </x:row>
    <x:row r="488">
      <x:c r="A488" s="56" t="str">
        <x:v>NL-0243</x:v>
      </x:c>
      <x:c r="B488" s="57" t="str">
        <x:v>Golfbaan De Hoge Dijk/Olympus — Bullewijkbaan</x:v>
      </x:c>
      <x:c r="C488" s="57" t="str">
        <x:v>Coordinates/address</x:v>
      </x:c>
      <x:c r="D488" s="57" t="str">
        <x:v>https://api.pdok.nl/bzk/locatieserver/search/v3_1/free?q=Abcouderstraatweg+46%2C+1105+AA+Amsterdam&amp;fq=type%3Aadres&amp;rows=10</x:v>
      </x:c>
      <x:c r="E488" s="57" t="str">
        <x:v>Dutch BAG address point via PDOK Locatieserver</x:v>
      </x:c>
      <x:c r="F488" s="57" t="str">
        <x:v>2026-08-15</x:v>
      </x:c>
      <x:c r="G488" s="14" t="str">
        <x:v>Exact postcode-matched address point: Abcouderstraatweg 46, 1105AA Amsterdam.</x:v>
      </x:c>
    </x:row>
    <x:row r="489">
      <x:c r="A489" s="56" t="str">
        <x:v>NL-0244</x:v>
      </x:c>
      <x:c r="B489" s="57" t="str">
        <x:v>Golfbaan De Hoge Dijk/Olympus — Holendrechtbaan</x:v>
      </x:c>
      <x:c r="C489" s="57" t="str">
        <x:v>Course identity/specification</x:v>
      </x:c>
      <x:c r="D489" s="57" t="str">
        <x:v>https://www.golf.nl/de-baan-op/banenzoeker/overzicht</x:v>
      </x:c>
      <x:c r="E489" s="57" t="str">
        <x:v>Current national federation course register</x:v>
      </x:c>
      <x:c r="F489" s="57" t="str">
        <x:v>2026-08-15</x:v>
      </x:c>
      <x:c r="G489" s="14" t="str">
        <x:v>Current NGF/GOLF.NL listing: 9 holes, par 36, 3034 metres. Listed as qualifying.</x:v>
      </x:c>
    </x:row>
    <x:row r="490">
      <x:c r="A490" s="56" t="str">
        <x:v>NL-0244</x:v>
      </x:c>
      <x:c r="B490" s="57" t="str">
        <x:v>Golfbaan De Hoge Dijk/Olympus — Holendrechtbaan</x:v>
      </x:c>
      <x:c r="C490" s="57" t="str">
        <x:v>Coordinates/address</x:v>
      </x:c>
      <x:c r="D490" s="57" t="str">
        <x:v>https://api.pdok.nl/bzk/locatieserver/search/v3_1/free?q=Abcouderstraatweg+46%2C+1105+AA+Amsterdam&amp;fq=type%3Aadres&amp;rows=10</x:v>
      </x:c>
      <x:c r="E490" s="57" t="str">
        <x:v>Dutch BAG address point via PDOK Locatieserver</x:v>
      </x:c>
      <x:c r="F490" s="57" t="str">
        <x:v>2026-08-15</x:v>
      </x:c>
      <x:c r="G490" s="14" t="str">
        <x:v>Exact postcode-matched address point: Abcouderstraatweg 46, 1105AA Amsterdam.</x:v>
      </x:c>
    </x:row>
    <x:row r="491">
      <x:c r="A491" s="56" t="str">
        <x:v>NL-0245</x:v>
      </x:c>
      <x:c r="B491" s="57" t="str">
        <x:v>Golfbaan De Texelse — Main Course</x:v>
      </x:c>
      <x:c r="C491" s="57" t="str">
        <x:v>Course identity/specification</x:v>
      </x:c>
      <x:c r="D491" s="57" t="str">
        <x:v>https://www.golf.nl/de-baan-op/banenzoeker/overzicht</x:v>
      </x:c>
      <x:c r="E491" s="57" t="str">
        <x:v>Current national federation course register</x:v>
      </x:c>
      <x:c r="F491" s="57" t="str">
        <x:v>2026-08-15</x:v>
      </x:c>
      <x:c r="G491" s="14" t="str">
        <x:v>Current NGF/GOLF.NL listing: 18 holes, par 72, 6008 metres. Combined from exact NGF-listed constituent nine-hole loops: 1ste negen (9 holes, par 36, 2945 m); 2de negen (9 holes, par 36, 3063 m) Listed as qualifying.</x:v>
      </x:c>
    </x:row>
    <x:row r="492">
      <x:c r="A492" s="56" t="str">
        <x:v>NL-0245</x:v>
      </x:c>
      <x:c r="B492" s="57" t="str">
        <x:v>Golfbaan De Texelse — Main Course</x:v>
      </x:c>
      <x:c r="C492" s="57" t="str">
        <x:v>Coordinates/address</x:v>
      </x:c>
      <x:c r="D492" s="57" t="str">
        <x:v>https://api.pdok.nl/bzk/locatieserver/search/v3_1/free?q=Roggeslootweg+3%2C+1795+JX+De+Cocksdorp&amp;fq=type%3Aadres&amp;rows=10</x:v>
      </x:c>
      <x:c r="E492" s="57" t="str">
        <x:v>Dutch BAG address point via PDOK Locatieserver</x:v>
      </x:c>
      <x:c r="F492" s="57" t="str">
        <x:v>2026-08-15</x:v>
      </x:c>
      <x:c r="G492" s="14" t="str">
        <x:v>Exact postcode-matched address point: Roggeslootweg 3, 1795JX De Cocksdorp.</x:v>
      </x:c>
    </x:row>
    <x:row r="493">
      <x:c r="A493" s="56" t="str">
        <x:v>NL-0246</x:v>
      </x:c>
      <x:c r="B493" s="57" t="str">
        <x:v>Golfbaan De Texelse — Par-3 Course</x:v>
      </x:c>
      <x:c r="C493" s="57" t="str">
        <x:v>Course identity/specification</x:v>
      </x:c>
      <x:c r="D493" s="57" t="str">
        <x:v>https://www.golf.nl/de-baan-op/banenzoeker/overzicht</x:v>
      </x:c>
      <x:c r="E493" s="57" t="str">
        <x:v>Current national federation course register</x:v>
      </x:c>
      <x:c r="F493" s="57" t="str">
        <x:v>2026-08-15</x:v>
      </x:c>
      <x:c r="G493" s="14" t="str">
        <x:v>Current NGF/GOLF.NL listing: 9 holes, par 27, 671 metres. Listed as qualifying.</x:v>
      </x:c>
    </x:row>
    <x:row r="494">
      <x:c r="A494" s="56" t="str">
        <x:v>NL-0246</x:v>
      </x:c>
      <x:c r="B494" s="57" t="str">
        <x:v>Golfbaan De Texelse — Par-3 Course</x:v>
      </x:c>
      <x:c r="C494" s="57" t="str">
        <x:v>Coordinates/address</x:v>
      </x:c>
      <x:c r="D494" s="57" t="str">
        <x:v>https://api.pdok.nl/bzk/locatieserver/search/v3_1/free?q=Roggeslootweg+3%2C+1795+JX+De+Cocksdorp&amp;fq=type%3Aadres&amp;rows=10</x:v>
      </x:c>
      <x:c r="E494" s="57" t="str">
        <x:v>Dutch BAG address point via PDOK Locatieserver</x:v>
      </x:c>
      <x:c r="F494" s="57" t="str">
        <x:v>2026-08-15</x:v>
      </x:c>
      <x:c r="G494" s="14" t="str">
        <x:v>Exact postcode-matched address point: Roggeslootweg 3, 1795JX De Cocksdorp.</x:v>
      </x:c>
    </x:row>
    <x:row r="495">
      <x:c r="A495" s="56" t="str">
        <x:v>NL-0247</x:v>
      </x:c>
      <x:c r="B495" s="57" t="str">
        <x:v>Golfbaan De Vlietlanden — Main Course</x:v>
      </x:c>
      <x:c r="C495" s="57" t="str">
        <x:v>Course identity/specification</x:v>
      </x:c>
      <x:c r="D495" s="57" t="str">
        <x:v>https://www.golf.nl/de-baan-op/banenzoeker/overzicht</x:v>
      </x:c>
      <x:c r="E495" s="57" t="str">
        <x:v>Current national federation course register</x:v>
      </x:c>
      <x:c r="F495" s="57" t="str">
        <x:v>2026-08-15</x:v>
      </x:c>
      <x:c r="G495" s="14" t="str">
        <x:v>Current NGF/GOLF.NL listing: 18 holes, par 60, 3048 metres. Combined from exact NGF-listed constituent nine-hole loops: 1ste negen (9 holes, par 30, 1503 m); 2de negen (9 holes, par 30, 1545 m) Listed as qualifying.</x:v>
      </x:c>
    </x:row>
    <x:row r="496">
      <x:c r="A496" s="56" t="str">
        <x:v>NL-0247</x:v>
      </x:c>
      <x:c r="B496" s="57" t="str">
        <x:v>Golfbaan De Vlietlanden — Main Course</x:v>
      </x:c>
      <x:c r="C496" s="57" t="str">
        <x:v>Coordinates/address</x:v>
      </x:c>
      <x:c r="D496" s="57" t="str">
        <x:v>https://api.pdok.nl/bzk/locatieserver/search/v3_1/free?q=Grutteweide+31%2C+1693+HR+Wervershoof&amp;fq=type%3Aadres&amp;rows=10</x:v>
      </x:c>
      <x:c r="E496" s="57" t="str">
        <x:v>Dutch BAG address point via PDOK Locatieserver</x:v>
      </x:c>
      <x:c r="F496" s="57" t="str">
        <x:v>2026-08-15</x:v>
      </x:c>
      <x:c r="G496" s="14" t="str">
        <x:v>Exact postcode-matched address point: Grutteweide 31, 1693HR Wervershoof.</x:v>
      </x:c>
    </x:row>
    <x:row r="497">
      <x:c r="A497" s="56" t="str">
        <x:v>NL-0248</x:v>
      </x:c>
      <x:c r="B497" s="57" t="str">
        <x:v>Golfbaan Dirkshorn — Main Course</x:v>
      </x:c>
      <x:c r="C497" s="57" t="str">
        <x:v>Course identity/specification</x:v>
      </x:c>
      <x:c r="D497" s="57" t="str">
        <x:v>https://www.golf.nl/de-baan-op/banenzoeker/overzicht</x:v>
      </x:c>
      <x:c r="E497" s="57" t="str">
        <x:v>Current national federation course register</x:v>
      </x:c>
      <x:c r="F497" s="57" t="str">
        <x:v>2026-08-15</x:v>
      </x:c>
      <x:c r="G497" s="14" t="str">
        <x:v>Current NGF/GOLF.NL listing: 18 holes, par 72, 6225 metres. Combined from exact NGF-listed constituent nine-hole loops: 1ste negen (9 holes, par 36, 3108 m); 2de negen (9 holes, par 36, 3117 m) Listed as qualifying.</x:v>
      </x:c>
    </x:row>
    <x:row r="498">
      <x:c r="A498" s="56" t="str">
        <x:v>NL-0248</x:v>
      </x:c>
      <x:c r="B498" s="57" t="str">
        <x:v>Golfbaan Dirkshorn — Main Course</x:v>
      </x:c>
      <x:c r="C498" s="57" t="str">
        <x:v>Coordinates/address</x:v>
      </x:c>
      <x:c r="D498" s="57" t="str">
        <x:v>https://api.pdok.nl/bzk/locatieserver/search/v3_1/free?q=Groenvelderweg+3%2C+1746+EE+Dirkshorn&amp;fq=type%3Aadres&amp;rows=10</x:v>
      </x:c>
      <x:c r="E498" s="57" t="str">
        <x:v>Dutch BAG address point via PDOK Locatieserver</x:v>
      </x:c>
      <x:c r="F498" s="57" t="str">
        <x:v>2026-08-15</x:v>
      </x:c>
      <x:c r="G498" s="14" t="str">
        <x:v>Exact postcode-matched address point: Groenvelderweg 3, 1746EE Dirkshorn.</x:v>
      </x:c>
    </x:row>
    <x:row r="499">
      <x:c r="A499" s="56" t="str">
        <x:v>NL-0249</x:v>
      </x:c>
      <x:c r="B499" s="57" t="str">
        <x:v>Golfbaan Kavel 2 Beemster</x:v>
      </x:c>
      <x:c r="C499" s="57" t="str">
        <x:v>Course identity/specification</x:v>
      </x:c>
      <x:c r="D499" s="57" t="str">
        <x:v>https://www.golf.nl/de-baan-op/banenzoeker/overzicht</x:v>
      </x:c>
      <x:c r="E499" s="57" t="str">
        <x:v>Current national federation course register</x:v>
      </x:c>
      <x:c r="F499" s="57" t="str">
        <x:v>2026-08-15</x:v>
      </x:c>
      <x:c r="G499" s="14" t="str">
        <x:v>Current NGF/GOLF.NL listing: 9 holes, par 32, 2107 metres. Listed as qualifying.</x:v>
      </x:c>
    </x:row>
    <x:row r="500">
      <x:c r="A500" s="56" t="str">
        <x:v>NL-0249</x:v>
      </x:c>
      <x:c r="B500" s="57" t="str">
        <x:v>Golfbaan Kavel 2 Beemster</x:v>
      </x:c>
      <x:c r="C500" s="57" t="str">
        <x:v>Coordinates/address</x:v>
      </x:c>
      <x:c r="D500" s="57" t="str">
        <x:v>https://api.pdok.nl/bzk/locatieserver/search/v3_1/free?q=Volgerweg+42%2C+1462+HR+Middenbeemster&amp;fq=type%3Aadres&amp;rows=10</x:v>
      </x:c>
      <x:c r="E500" s="57" t="str">
        <x:v>Dutch BAG address point via PDOK Locatieserver</x:v>
      </x:c>
      <x:c r="F500" s="57" t="str">
        <x:v>2026-08-15</x:v>
      </x:c>
      <x:c r="G500" s="14" t="str">
        <x:v>Exact postcode-matched address point: Volgerweg 42a, 1462HR Middenbeemster.</x:v>
      </x:c>
    </x:row>
    <x:row r="501">
      <x:c r="A501" s="56" t="str">
        <x:v>NL-0250</x:v>
      </x:c>
      <x:c r="B501" s="57" t="str">
        <x:v>Golfbaan Molenslag</x:v>
      </x:c>
      <x:c r="C501" s="57" t="str">
        <x:v>Course identity/specification</x:v>
      </x:c>
      <x:c r="D501" s="57" t="str">
        <x:v>https://www.golf.nl/de-baan-op/banenzoeker/overzicht</x:v>
      </x:c>
      <x:c r="E501" s="57" t="str">
        <x:v>Current national federation course register</x:v>
      </x:c>
      <x:c r="F501" s="57" t="str">
        <x:v>2026-08-15</x:v>
      </x:c>
      <x:c r="G501" s="14" t="str">
        <x:v>Current NGF/GOLF.NL listing: 9 holes, par 30, 1432 metres. Listed as qualifying.</x:v>
      </x:c>
    </x:row>
    <x:row r="502">
      <x:c r="A502" s="56" t="str">
        <x:v>NL-0250</x:v>
      </x:c>
      <x:c r="B502" s="57" t="str">
        <x:v>Golfbaan Molenslag</x:v>
      </x:c>
      <x:c r="C502" s="57" t="str">
        <x:v>Coordinates/address</x:v>
      </x:c>
      <x:c r="D502" s="57" t="str">
        <x:v>https://api.pdok.nl/bzk/locatieserver/search/v3_1/free?q=Heerenweg+75%2C+1768+BL+Barsingerhorn&amp;fq=type%3Aadres&amp;rows=10</x:v>
      </x:c>
      <x:c r="E502" s="57" t="str">
        <x:v>Dutch BAG address point via PDOK Locatieserver</x:v>
      </x:c>
      <x:c r="F502" s="57" t="str">
        <x:v>2026-08-15</x:v>
      </x:c>
      <x:c r="G502" s="14" t="str">
        <x:v>Exact postcode-matched address point: Heerenweg 75a, 1768BL Barsingerhorn.</x:v>
      </x:c>
    </x:row>
    <x:row r="503">
      <x:c r="A503" s="56" t="str">
        <x:v>NL-0251</x:v>
      </x:c>
      <x:c r="B503" s="57" t="str">
        <x:v>Golfbaan Spaarnwoude — A</x:v>
      </x:c>
      <x:c r="C503" s="57" t="str">
        <x:v>Course identity/specification</x:v>
      </x:c>
      <x:c r="D503" s="57" t="str">
        <x:v>https://www.golf.nl/de-baan-op/banenzoeker/overzicht</x:v>
      </x:c>
      <x:c r="E503" s="57" t="str">
        <x:v>Current national federation course register</x:v>
      </x:c>
      <x:c r="F503" s="57" t="str">
        <x:v>2026-08-15</x:v>
      </x:c>
      <x:c r="G503" s="14" t="str">
        <x:v>Current NGF/GOLF.NL listing: 9 holes, par 29, 1608 metres. Listed as qualifying.</x:v>
      </x:c>
    </x:row>
    <x:row r="504">
      <x:c r="A504" s="56" t="str">
        <x:v>NL-0251</x:v>
      </x:c>
      <x:c r="B504" s="57" t="str">
        <x:v>Golfbaan Spaarnwoude — A</x:v>
      </x:c>
      <x:c r="C504" s="57" t="str">
        <x:v>Coordinates/address</x:v>
      </x:c>
      <x:c r="D504" s="57" t="str">
        <x:v>https://api.pdok.nl/bzk/locatieserver/search/v3_1/free?q=Het+Hoge+Land+2%2C+1981+LT+Velsen+Zuid&amp;fq=type%3Aadres&amp;rows=10</x:v>
      </x:c>
      <x:c r="E504" s="57" t="str">
        <x:v>Dutch BAG address point via PDOK Locatieserver</x:v>
      </x:c>
      <x:c r="F504" s="57" t="str">
        <x:v>2026-08-15</x:v>
      </x:c>
      <x:c r="G504" s="14" t="str">
        <x:v>Exact postcode-matched address point: Het Hoge Land 2, 1981LT Velsen-Zuid.</x:v>
      </x:c>
    </x:row>
    <x:row r="505">
      <x:c r="A505" s="56" t="str">
        <x:v>NL-0252</x:v>
      </x:c>
      <x:c r="B505" s="57" t="str">
        <x:v>Golfbaan Spaarnwoude — B</x:v>
      </x:c>
      <x:c r="C505" s="57" t="str">
        <x:v>Course identity/specification</x:v>
      </x:c>
      <x:c r="D505" s="57" t="str">
        <x:v>https://www.golf.nl/de-baan-op/banenzoeker/overzicht</x:v>
      </x:c>
      <x:c r="E505" s="57" t="str">
        <x:v>Current national federation course register</x:v>
      </x:c>
      <x:c r="F505" s="57" t="str">
        <x:v>2026-08-15</x:v>
      </x:c>
      <x:c r="G505" s="14" t="str">
        <x:v>Current NGF/GOLF.NL listing: 9 holes, par 29, 1360 metres. Listed as qualifying.</x:v>
      </x:c>
    </x:row>
    <x:row r="506">
      <x:c r="A506" s="56" t="str">
        <x:v>NL-0252</x:v>
      </x:c>
      <x:c r="B506" s="57" t="str">
        <x:v>Golfbaan Spaarnwoude — B</x:v>
      </x:c>
      <x:c r="C506" s="57" t="str">
        <x:v>Coordinates/address</x:v>
      </x:c>
      <x:c r="D506" s="57" t="str">
        <x:v>https://api.pdok.nl/bzk/locatieserver/search/v3_1/free?q=Het+Hoge+Land+2%2C+1981+LT+Velsen+Zuid&amp;fq=type%3Aadres&amp;rows=10</x:v>
      </x:c>
      <x:c r="E506" s="57" t="str">
        <x:v>Dutch BAG address point via PDOK Locatieserver</x:v>
      </x:c>
      <x:c r="F506" s="57" t="str">
        <x:v>2026-08-15</x:v>
      </x:c>
      <x:c r="G506" s="14" t="str">
        <x:v>Exact postcode-matched address point: Het Hoge Land 2, 1981LT Velsen-Zuid.</x:v>
      </x:c>
    </x:row>
    <x:row r="507">
      <x:c r="A507" s="56" t="str">
        <x:v>NL-0253</x:v>
      </x:c>
      <x:c r="B507" s="57" t="str">
        <x:v>Golfbaan Spaarnwoude — C</x:v>
      </x:c>
      <x:c r="C507" s="57" t="str">
        <x:v>Course identity/specification</x:v>
      </x:c>
      <x:c r="D507" s="57" t="str">
        <x:v>https://www.golf.nl/de-baan-op/banenzoeker/overzicht</x:v>
      </x:c>
      <x:c r="E507" s="57" t="str">
        <x:v>Current national federation course register</x:v>
      </x:c>
      <x:c r="F507" s="57" t="str">
        <x:v>2026-08-15</x:v>
      </x:c>
      <x:c r="G507" s="14" t="str">
        <x:v>Current NGF/GOLF.NL listing: 9 holes, par 37, 3161 metres. Listed as qualifying.</x:v>
      </x:c>
    </x:row>
    <x:row r="508">
      <x:c r="A508" s="56" t="str">
        <x:v>NL-0253</x:v>
      </x:c>
      <x:c r="B508" s="57" t="str">
        <x:v>Golfbaan Spaarnwoude — C</x:v>
      </x:c>
      <x:c r="C508" s="57" t="str">
        <x:v>Coordinates/address</x:v>
      </x:c>
      <x:c r="D508" s="57" t="str">
        <x:v>https://api.pdok.nl/bzk/locatieserver/search/v3_1/free?q=Het+Hoge+Land+2%2C+1981+LT+Velsen+Zuid&amp;fq=type%3Aadres&amp;rows=10</x:v>
      </x:c>
      <x:c r="E508" s="57" t="str">
        <x:v>Dutch BAG address point via PDOK Locatieserver</x:v>
      </x:c>
      <x:c r="F508" s="57" t="str">
        <x:v>2026-08-15</x:v>
      </x:c>
      <x:c r="G508" s="14" t="str">
        <x:v>Exact postcode-matched address point: Het Hoge Land 2, 1981LT Velsen-Zuid.</x:v>
      </x:c>
    </x:row>
    <x:row r="509">
      <x:c r="A509" s="56" t="str">
        <x:v>NL-0254</x:v>
      </x:c>
      <x:c r="B509" s="57" t="str">
        <x:v>Golfbaan Spaarnwoude — D</x:v>
      </x:c>
      <x:c r="C509" s="57" t="str">
        <x:v>Course identity/specification</x:v>
      </x:c>
      <x:c r="D509" s="57" t="str">
        <x:v>https://www.golf.nl/de-baan-op/banenzoeker/overzicht</x:v>
      </x:c>
      <x:c r="E509" s="57" t="str">
        <x:v>Current national federation course register</x:v>
      </x:c>
      <x:c r="F509" s="57" t="str">
        <x:v>2026-08-15</x:v>
      </x:c>
      <x:c r="G509" s="14" t="str">
        <x:v>Current NGF/GOLF.NL listing: 9 holes, par 36, 3026 metres. Listed as qualifying.</x:v>
      </x:c>
    </x:row>
    <x:row r="510">
      <x:c r="A510" s="56" t="str">
        <x:v>NL-0254</x:v>
      </x:c>
      <x:c r="B510" s="57" t="str">
        <x:v>Golfbaan Spaarnwoude — D</x:v>
      </x:c>
      <x:c r="C510" s="57" t="str">
        <x:v>Coordinates/address</x:v>
      </x:c>
      <x:c r="D510" s="57" t="str">
        <x:v>https://api.pdok.nl/bzk/locatieserver/search/v3_1/free?q=Het+Hoge+Land+2%2C+1981+LT+Velsen+Zuid&amp;fq=type%3Aadres&amp;rows=10</x:v>
      </x:c>
      <x:c r="E510" s="57" t="str">
        <x:v>Dutch BAG address point via PDOK Locatieserver</x:v>
      </x:c>
      <x:c r="F510" s="57" t="str">
        <x:v>2026-08-15</x:v>
      </x:c>
      <x:c r="G510" s="14" t="str">
        <x:v>Exact postcode-matched address point: Het Hoge Land 2, 1981LT Velsen-Zuid.</x:v>
      </x:c>
    </x:row>
    <x:row r="511">
      <x:c r="A511" s="56" t="str">
        <x:v>NL-0255</x:v>
      </x:c>
      <x:c r="B511" s="57" t="str">
        <x:v>Golfbaan Spaarnwoude — E</x:v>
      </x:c>
      <x:c r="C511" s="57" t="str">
        <x:v>Course identity/specification</x:v>
      </x:c>
      <x:c r="D511" s="57" t="str">
        <x:v>https://www.golf.nl/de-baan-op/banenzoeker/overzicht</x:v>
      </x:c>
      <x:c r="E511" s="57" t="str">
        <x:v>Current national federation course register</x:v>
      </x:c>
      <x:c r="F511" s="57" t="str">
        <x:v>2026-08-15</x:v>
      </x:c>
      <x:c r="G511" s="14" t="str">
        <x:v>Current NGF/GOLF.NL listing: 9 holes, par 35, 2902 metres. Listed as qualifying.</x:v>
      </x:c>
    </x:row>
    <x:row r="512">
      <x:c r="A512" s="56" t="str">
        <x:v>NL-0255</x:v>
      </x:c>
      <x:c r="B512" s="57" t="str">
        <x:v>Golfbaan Spaarnwoude — E</x:v>
      </x:c>
      <x:c r="C512" s="57" t="str">
        <x:v>Coordinates/address</x:v>
      </x:c>
      <x:c r="D512" s="57" t="str">
        <x:v>https://api.pdok.nl/bzk/locatieserver/search/v3_1/free?q=Het+Hoge+Land+2%2C+1981+LT+Velsen+Zuid&amp;fq=type%3Aadres&amp;rows=10</x:v>
      </x:c>
      <x:c r="E512" s="57" t="str">
        <x:v>Dutch BAG address point via PDOK Locatieserver</x:v>
      </x:c>
      <x:c r="F512" s="57" t="str">
        <x:v>2026-08-15</x:v>
      </x:c>
      <x:c r="G512" s="14" t="str">
        <x:v>Exact postcode-matched address point: Het Hoge Land 2, 1981LT Velsen-Zuid.</x:v>
      </x:c>
    </x:row>
    <x:row r="513">
      <x:c r="A513" s="56" t="str">
        <x:v>NL-0256</x:v>
      </x:c>
      <x:c r="B513" s="57" t="str">
        <x:v>Golfbaan Spaarnwoude — F</x:v>
      </x:c>
      <x:c r="C513" s="57" t="str">
        <x:v>Course identity/specification</x:v>
      </x:c>
      <x:c r="D513" s="57" t="str">
        <x:v>https://www.golf.nl/de-baan-op/banenzoeker/overzicht</x:v>
      </x:c>
      <x:c r="E513" s="57" t="str">
        <x:v>Current national federation course register</x:v>
      </x:c>
      <x:c r="F513" s="57" t="str">
        <x:v>2026-08-15</x:v>
      </x:c>
      <x:c r="G513" s="14" t="str">
        <x:v>Current NGF/GOLF.NL listing: 9 holes, par 27, 952 metres. Listed as qualifying.</x:v>
      </x:c>
    </x:row>
    <x:row r="514">
      <x:c r="A514" s="56" t="str">
        <x:v>NL-0256</x:v>
      </x:c>
      <x:c r="B514" s="57" t="str">
        <x:v>Golfbaan Spaarnwoude — F</x:v>
      </x:c>
      <x:c r="C514" s="57" t="str">
        <x:v>Coordinates/address</x:v>
      </x:c>
      <x:c r="D514" s="57" t="str">
        <x:v>https://api.pdok.nl/bzk/locatieserver/search/v3_1/free?q=Het+Hoge+Land+2%2C+1981+LT+Velsen+Zuid&amp;fq=type%3Aadres&amp;rows=10</x:v>
      </x:c>
      <x:c r="E514" s="57" t="str">
        <x:v>Dutch BAG address point via PDOK Locatieserver</x:v>
      </x:c>
      <x:c r="F514" s="57" t="str">
        <x:v>2026-08-15</x:v>
      </x:c>
      <x:c r="G514" s="14" t="str">
        <x:v>Exact postcode-matched address point: Het Hoge Land 2, 1981LT Velsen-Zuid.</x:v>
      </x:c>
    </x:row>
    <x:row r="515">
      <x:c r="A515" s="56" t="str">
        <x:v>NL-0257</x:v>
      </x:c>
      <x:c r="B515" s="57" t="str">
        <x:v>Golfbaan Spierdijk</x:v>
      </x:c>
      <x:c r="C515" s="57" t="str">
        <x:v>Course identity/specification</x:v>
      </x:c>
      <x:c r="D515" s="57" t="str">
        <x:v>https://www.golf.nl/de-baan-op/banenzoeker/overzicht</x:v>
      </x:c>
      <x:c r="E515" s="57" t="str">
        <x:v>Current national federation course register</x:v>
      </x:c>
      <x:c r="F515" s="57" t="str">
        <x:v>2026-08-15</x:v>
      </x:c>
      <x:c r="G515" s="14" t="str">
        <x:v>Current NGF/GOLF.NL listing: 9 holes, par 36, 3000 metres. Listed as qualifying.</x:v>
      </x:c>
    </x:row>
    <x:row r="516">
      <x:c r="A516" s="56" t="str">
        <x:v>NL-0257</x:v>
      </x:c>
      <x:c r="B516" s="57" t="str">
        <x:v>Golfbaan Spierdijk</x:v>
      </x:c>
      <x:c r="C516" s="57" t="str">
        <x:v>Coordinates/address</x:v>
      </x:c>
      <x:c r="D516" s="57" t="str">
        <x:v>https://api.pdok.nl/bzk/locatieserver/search/v3_1/free?q=Spierdijkerweg+95%2C+1641+LV+Spierdijk&amp;fq=type%3Aadres&amp;rows=10</x:v>
      </x:c>
      <x:c r="E516" s="57" t="str">
        <x:v>Dutch BAG address point via PDOK Locatieserver</x:v>
      </x:c>
      <x:c r="F516" s="57" t="str">
        <x:v>2026-08-15</x:v>
      </x:c>
      <x:c r="G516" s="14" t="str">
        <x:v>Exact postcode-matched address point: Spierdijkerweg 95, 1641LV Spierdijk.</x:v>
      </x:c>
    </x:row>
    <x:row r="517">
      <x:c r="A517" s="56" t="str">
        <x:v>NL-0258</x:v>
      </x:c>
      <x:c r="B517" s="57" t="str">
        <x:v>Golfbaan Weesp</x:v>
      </x:c>
      <x:c r="C517" s="57" t="str">
        <x:v>Course identity/specification</x:v>
      </x:c>
      <x:c r="D517" s="57" t="str">
        <x:v>https://www.golf.nl/de-baan-op/banenzoeker/overzicht</x:v>
      </x:c>
      <x:c r="E517" s="57" t="str">
        <x:v>Current national federation course register</x:v>
      </x:c>
      <x:c r="F517" s="57" t="str">
        <x:v>2026-08-15</x:v>
      </x:c>
      <x:c r="G517" s="14" t="str">
        <x:v>Current NGF/GOLF.NL listing: 9 holes, par 27, 1230 metres. Listed as non-qualifying.</x:v>
      </x:c>
    </x:row>
    <x:row r="518">
      <x:c r="A518" s="56" t="str">
        <x:v>NL-0258</x:v>
      </x:c>
      <x:c r="B518" s="57" t="str">
        <x:v>Golfbaan Weesp</x:v>
      </x:c>
      <x:c r="C518" s="57" t="str">
        <x:v>Coordinates/address</x:v>
      </x:c>
      <x:c r="D518" s="57" t="str">
        <x:v>https://api.pdok.nl/bzk/locatieserver/search/v3_1/free?q=Basisweg+2%2C+1383+NC+Weesp&amp;fq=type%3Aadres&amp;rows=10</x:v>
      </x:c>
      <x:c r="E518" s="57" t="str">
        <x:v>Dutch BAG address point via PDOK Locatieserver</x:v>
      </x:c>
      <x:c r="F518" s="57" t="str">
        <x:v>2026-08-15</x:v>
      </x:c>
      <x:c r="G518" s="14" t="str">
        <x:v>Exact postcode-matched address point: Basisweg 2, 1383NC Weesp.</x:v>
      </x:c>
    </x:row>
    <x:row r="519">
      <x:c r="A519" s="56" t="str">
        <x:v>NL-0259</x:v>
      </x:c>
      <x:c r="B519" s="57" t="str">
        <x:v>Golfbaan Westwoud — Main Course</x:v>
      </x:c>
      <x:c r="C519" s="57" t="str">
        <x:v>Course identity/specification</x:v>
      </x:c>
      <x:c r="D519" s="57" t="str">
        <x:v>https://www.golf.nl/de-baan-op/banenzoeker/overzicht</x:v>
      </x:c>
      <x:c r="E519" s="57" t="str">
        <x:v>Current national federation course register</x:v>
      </x:c>
      <x:c r="F519" s="57" t="str">
        <x:v>2026-08-15</x:v>
      </x:c>
      <x:c r="G519" s="14" t="str">
        <x:v>Current NGF/GOLF.NL listing: 18 holes, par 71, 5941 metres. Combined from exact NGF-listed constituent nine-hole loops: 1ste negen (9 holes, par 36, 3134 m); 2de negen (9 holes, par 35, 2807 m) Listed as qualifying.</x:v>
      </x:c>
    </x:row>
    <x:row r="520">
      <x:c r="A520" s="56" t="str">
        <x:v>NL-0259</x:v>
      </x:c>
      <x:c r="B520" s="57" t="str">
        <x:v>Golfbaan Westwoud — Main Course</x:v>
      </x:c>
      <x:c r="C520" s="57" t="str">
        <x:v>Coordinates/address</x:v>
      </x:c>
      <x:c r="D520" s="57" t="str">
        <x:v>https://api.pdok.nl/bzk/locatieserver/search/v3_1/free?q=Zittend+19%2C+1617+KS+Westwoud&amp;fq=type%3Aadres&amp;rows=10</x:v>
      </x:c>
      <x:c r="E520" s="57" t="str">
        <x:v>Dutch BAG address point via PDOK Locatieserver</x:v>
      </x:c>
      <x:c r="F520" s="57" t="str">
        <x:v>2026-08-15</x:v>
      </x:c>
      <x:c r="G520" s="14" t="str">
        <x:v>Exact postcode-matched address point: Zittend 19, 1617KS Westwoud.</x:v>
      </x:c>
    </x:row>
    <x:row r="521">
      <x:c r="A521" s="56" t="str">
        <x:v>NL-0260</x:v>
      </x:c>
      <x:c r="B521" s="57" t="str">
        <x:v>Golfcenter Uithoorn</x:v>
      </x:c>
      <x:c r="C521" s="57" t="str">
        <x:v>Course identity/specification</x:v>
      </x:c>
      <x:c r="D521" s="57" t="str">
        <x:v>https://www.golf.nl/de-baan-op/banenzoeker/overzicht</x:v>
      </x:c>
      <x:c r="E521" s="57" t="str">
        <x:v>Current national federation course register</x:v>
      </x:c>
      <x:c r="F521" s="57" t="str">
        <x:v>2026-08-15</x:v>
      </x:c>
      <x:c r="G521" s="14" t="str">
        <x:v>Current NGF/GOLF.NL listing: 9 holes, par 27, 764 metres. Listed as qualifying.</x:v>
      </x:c>
    </x:row>
    <x:row r="522">
      <x:c r="A522" s="56" t="str">
        <x:v>NL-0260</x:v>
      </x:c>
      <x:c r="B522" s="57" t="str">
        <x:v>Golfcenter Uithoorn</x:v>
      </x:c>
      <x:c r="C522" s="57" t="str">
        <x:v>Coordinates/address</x:v>
      </x:c>
      <x:c r="D522" s="57" t="str">
        <x:v>https://api.pdok.nl/bzk/locatieserver/search/v3_1/free?q=Noordammerweg+30%2C+1424+NX+Uithoorn&amp;fq=type%3Aadres&amp;rows=10</x:v>
      </x:c>
      <x:c r="E522" s="57" t="str">
        <x:v>Dutch BAG address point via PDOK Locatieserver</x:v>
      </x:c>
      <x:c r="F522" s="57" t="str">
        <x:v>2026-08-15</x:v>
      </x:c>
      <x:c r="G522" s="14" t="str">
        <x:v>Exact postcode-matched address point: Noorddammerweg 30, 1424NX De Kwakel.</x:v>
      </x:c>
    </x:row>
    <x:row r="523">
      <x:c r="A523" s="56" t="str">
        <x:v>NL-0261</x:v>
      </x:c>
      <x:c r="B523" s="57" t="str">
        <x:v>Golfclub 't Jagerspaadje</x:v>
      </x:c>
      <x:c r="C523" s="57" t="str">
        <x:v>Course identity/specification</x:v>
      </x:c>
      <x:c r="D523" s="57" t="str">
        <x:v>https://www.golf.nl/de-baan-op/banenzoeker/overzicht</x:v>
      </x:c>
      <x:c r="E523" s="57" t="str">
        <x:v>Current national federation course register</x:v>
      </x:c>
      <x:c r="F523" s="57" t="str">
        <x:v>2026-08-15</x:v>
      </x:c>
      <x:c r="G523" s="14" t="str">
        <x:v>Current NGF/GOLF.NL listing: 9 holes, par 30, 1400 metres. Listed as qualifying.</x:v>
      </x:c>
    </x:row>
    <x:row r="524">
      <x:c r="A524" s="56" t="str">
        <x:v>NL-0261</x:v>
      </x:c>
      <x:c r="B524" s="57" t="str">
        <x:v>Golfclub 't Jagerspaadje</x:v>
      </x:c>
      <x:c r="C524" s="57" t="str">
        <x:v>Coordinates/address</x:v>
      </x:c>
      <x:c r="D524" s="57" t="str">
        <x:v>https://api.pdok.nl/bzk/locatieserver/search/v3_1/free?q=Corversbos+Beresteinseweg+150%2C+1217+TM+Hilversum&amp;fq=type%3Aadres&amp;rows=10</x:v>
      </x:c>
      <x:c r="E524" s="57" t="str">
        <x:v>Dutch BAG address point via PDOK Locatieserver</x:v>
      </x:c>
      <x:c r="F524" s="57" t="str">
        <x:v>2026-08-15</x:v>
      </x:c>
      <x:c r="G524" s="14" t="str">
        <x:v>Exact postcode-matched address point: Beresteinseweg 150, 1217TM Hilversum.</x:v>
      </x:c>
    </x:row>
    <x:row r="525">
      <x:c r="A525" s="56" t="str">
        <x:v>NL-0262</x:v>
      </x:c>
      <x:c r="B525" s="57" t="str">
        <x:v>Golfclub Amsterdam Old Course</x:v>
      </x:c>
      <x:c r="C525" s="57" t="str">
        <x:v>Course identity/specification</x:v>
      </x:c>
      <x:c r="D525" s="57" t="str">
        <x:v>https://www.golf.nl/de-baan-op/banenzoeker/overzicht</x:v>
      </x:c>
      <x:c r="E525" s="57" t="str">
        <x:v>Current national federation course register</x:v>
      </x:c>
      <x:c r="F525" s="57" t="str">
        <x:v>2026-08-15</x:v>
      </x:c>
      <x:c r="G525" s="14" t="str">
        <x:v>Current NGF/GOLF.NL listing: 9 holes, par 36, 2565 metres. Listed as qualifying.</x:v>
      </x:c>
    </x:row>
    <x:row r="526">
      <x:c r="A526" s="56" t="str">
        <x:v>NL-0262</x:v>
      </x:c>
      <x:c r="B526" s="57" t="str">
        <x:v>Golfclub Amsterdam Old Course</x:v>
      </x:c>
      <x:c r="C526" s="57" t="str">
        <x:v>Coordinates/address</x:v>
      </x:c>
      <x:c r="D526" s="57" t="str">
        <x:v>https://api.pdok.nl/bzk/locatieserver/search/v3_1/free?q=Zwarte+Laantje+4%2C+1114+BA+Amsterdam-Duivendrecht&amp;fq=type%3Aadres&amp;rows=10</x:v>
      </x:c>
      <x:c r="E526" s="57" t="str">
        <x:v>Dutch BAG address point via PDOK Locatieserver</x:v>
      </x:c>
      <x:c r="F526" s="57" t="str">
        <x:v>2026-08-15</x:v>
      </x:c>
      <x:c r="G526" s="14" t="str">
        <x:v>Exact postcode-matched address point: Zwartelaantje 4, 1114BA Amsterdam-Duivendrecht.</x:v>
      </x:c>
    </x:row>
    <x:row r="527">
      <x:c r="A527" s="56" t="str">
        <x:v>NL-0263</x:v>
      </x:c>
      <x:c r="B527" s="57" t="str">
        <x:v>Golfclub Houtrak — Noord</x:v>
      </x:c>
      <x:c r="C527" s="57" t="str">
        <x:v>Course identity/specification</x:v>
      </x:c>
      <x:c r="D527" s="57" t="str">
        <x:v>https://www.golf.nl/de-baan-op/banenzoeker/overzicht</x:v>
      </x:c>
      <x:c r="E527" s="57" t="str">
        <x:v>Current national federation course register</x:v>
      </x:c>
      <x:c r="F527" s="57" t="str">
        <x:v>2026-08-15</x:v>
      </x:c>
      <x:c r="G527" s="14" t="str">
        <x:v>Current NGF/GOLF.NL listing: 9 holes, par 36, 3299 metres. Listed as qualifying.</x:v>
      </x:c>
    </x:row>
    <x:row r="528">
      <x:c r="A528" s="56" t="str">
        <x:v>NL-0263</x:v>
      </x:c>
      <x:c r="B528" s="57" t="str">
        <x:v>Golfclub Houtrak — Noord</x:v>
      </x:c>
      <x:c r="C528" s="57" t="str">
        <x:v>Coordinates/address</x:v>
      </x:c>
      <x:c r="D528" s="57" t="str">
        <x:v>https://api.pdok.nl/bzk/locatieserver/search/v3_1/free?q=Machineweg+1b%2C+1165+NB+Halfweg&amp;fq=type%3Aadres&amp;rows=10</x:v>
      </x:c>
      <x:c r="E528" s="57" t="str">
        <x:v>Dutch BAG address point via PDOK Locatieserver</x:v>
      </x:c>
      <x:c r="F528" s="57" t="str">
        <x:v>2026-08-15</x:v>
      </x:c>
      <x:c r="G528" s="14" t="str">
        <x:v>Exact postcode-matched address point: Machineweg 1a, 1165NB Halfweg.</x:v>
      </x:c>
    </x:row>
    <x:row r="529">
      <x:c r="A529" s="56" t="str">
        <x:v>NL-0264</x:v>
      </x:c>
      <x:c r="B529" s="57" t="str">
        <x:v>Golfclub Houtrak — Zuid</x:v>
      </x:c>
      <x:c r="C529" s="57" t="str">
        <x:v>Course identity/specification</x:v>
      </x:c>
      <x:c r="D529" s="57" t="str">
        <x:v>https://www.golf.nl/de-baan-op/banenzoeker/overzicht</x:v>
      </x:c>
      <x:c r="E529" s="57" t="str">
        <x:v>Current national federation course register</x:v>
      </x:c>
      <x:c r="F529" s="57" t="str">
        <x:v>2026-08-15</x:v>
      </x:c>
      <x:c r="G529" s="14" t="str">
        <x:v>Current NGF/GOLF.NL listing: 9 holes, par 36, 3203 metres. Listed as qualifying.</x:v>
      </x:c>
    </x:row>
    <x:row r="530">
      <x:c r="A530" s="56" t="str">
        <x:v>NL-0264</x:v>
      </x:c>
      <x:c r="B530" s="57" t="str">
        <x:v>Golfclub Houtrak — Zuid</x:v>
      </x:c>
      <x:c r="C530" s="57" t="str">
        <x:v>Coordinates/address</x:v>
      </x:c>
      <x:c r="D530" s="57" t="str">
        <x:v>https://api.pdok.nl/bzk/locatieserver/search/v3_1/free?q=Machineweg+1b%2C+1165+NB+Halfweg&amp;fq=type%3Aadres&amp;rows=10</x:v>
      </x:c>
      <x:c r="E530" s="57" t="str">
        <x:v>Dutch BAG address point via PDOK Locatieserver</x:v>
      </x:c>
      <x:c r="F530" s="57" t="str">
        <x:v>2026-08-15</x:v>
      </x:c>
      <x:c r="G530" s="14" t="str">
        <x:v>Exact postcode-matched address point: Machineweg 1a, 1165NB Halfweg.</x:v>
      </x:c>
    </x:row>
    <x:row r="531">
      <x:c r="A531" s="56" t="str">
        <x:v>NL-0265</x:v>
      </x:c>
      <x:c r="B531" s="57" t="str">
        <x:v>Golfclub Mariënweide</x:v>
      </x:c>
      <x:c r="C531" s="57" t="str">
        <x:v>Course identity/specification</x:v>
      </x:c>
      <x:c r="D531" s="57" t="str">
        <x:v>https://www.golf.nl/de-baan-op/banenzoeker/overzicht</x:v>
      </x:c>
      <x:c r="E531" s="57" t="str">
        <x:v>Current national federation course register</x:v>
      </x:c>
      <x:c r="F531" s="57" t="str">
        <x:v>2026-08-15</x:v>
      </x:c>
      <x:c r="G531" s="14" t="str">
        <x:v>Current NGF/GOLF.NL listing: 9 holes, par 27, 1022 metres. Listed as qualifying.</x:v>
      </x:c>
    </x:row>
    <x:row r="532">
      <x:c r="A532" s="56" t="str">
        <x:v>NL-0265</x:v>
      </x:c>
      <x:c r="B532" s="57" t="str">
        <x:v>Golfclub Mariënweide</x:v>
      </x:c>
      <x:c r="C532" s="57" t="str">
        <x:v>Coordinates/address</x:v>
      </x:c>
      <x:c r="D532" s="57" t="str">
        <x:v>https://api.pdok.nl/bzk/locatieserver/search/v3_1/free?q=Zwaluwenweg+11%2C+2111+HC+Aerdenhout&amp;fq=type%3Aadres&amp;rows=10</x:v>
      </x:c>
      <x:c r="E532" s="57" t="str">
        <x:v>Dutch BAG address point via PDOK Locatieserver</x:v>
      </x:c>
      <x:c r="F532" s="57" t="str">
        <x:v>2026-08-15</x:v>
      </x:c>
      <x:c r="G532" s="14" t="str">
        <x:v>Exact postcode-matched address point: Zwaluwenweg 11, 2111HC Aerdenhout.</x:v>
      </x:c>
    </x:row>
    <x:row r="533">
      <x:c r="A533" s="56" t="str">
        <x:v>NL-0266</x:v>
      </x:c>
      <x:c r="B533" s="57" t="str">
        <x:v>Golfclub Ooghduyne — Familiebaan</x:v>
      </x:c>
      <x:c r="C533" s="57" t="str">
        <x:v>Course identity/specification</x:v>
      </x:c>
      <x:c r="D533" s="57" t="str">
        <x:v>https://www.golf.nl/de-baan-op/banenzoeker/overzicht</x:v>
      </x:c>
      <x:c r="E533" s="57" t="str">
        <x:v>Current national federation course register</x:v>
      </x:c>
      <x:c r="F533" s="57" t="str">
        <x:v>2026-08-15</x:v>
      </x:c>
      <x:c r="G533" s="14" t="str">
        <x:v>Current NGF/GOLF.NL listing: 9 holes, par 27, 496 metres. Listed as non-qualifying.</x:v>
      </x:c>
    </x:row>
    <x:row r="534">
      <x:c r="A534" s="56" t="str">
        <x:v>NL-0266</x:v>
      </x:c>
      <x:c r="B534" s="57" t="str">
        <x:v>Golfclub Ooghduyne — Familiebaan</x:v>
      </x:c>
      <x:c r="C534" s="57" t="str">
        <x:v>Coordinates/address</x:v>
      </x:c>
      <x:c r="D534" s="57" t="str">
        <x:v>https://api.pdok.nl/bzk/locatieserver/search/v3_1/free?q=Ooghduyne+1%2C+1787+PS+Julianadorp+Aan+Zee&amp;fq=type%3Aadres&amp;rows=10</x:v>
      </x:c>
      <x:c r="E534" s="57" t="str">
        <x:v>Dutch BAG address point via PDOK Locatieserver</x:v>
      </x:c>
      <x:c r="F534" s="57" t="str">
        <x:v>2026-08-15</x:v>
      </x:c>
      <x:c r="G534" s="14" t="str">
        <x:v>Exact postcode-matched address point: Ooghduyne 1A, 1787PS Julianadorp.</x:v>
      </x:c>
    </x:row>
    <x:row r="535">
      <x:c r="A535" s="56" t="str">
        <x:v>NL-0267</x:v>
      </x:c>
      <x:c r="B535" s="57" t="str">
        <x:v>Golfclub Ooghduyne — Main Course</x:v>
      </x:c>
      <x:c r="C535" s="57" t="str">
        <x:v>Course identity/specification</x:v>
      </x:c>
      <x:c r="D535" s="57" t="str">
        <x:v>https://www.golf.nl/de-baan-op/banenzoeker/overzicht</x:v>
      </x:c>
      <x:c r="E535" s="57" t="str">
        <x:v>Current national federation course register</x:v>
      </x:c>
      <x:c r="F535" s="57" t="str">
        <x:v>2026-08-15</x:v>
      </x:c>
      <x:c r="G535" s="14" t="str">
        <x:v>Current NGF/GOLF.NL listing: 9 holes, par 35, 2765 metres. Listed as qualifying.</x:v>
      </x:c>
    </x:row>
    <x:row r="536">
      <x:c r="A536" s="56" t="str">
        <x:v>NL-0267</x:v>
      </x:c>
      <x:c r="B536" s="57" t="str">
        <x:v>Golfclub Ooghduyne — Main Course</x:v>
      </x:c>
      <x:c r="C536" s="57" t="str">
        <x:v>Coordinates/address</x:v>
      </x:c>
      <x:c r="D536" s="57" t="str">
        <x:v>https://api.pdok.nl/bzk/locatieserver/search/v3_1/free?q=Ooghduyne+1%2C+1787+PS+Julianadorp+Aan+Zee&amp;fq=type%3Aadres&amp;rows=10</x:v>
      </x:c>
      <x:c r="E536" s="57" t="str">
        <x:v>Dutch BAG address point via PDOK Locatieserver</x:v>
      </x:c>
      <x:c r="F536" s="57" t="str">
        <x:v>2026-08-15</x:v>
      </x:c>
      <x:c r="G536" s="14" t="str">
        <x:v>Exact postcode-matched address point: Ooghduyne 1A, 1787PS Julianadorp.</x:v>
      </x:c>
    </x:row>
    <x:row r="537">
      <x:c r="A537" s="56" t="str">
        <x:v>NL-0268</x:v>
      </x:c>
      <x:c r="B537" s="57" t="str">
        <x:v>Golfclub Ookmeer</x:v>
      </x:c>
      <x:c r="C537" s="57" t="str">
        <x:v>Course identity/specification</x:v>
      </x:c>
      <x:c r="D537" s="57" t="str">
        <x:v>https://www.golf.nl/de-baan-op/banenzoeker/overzicht</x:v>
      </x:c>
      <x:c r="E537" s="57" t="str">
        <x:v>Current national federation course register</x:v>
      </x:c>
      <x:c r="F537" s="57" t="str">
        <x:v>2026-08-15</x:v>
      </x:c>
      <x:c r="G537" s="14" t="str">
        <x:v>Current NGF/GOLF.NL listing: 9 holes, par 31, 1733 metres. Listed as qualifying.</x:v>
      </x:c>
    </x:row>
    <x:row r="538">
      <x:c r="A538" s="56" t="str">
        <x:v>NL-0268</x:v>
      </x:c>
      <x:c r="B538" s="57" t="str">
        <x:v>Golfclub Ookmeer</x:v>
      </x:c>
      <x:c r="C538" s="57" t="str">
        <x:v>Coordinates/address</x:v>
      </x:c>
      <x:c r="D538" s="57" t="str">
        <x:v>https://api.pdok.nl/bzk/locatieserver/search/v3_1/free?q=Sportpark+Ookmeer+Abe+Lenstralaan+8%2C+1067+MV+Amsterdam+Osdorp&amp;fq=type%3Aadres&amp;rows=10</x:v>
      </x:c>
      <x:c r="E538" s="57" t="str">
        <x:v>Dutch BAG address point via PDOK Locatieserver</x:v>
      </x:c>
      <x:c r="F538" s="57" t="str">
        <x:v>2026-08-15</x:v>
      </x:c>
      <x:c r="G538" s="14" t="str">
        <x:v>Exact postcode-matched address point: Abe Lenstralaan 8, 1067MV Amsterdam.</x:v>
      </x:c>
    </x:row>
    <x:row r="539">
      <x:c r="A539" s="56" t="str">
        <x:v>NL-0269</x:v>
      </x:c>
      <x:c r="B539" s="57" t="str">
        <x:v>Golfclub Sloten</x:v>
      </x:c>
      <x:c r="C539" s="57" t="str">
        <x:v>Course identity/specification</x:v>
      </x:c>
      <x:c r="D539" s="57" t="str">
        <x:v>https://www.golf.nl/de-baan-op/banenzoeker/overzicht</x:v>
      </x:c>
      <x:c r="E539" s="57" t="str">
        <x:v>Current national federation course register</x:v>
      </x:c>
      <x:c r="F539" s="57" t="str">
        <x:v>2026-08-15</x:v>
      </x:c>
      <x:c r="G539" s="14" t="str">
        <x:v>Current NGF/GOLF.NL listing: 9 holes, par 29, 1371 metres. Listed as qualifying.</x:v>
      </x:c>
    </x:row>
    <x:row r="540">
      <x:c r="A540" s="56" t="str">
        <x:v>NL-0269</x:v>
      </x:c>
      <x:c r="B540" s="57" t="str">
        <x:v>Golfclub Sloten</x:v>
      </x:c>
      <x:c r="C540" s="57" t="str">
        <x:v>Coordinates/address</x:v>
      </x:c>
      <x:c r="D540" s="57" t="str">
        <x:v>https://api.pdok.nl/bzk/locatieserver/search/v3_1/free?q=Sportpark+Sloten+Sloterweg+1045%2C+1066+CD+Amsterdam&amp;fq=type%3Aadres&amp;rows=10</x:v>
      </x:c>
      <x:c r="E540" s="57" t="str">
        <x:v>Dutch BAG address point via PDOK Locatieserver</x:v>
      </x:c>
      <x:c r="F540" s="57" t="str">
        <x:v>2026-08-15</x:v>
      </x:c>
      <x:c r="G540" s="14" t="str">
        <x:v>Exact postcode-matched address point: Sloterweg 1045, 1066CD Amsterdam.</x:v>
      </x:c>
    </x:row>
    <x:row r="541">
      <x:c r="A541" s="56" t="str">
        <x:v>NL-0270</x:v>
      </x:c>
      <x:c r="B541" s="57" t="str">
        <x:v>Golfpark De Purmer — Geel</x:v>
      </x:c>
      <x:c r="C541" s="57" t="str">
        <x:v>Course identity/specification</x:v>
      </x:c>
      <x:c r="D541" s="57" t="str">
        <x:v>https://www.golf.nl/de-baan-op/banenzoeker/overzicht</x:v>
      </x:c>
      <x:c r="E541" s="57" t="str">
        <x:v>Current national federation course register</x:v>
      </x:c>
      <x:c r="F541" s="57" t="str">
        <x:v>2026-08-15</x:v>
      </x:c>
      <x:c r="G541" s="14" t="str">
        <x:v>Current NGF/GOLF.NL listing: 9 holes, par 36, 2897 metres. Listed as qualifying.</x:v>
      </x:c>
    </x:row>
    <x:row r="542">
      <x:c r="A542" s="56" t="str">
        <x:v>NL-0270</x:v>
      </x:c>
      <x:c r="B542" s="57" t="str">
        <x:v>Golfpark De Purmer — Geel</x:v>
      </x:c>
      <x:c r="C542" s="57" t="str">
        <x:v>Coordinates/address</x:v>
      </x:c>
      <x:c r="D542" s="57" t="str">
        <x:v>https://api.pdok.nl/bzk/locatieserver/search/v3_1/free?q=Westerweg+60%2C+1445+AD+Purmerend&amp;fq=type%3Aadres&amp;rows=10</x:v>
      </x:c>
      <x:c r="E542" s="57" t="str">
        <x:v>Dutch BAG address point via PDOK Locatieserver</x:v>
      </x:c>
      <x:c r="F542" s="57" t="str">
        <x:v>2026-08-15</x:v>
      </x:c>
      <x:c r="G542" s="14" t="str">
        <x:v>Exact postcode-matched address point: Westerweg 60, 1445AD Purmerend.</x:v>
      </x:c>
    </x:row>
    <x:row r="543">
      <x:c r="A543" s="56" t="str">
        <x:v>NL-0271</x:v>
      </x:c>
      <x:c r="B543" s="57" t="str">
        <x:v>Golfpark De Purmer — Par-3 Course</x:v>
      </x:c>
      <x:c r="C543" s="57" t="str">
        <x:v>Course identity/specification</x:v>
      </x:c>
      <x:c r="D543" s="57" t="str">
        <x:v>https://www.golf.nl/de-baan-op/banenzoeker/overzicht</x:v>
      </x:c>
      <x:c r="E543" s="57" t="str">
        <x:v>Current national federation course register</x:v>
      </x:c>
      <x:c r="F543" s="57" t="str">
        <x:v>2026-08-15</x:v>
      </x:c>
      <x:c r="G543" s="14" t="str">
        <x:v>Current NGF/GOLF.NL listing: 9 holes, par 27, 713 metres. Listed as qualifying.</x:v>
      </x:c>
    </x:row>
    <x:row r="544">
      <x:c r="A544" s="56" t="str">
        <x:v>NL-0271</x:v>
      </x:c>
      <x:c r="B544" s="57" t="str">
        <x:v>Golfpark De Purmer — Par-3 Course</x:v>
      </x:c>
      <x:c r="C544" s="57" t="str">
        <x:v>Coordinates/address</x:v>
      </x:c>
      <x:c r="D544" s="57" t="str">
        <x:v>https://api.pdok.nl/bzk/locatieserver/search/v3_1/free?q=Westerweg+60%2C+1445+AD+Purmerend&amp;fq=type%3Aadres&amp;rows=10</x:v>
      </x:c>
      <x:c r="E544" s="57" t="str">
        <x:v>Dutch BAG address point via PDOK Locatieserver</x:v>
      </x:c>
      <x:c r="F544" s="57" t="str">
        <x:v>2026-08-15</x:v>
      </x:c>
      <x:c r="G544" s="14" t="str">
        <x:v>Exact postcode-matched address point: Westerweg 60, 1445AD Purmerend.</x:v>
      </x:c>
    </x:row>
    <x:row r="545">
      <x:c r="A545" s="56" t="str">
        <x:v>NL-0272</x:v>
      </x:c>
      <x:c r="B545" s="57" t="str">
        <x:v>Golfpark De Purmer — Rood</x:v>
      </x:c>
      <x:c r="C545" s="57" t="str">
        <x:v>Course identity/specification</x:v>
      </x:c>
      <x:c r="D545" s="57" t="str">
        <x:v>https://www.golf.nl/de-baan-op/banenzoeker/overzicht</x:v>
      </x:c>
      <x:c r="E545" s="57" t="str">
        <x:v>Current national federation course register</x:v>
      </x:c>
      <x:c r="F545" s="57" t="str">
        <x:v>2026-08-15</x:v>
      </x:c>
      <x:c r="G545" s="14" t="str">
        <x:v>Current NGF/GOLF.NL listing: 9 holes, par 35, 2690 metres. Listed as qualifying.</x:v>
      </x:c>
    </x:row>
    <x:row r="546">
      <x:c r="A546" s="56" t="str">
        <x:v>NL-0272</x:v>
      </x:c>
      <x:c r="B546" s="57" t="str">
        <x:v>Golfpark De Purmer — Rood</x:v>
      </x:c>
      <x:c r="C546" s="57" t="str">
        <x:v>Coordinates/address</x:v>
      </x:c>
      <x:c r="D546" s="57" t="str">
        <x:v>https://api.pdok.nl/bzk/locatieserver/search/v3_1/free?q=Westerweg+60%2C+1445+AD+Purmerend&amp;fq=type%3Aadres&amp;rows=10</x:v>
      </x:c>
      <x:c r="E546" s="57" t="str">
        <x:v>Dutch BAG address point via PDOK Locatieserver</x:v>
      </x:c>
      <x:c r="F546" s="57" t="str">
        <x:v>2026-08-15</x:v>
      </x:c>
      <x:c r="G546" s="14" t="str">
        <x:v>Exact postcode-matched address point: Westerweg 60, 1445AD Purmerend.</x:v>
      </x:c>
    </x:row>
    <x:row r="547">
      <x:c r="A547" s="56" t="str">
        <x:v>NL-0273</x:v>
      </x:c>
      <x:c r="B547" s="57" t="str">
        <x:v>Golfpark De Purmer — Wit</x:v>
      </x:c>
      <x:c r="C547" s="57" t="str">
        <x:v>Course identity/specification</x:v>
      </x:c>
      <x:c r="D547" s="57" t="str">
        <x:v>https://www.golf.nl/de-baan-op/banenzoeker/overzicht</x:v>
      </x:c>
      <x:c r="E547" s="57" t="str">
        <x:v>Current national federation course register</x:v>
      </x:c>
      <x:c r="F547" s="57" t="str">
        <x:v>2026-08-15</x:v>
      </x:c>
      <x:c r="G547" s="14" t="str">
        <x:v>Current NGF/GOLF.NL listing: 9 holes, par 36, 3190 metres. Listed as qualifying.</x:v>
      </x:c>
    </x:row>
    <x:row r="548">
      <x:c r="A548" s="56" t="str">
        <x:v>NL-0273</x:v>
      </x:c>
      <x:c r="B548" s="57" t="str">
        <x:v>Golfpark De Purmer — Wit</x:v>
      </x:c>
      <x:c r="C548" s="57" t="str">
        <x:v>Coordinates/address</x:v>
      </x:c>
      <x:c r="D548" s="57" t="str">
        <x:v>https://api.pdok.nl/bzk/locatieserver/search/v3_1/free?q=Westerweg+60%2C+1445+AD+Purmerend&amp;fq=type%3Aadres&amp;rows=10</x:v>
      </x:c>
      <x:c r="E548" s="57" t="str">
        <x:v>Dutch BAG address point via PDOK Locatieserver</x:v>
      </x:c>
      <x:c r="F548" s="57" t="str">
        <x:v>2026-08-15</x:v>
      </x:c>
      <x:c r="G548" s="14" t="str">
        <x:v>Exact postcode-matched address point: Westerweg 60, 1445AD Purmerend.</x:v>
      </x:c>
    </x:row>
    <x:row r="549">
      <x:c r="A549" s="56" t="str">
        <x:v>NL-0274</x:v>
      </x:c>
      <x:c r="B549" s="57" t="str">
        <x:v>Golfpark Spandersbosch — Boschbaan</x:v>
      </x:c>
      <x:c r="C549" s="57" t="str">
        <x:v>Course identity/specification</x:v>
      </x:c>
      <x:c r="D549" s="57" t="str">
        <x:v>https://www.golf.nl/de-baan-op/banenzoeker/overzicht</x:v>
      </x:c>
      <x:c r="E549" s="57" t="str">
        <x:v>Current national federation course register</x:v>
      </x:c>
      <x:c r="F549" s="57" t="str">
        <x:v>2026-08-15</x:v>
      </x:c>
      <x:c r="G549" s="14" t="str">
        <x:v>Current NGF/GOLF.NL listing: 9 holes, par 32, 2074 metres. Listed as qualifying.</x:v>
      </x:c>
    </x:row>
    <x:row r="550">
      <x:c r="A550" s="56" t="str">
        <x:v>NL-0274</x:v>
      </x:c>
      <x:c r="B550" s="57" t="str">
        <x:v>Golfpark Spandersbosch — Boschbaan</x:v>
      </x:c>
      <x:c r="C550" s="57" t="str">
        <x:v>Coordinates/address</x:v>
      </x:c>
      <x:c r="D550" s="57" t="str">
        <x:v>https://api.pdok.nl/bzk/locatieserver/search/v3_1/free?q=Sportpark+Crailoo+26%2C+1222+AA+Hilversum&amp;fq=type%3Aadres&amp;rows=10</x:v>
      </x:c>
      <x:c r="E550" s="57" t="str">
        <x:v>Dutch BAG address point via PDOK Locatieserver</x:v>
      </x:c>
      <x:c r="F550" s="57" t="str">
        <x:v>2026-08-15</x:v>
      </x:c>
      <x:c r="G550" s="14" t="str">
        <x:v>Exact postcode-matched address point: Sportpark Crailoo 26A, 1222AA Hilversum.</x:v>
      </x:c>
    </x:row>
    <x:row r="551">
      <x:c r="A551" s="56" t="str">
        <x:v>NL-0275</x:v>
      </x:c>
      <x:c r="B551" s="57" t="str">
        <x:v>Golfpark Spandersbosch — Crailoobaan</x:v>
      </x:c>
      <x:c r="C551" s="57" t="str">
        <x:v>Course identity/specification</x:v>
      </x:c>
      <x:c r="D551" s="57" t="str">
        <x:v>https://www.golf.nl/de-baan-op/banenzoeker/overzicht</x:v>
      </x:c>
      <x:c r="E551" s="57" t="str">
        <x:v>Current national federation course register</x:v>
      </x:c>
      <x:c r="F551" s="57" t="str">
        <x:v>2026-08-15</x:v>
      </x:c>
      <x:c r="G551" s="14" t="str">
        <x:v>Current NGF/GOLF.NL listing: 9 holes, par 27, 927 metres. Listed as qualifying.</x:v>
      </x:c>
    </x:row>
    <x:row r="552">
      <x:c r="A552" s="56" t="str">
        <x:v>NL-0275</x:v>
      </x:c>
      <x:c r="B552" s="57" t="str">
        <x:v>Golfpark Spandersbosch — Crailoobaan</x:v>
      </x:c>
      <x:c r="C552" s="57" t="str">
        <x:v>Coordinates/address</x:v>
      </x:c>
      <x:c r="D552" s="57" t="str">
        <x:v>https://api.pdok.nl/bzk/locatieserver/search/v3_1/free?q=Sportpark+Crailoo+26%2C+1222+AA+Hilversum&amp;fq=type%3Aadres&amp;rows=10</x:v>
      </x:c>
      <x:c r="E552" s="57" t="str">
        <x:v>Dutch BAG address point via PDOK Locatieserver</x:v>
      </x:c>
      <x:c r="F552" s="57" t="str">
        <x:v>2026-08-15</x:v>
      </x:c>
      <x:c r="G552" s="14" t="str">
        <x:v>Exact postcode-matched address point: Sportpark Crailoo 26A, 1222AA Hilversum.</x:v>
      </x:c>
    </x:row>
    <x:row r="553">
      <x:c r="A553" s="56" t="str">
        <x:v>NL-0276</x:v>
      </x:c>
      <x:c r="B553" s="57" t="str">
        <x:v>Golfvereniging A.M.V.J. — Polderbaan</x:v>
      </x:c>
      <x:c r="C553" s="57" t="str">
        <x:v>Course identity/specification</x:v>
      </x:c>
      <x:c r="D553" s="57" t="str">
        <x:v>https://www.golf.nl/de-baan-op/banenzoeker/overzicht</x:v>
      </x:c>
      <x:c r="E553" s="57" t="str">
        <x:v>Current national federation course register</x:v>
      </x:c>
      <x:c r="F553" s="57" t="str">
        <x:v>2026-08-15</x:v>
      </x:c>
      <x:c r="G553" s="14" t="str">
        <x:v>Current NGF/GOLF.NL listing: 9 holes, par 28, 1200 metres. Listed as qualifying.</x:v>
      </x:c>
    </x:row>
    <x:row r="554">
      <x:c r="A554" s="56" t="str">
        <x:v>NL-0276</x:v>
      </x:c>
      <x:c r="B554" s="57" t="str">
        <x:v>Golfvereniging A.M.V.J. — Polderbaan</x:v>
      </x:c>
      <x:c r="C554" s="57" t="str">
        <x:v>Coordinates/address</x:v>
      </x:c>
      <x:c r="D554" s="57" t="str">
        <x:v>https://api.pdok.nl/bzk/locatieserver/search/v3_1/free?q=Sportpark+Het+Loopveld+Aanloop+3%2C+1183+SZ+Amstelveen&amp;fq=type%3Aadres&amp;rows=10</x:v>
      </x:c>
      <x:c r="E554" s="57" t="str">
        <x:v>Dutch BAG address point via PDOK Locatieserver</x:v>
      </x:c>
      <x:c r="F554" s="57" t="str">
        <x:v>2026-08-15</x:v>
      </x:c>
      <x:c r="G554" s="14" t="str">
        <x:v>Exact postcode-matched address point: Aanloop 3, 1183SZ Amstelveen.</x:v>
      </x:c>
    </x:row>
    <x:row r="555">
      <x:c r="A555" s="56" t="str">
        <x:v>NL-0277</x:v>
      </x:c>
      <x:c r="B555" s="57" t="str">
        <x:v>Golfvereniging A.M.V.J. — Veldenbaan</x:v>
      </x:c>
      <x:c r="C555" s="57" t="str">
        <x:v>Course identity/specification</x:v>
      </x:c>
      <x:c r="D555" s="57" t="str">
        <x:v>https://www.golf.nl/de-baan-op/banenzoeker/overzicht</x:v>
      </x:c>
      <x:c r="E555" s="57" t="str">
        <x:v>Current national federation course register</x:v>
      </x:c>
      <x:c r="F555" s="57" t="str">
        <x:v>2026-08-15</x:v>
      </x:c>
      <x:c r="G555" s="14" t="str">
        <x:v>Current NGF/GOLF.NL listing: 9 holes, par 27, 1484 metres. Listed as qualifying.</x:v>
      </x:c>
    </x:row>
    <x:row r="556">
      <x:c r="A556" s="56" t="str">
        <x:v>NL-0277</x:v>
      </x:c>
      <x:c r="B556" s="57" t="str">
        <x:v>Golfvereniging A.M.V.J. — Veldenbaan</x:v>
      </x:c>
      <x:c r="C556" s="57" t="str">
        <x:v>Coordinates/address</x:v>
      </x:c>
      <x:c r="D556" s="57" t="str">
        <x:v>https://api.pdok.nl/bzk/locatieserver/search/v3_1/free?q=Sportpark+Het+Loopveld+Aanloop+3%2C+1183+SZ+Amstelveen&amp;fq=type%3Aadres&amp;rows=10</x:v>
      </x:c>
      <x:c r="E556" s="57" t="str">
        <x:v>Dutch BAG address point via PDOK Locatieserver</x:v>
      </x:c>
      <x:c r="F556" s="57" t="str">
        <x:v>2026-08-15</x:v>
      </x:c>
      <x:c r="G556" s="14" t="str">
        <x:v>Exact postcode-matched address point: Aanloop 3, 1183SZ Amstelveen.</x:v>
      </x:c>
    </x:row>
    <x:row r="557">
      <x:c r="A557" s="56" t="str">
        <x:v>NL-0278</x:v>
      </x:c>
      <x:c r="B557" s="57" t="str">
        <x:v>Haarlemmermeersche Golfclub — Bolstra</x:v>
      </x:c>
      <x:c r="C557" s="57" t="str">
        <x:v>Course identity/specification</x:v>
      </x:c>
      <x:c r="D557" s="57" t="str">
        <x:v>https://www.golf.nl/de-baan-op/banenzoeker/overzicht</x:v>
      </x:c>
      <x:c r="E557" s="57" t="str">
        <x:v>Current national federation course register</x:v>
      </x:c>
      <x:c r="F557" s="57" t="str">
        <x:v>2026-08-15</x:v>
      </x:c>
      <x:c r="G557" s="14" t="str">
        <x:v>Current NGF/GOLF.NL listing: 9 holes, par 27, 1008 metres. Listed as qualifying.</x:v>
      </x:c>
    </x:row>
    <x:row r="558">
      <x:c r="A558" s="56" t="str">
        <x:v>NL-0278</x:v>
      </x:c>
      <x:c r="B558" s="57" t="str">
        <x:v>Haarlemmermeersche Golfclub — Bolstra</x:v>
      </x:c>
      <x:c r="C558" s="57" t="str">
        <x:v>Coordinates/address</x:v>
      </x:c>
      <x:c r="D558" s="57" t="str">
        <x:v>https://api.pdok.nl/bzk/locatieserver/search/v3_1/free?q=Spieringweg+745%2C+2142+ED+Cruquius&amp;fq=type%3Aadres&amp;rows=10</x:v>
      </x:c>
      <x:c r="E558" s="57" t="str">
        <x:v>Dutch BAG address point via PDOK Locatieserver</x:v>
      </x:c>
      <x:c r="F558" s="57" t="str">
        <x:v>2026-08-15</x:v>
      </x:c>
      <x:c r="G558" s="14" t="str">
        <x:v>Exact postcode-matched address point: Spieringweg 745, 2142ED Cruquius.</x:v>
      </x:c>
    </x:row>
    <x:row r="559">
      <x:c r="A559" s="56" t="str">
        <x:v>NL-0279</x:v>
      </x:c>
      <x:c r="B559" s="57" t="str">
        <x:v>Haarlemmermeersche Golfclub — Cruquius</x:v>
      </x:c>
      <x:c r="C559" s="57" t="str">
        <x:v>Course identity/specification</x:v>
      </x:c>
      <x:c r="D559" s="57" t="str">
        <x:v>https://www.golf.nl/de-baan-op/banenzoeker/overzicht</x:v>
      </x:c>
      <x:c r="E559" s="57" t="str">
        <x:v>Current national federation course register</x:v>
      </x:c>
      <x:c r="F559" s="57" t="str">
        <x:v>2026-08-15</x:v>
      </x:c>
      <x:c r="G559" s="14" t="str">
        <x:v>Current NGF/GOLF.NL listing: 9 holes, par 35, 2658 metres. Listed as qualifying.</x:v>
      </x:c>
    </x:row>
    <x:row r="560">
      <x:c r="A560" s="56" t="str">
        <x:v>NL-0279</x:v>
      </x:c>
      <x:c r="B560" s="57" t="str">
        <x:v>Haarlemmermeersche Golfclub — Cruquius</x:v>
      </x:c>
      <x:c r="C560" s="57" t="str">
        <x:v>Coordinates/address</x:v>
      </x:c>
      <x:c r="D560" s="57" t="str">
        <x:v>https://api.pdok.nl/bzk/locatieserver/search/v3_1/free?q=Spieringweg+745%2C+2142+ED+Cruquius&amp;fq=type%3Aadres&amp;rows=10</x:v>
      </x:c>
      <x:c r="E560" s="57" t="str">
        <x:v>Dutch BAG address point via PDOK Locatieserver</x:v>
      </x:c>
      <x:c r="F560" s="57" t="str">
        <x:v>2026-08-15</x:v>
      </x:c>
      <x:c r="G560" s="14" t="str">
        <x:v>Exact postcode-matched address point: Spieringweg 745, 2142ED Cruquius.</x:v>
      </x:c>
    </x:row>
    <x:row r="561">
      <x:c r="A561" s="56" t="str">
        <x:v>NL-0280</x:v>
      </x:c>
      <x:c r="B561" s="57" t="str">
        <x:v>Haarlemmermeersche Golfclub — Leeghwater</x:v>
      </x:c>
      <x:c r="C561" s="57" t="str">
        <x:v>Course identity/specification</x:v>
      </x:c>
      <x:c r="D561" s="57" t="str">
        <x:v>https://www.golf.nl/de-baan-op/banenzoeker/overzicht</x:v>
      </x:c>
      <x:c r="E561" s="57" t="str">
        <x:v>Current national federation course register</x:v>
      </x:c>
      <x:c r="F561" s="57" t="str">
        <x:v>2026-08-15</x:v>
      </x:c>
      <x:c r="G561" s="14" t="str">
        <x:v>Current NGF/GOLF.NL listing: 9 holes, par 36, 2950 metres. Listed as qualifying.</x:v>
      </x:c>
    </x:row>
    <x:row r="562">
      <x:c r="A562" s="56" t="str">
        <x:v>NL-0280</x:v>
      </x:c>
      <x:c r="B562" s="57" t="str">
        <x:v>Haarlemmermeersche Golfclub — Leeghwater</x:v>
      </x:c>
      <x:c r="C562" s="57" t="str">
        <x:v>Coordinates/address</x:v>
      </x:c>
      <x:c r="D562" s="57" t="str">
        <x:v>https://api.pdok.nl/bzk/locatieserver/search/v3_1/free?q=Spieringweg+745%2C+2142+ED+Cruquius&amp;fq=type%3Aadres&amp;rows=10</x:v>
      </x:c>
      <x:c r="E562" s="57" t="str">
        <x:v>Dutch BAG address point via PDOK Locatieserver</x:v>
      </x:c>
      <x:c r="F562" s="57" t="str">
        <x:v>2026-08-15</x:v>
      </x:c>
      <x:c r="G562" s="14" t="str">
        <x:v>Exact postcode-matched address point: Spieringweg 745, 2142ED Cruquius.</x:v>
      </x:c>
    </x:row>
    <x:row r="563">
      <x:c r="A563" s="56" t="str">
        <x:v>NL-0281</x:v>
      </x:c>
      <x:c r="B563" s="57" t="str">
        <x:v>Haarlemmermeersche Golfclub — Lynden</x:v>
      </x:c>
      <x:c r="C563" s="57" t="str">
        <x:v>Course identity/specification</x:v>
      </x:c>
      <x:c r="D563" s="57" t="str">
        <x:v>https://www.golf.nl/de-baan-op/banenzoeker/overzicht</x:v>
      </x:c>
      <x:c r="E563" s="57" t="str">
        <x:v>Current national federation course register</x:v>
      </x:c>
      <x:c r="F563" s="57" t="str">
        <x:v>2026-08-15</x:v>
      </x:c>
      <x:c r="G563" s="14" t="str">
        <x:v>Current NGF/GOLF.NL listing: 9 holes, par 37, 2976 metres. Listed as qualifying.</x:v>
      </x:c>
    </x:row>
    <x:row r="564">
      <x:c r="A564" s="56" t="str">
        <x:v>NL-0281</x:v>
      </x:c>
      <x:c r="B564" s="57" t="str">
        <x:v>Haarlemmermeersche Golfclub — Lynden</x:v>
      </x:c>
      <x:c r="C564" s="57" t="str">
        <x:v>Coordinates/address</x:v>
      </x:c>
      <x:c r="D564" s="57" t="str">
        <x:v>https://api.pdok.nl/bzk/locatieserver/search/v3_1/free?q=Spieringweg+745%2C+2142+ED+Cruquius&amp;fq=type%3Aadres&amp;rows=10</x:v>
      </x:c>
      <x:c r="E564" s="57" t="str">
        <x:v>Dutch BAG address point via PDOK Locatieserver</x:v>
      </x:c>
      <x:c r="F564" s="57" t="str">
        <x:v>2026-08-15</x:v>
      </x:c>
      <x:c r="G564" s="14" t="str">
        <x:v>Exact postcode-matched address point: Spieringweg 745, 2142ED Cruquius.</x:v>
      </x:c>
    </x:row>
    <x:row r="565">
      <x:c r="A565" s="56" t="str">
        <x:v>NL-0282</x:v>
      </x:c>
      <x:c r="B565" s="57" t="str">
        <x:v>Heemskerkse Golfclub — Main Course</x:v>
      </x:c>
      <x:c r="C565" s="57" t="str">
        <x:v>Course identity/specification</x:v>
      </x:c>
      <x:c r="D565" s="57" t="str">
        <x:v>https://www.golf.nl/de-baan-op/banenzoeker/overzicht</x:v>
      </x:c>
      <x:c r="E565" s="57" t="str">
        <x:v>Current national federation course register</x:v>
      </x:c>
      <x:c r="F565" s="57" t="str">
        <x:v>2026-08-15</x:v>
      </x:c>
      <x:c r="G565" s="14" t="str">
        <x:v>Current NGF/GOLF.NL listing: 18 holes, par 72, 6352 metres. Combined from exact NGF-listed constituent nine-hole loops: 1ste negen (9 holes, par 36, 3110 m); 2de negen (9 holes, par 36, 3242 m) The current official facility contact page and BAG address replace the postcode typo in the NGF overview (Communicatieweg 18, 1976 PR Heemskerk). Listed as qualifying.</x:v>
      </x:c>
    </x:row>
    <x:row r="566">
      <x:c r="A566" s="56" t="str">
        <x:v>NL-0282</x:v>
      </x:c>
      <x:c r="B566" s="57" t="str">
        <x:v>Heemskerkse Golfclub — Main Course</x:v>
      </x:c>
      <x:c r="C566" s="57" t="str">
        <x:v>Coordinates/address</x:v>
      </x:c>
      <x:c r="D566" s="57" t="str">
        <x:v>https://api.pdok.nl/bzk/locatieserver/search/v3_1/free?q=Communicatieweg+18%2C+1967+PR+Heemskerk&amp;fq=type%3Aadres&amp;rows=10</x:v>
      </x:c>
      <x:c r="E566" s="57" t="str">
        <x:v>Dutch BAG address point via PDOK Locatieserver</x:v>
      </x:c>
      <x:c r="F566" s="57" t="str">
        <x:v>2026-08-15</x:v>
      </x:c>
      <x:c r="G566" s="14" t="str">
        <x:v>Exact postcode-matched address point: Communicatieweg 18, 1967PR Heemskerk. Corrected address verified on the facility's current contact page: https://www.heemskerksegolfclub.nl/contact/.</x:v>
      </x:c>
    </x:row>
    <x:row r="567">
      <x:c r="A567" s="56" t="str">
        <x:v>NL-0283</x:v>
      </x:c>
      <x:c r="B567" s="57" t="str">
        <x:v>Heemskerkse Golfclub — Par-3 Course</x:v>
      </x:c>
      <x:c r="C567" s="57" t="str">
        <x:v>Course identity/specification</x:v>
      </x:c>
      <x:c r="D567" s="57" t="str">
        <x:v>https://www.golf.nl/de-baan-op/banenzoeker/overzicht</x:v>
      </x:c>
      <x:c r="E567" s="57" t="str">
        <x:v>Current national federation course register</x:v>
      </x:c>
      <x:c r="F567" s="57" t="str">
        <x:v>2026-08-15</x:v>
      </x:c>
      <x:c r="G567" s="14" t="str">
        <x:v>Current NGF/GOLF.NL listing: 9 holes, par 27, 1081 metres. The current official facility contact page and BAG address replace the postcode typo in the NGF overview (Communicatieweg 18, 1976 PR Heemskerk). Listed as qualifying.</x:v>
      </x:c>
    </x:row>
    <x:row r="568">
      <x:c r="A568" s="56" t="str">
        <x:v>NL-0283</x:v>
      </x:c>
      <x:c r="B568" s="57" t="str">
        <x:v>Heemskerkse Golfclub — Par-3 Course</x:v>
      </x:c>
      <x:c r="C568" s="57" t="str">
        <x:v>Coordinates/address</x:v>
      </x:c>
      <x:c r="D568" s="57" t="str">
        <x:v>https://api.pdok.nl/bzk/locatieserver/search/v3_1/free?q=Communicatieweg+18%2C+1967+PR+Heemskerk&amp;fq=type%3Aadres&amp;rows=10</x:v>
      </x:c>
      <x:c r="E568" s="57" t="str">
        <x:v>Dutch BAG address point via PDOK Locatieserver</x:v>
      </x:c>
      <x:c r="F568" s="57" t="str">
        <x:v>2026-08-15</x:v>
      </x:c>
      <x:c r="G568" s="14" t="str">
        <x:v>Exact postcode-matched address point: Communicatieweg 18, 1967PR Heemskerk. Corrected address verified on the facility's current contact page: https://www.heemskerksegolfclub.nl/contact/.</x:v>
      </x:c>
    </x:row>
    <x:row r="569">
      <x:c r="A569" s="56" t="str">
        <x:v>NL-0284</x:v>
      </x:c>
      <x:c r="B569" s="57" t="str">
        <x:v>Hilversumsche Golf Club — Main Course</x:v>
      </x:c>
      <x:c r="C569" s="57" t="str">
        <x:v>Course identity/specification</x:v>
      </x:c>
      <x:c r="D569" s="57" t="str">
        <x:v>https://www.golf.nl/de-baan-op/banenzoeker/overzicht</x:v>
      </x:c>
      <x:c r="E569" s="57" t="str">
        <x:v>Current national federation course register</x:v>
      </x:c>
      <x:c r="F569" s="57" t="str">
        <x:v>2026-08-15</x:v>
      </x:c>
      <x:c r="G569" s="14" t="str">
        <x:v>Current NGF/GOLF.NL listing: 18 holes, par 72, 6303 metres. Combined from exact NGF-listed constituent nine-hole loops: 1ste negen (9 holes, par 36, 3201 m); 2de negen (9 holes, par 36, 3102 m) Listed as qualifying.</x:v>
      </x:c>
    </x:row>
    <x:row r="570">
      <x:c r="A570" s="56" t="str">
        <x:v>NL-0284</x:v>
      </x:c>
      <x:c r="B570" s="57" t="str">
        <x:v>Hilversumsche Golf Club — Main Course</x:v>
      </x:c>
      <x:c r="C570" s="57" t="str">
        <x:v>Coordinates/address</x:v>
      </x:c>
      <x:c r="D570" s="57" t="str">
        <x:v>https://api.pdok.nl/bzk/locatieserver/search/v3_1/free?q=Soestdijkerstraatweg+172%2C+1213+XJ+Hilversum&amp;fq=type%3Aadres&amp;rows=10</x:v>
      </x:c>
      <x:c r="E570" s="57" t="str">
        <x:v>Dutch BAG address point via PDOK Locatieserver</x:v>
      </x:c>
      <x:c r="F570" s="57" t="str">
        <x:v>2026-08-15</x:v>
      </x:c>
      <x:c r="G570" s="14" t="str">
        <x:v>Exact postcode-matched address point: Soestdijkerstraatweg 172, 1213XJ Hilversum.</x:v>
      </x:c>
    </x:row>
    <x:row r="571">
      <x:c r="A571" s="56" t="str">
        <x:v>NL-0285</x:v>
      </x:c>
      <x:c r="B571" s="57" t="str">
        <x:v>Kennemer Golf &amp; Country Club — A-course</x:v>
      </x:c>
      <x:c r="C571" s="57" t="str">
        <x:v>Course identity/specification</x:v>
      </x:c>
      <x:c r="D571" s="57" t="str">
        <x:v>https://www.golf.nl/de-baan-op/banenzoeker/overzicht</x:v>
      </x:c>
      <x:c r="E571" s="57" t="str">
        <x:v>Current national federation course register</x:v>
      </x:c>
      <x:c r="F571" s="57" t="str">
        <x:v>2026-08-15</x:v>
      </x:c>
      <x:c r="G571" s="14" t="str">
        <x:v>Current NGF/GOLF.NL listing: 9 holes, par 36, 3233 metres. Listed as qualifying.</x:v>
      </x:c>
    </x:row>
    <x:row r="572">
      <x:c r="A572" s="56" t="str">
        <x:v>NL-0285</x:v>
      </x:c>
      <x:c r="B572" s="57" t="str">
        <x:v>Kennemer Golf &amp; Country Club — A-course</x:v>
      </x:c>
      <x:c r="C572" s="57" t="str">
        <x:v>Coordinates/address</x:v>
      </x:c>
      <x:c r="D572" s="57" t="str">
        <x:v>https://api.pdok.nl/bzk/locatieserver/search/v3_1/free?q=Kennemerweg+78%2C+2042+XT+Zandvoort&amp;fq=type%3Aadres&amp;rows=10</x:v>
      </x:c>
      <x:c r="E572" s="57" t="str">
        <x:v>Dutch BAG address point via PDOK Locatieserver</x:v>
      </x:c>
      <x:c r="F572" s="57" t="str">
        <x:v>2026-08-15</x:v>
      </x:c>
      <x:c r="G572" s="14" t="str">
        <x:v>Exact postcode-matched address point: Kennemerweg 78, 2042XT Zandvoort.</x:v>
      </x:c>
    </x:row>
    <x:row r="573">
      <x:c r="A573" s="56" t="str">
        <x:v>NL-0286</x:v>
      </x:c>
      <x:c r="B573" s="57" t="str">
        <x:v>Kennemer Golf &amp; Country Club — B-course</x:v>
      </x:c>
      <x:c r="C573" s="57" t="str">
        <x:v>Course identity/specification</x:v>
      </x:c>
      <x:c r="D573" s="57" t="str">
        <x:v>https://www.golf.nl/de-baan-op/banenzoeker/overzicht</x:v>
      </x:c>
      <x:c r="E573" s="57" t="str">
        <x:v>Current national federation course register</x:v>
      </x:c>
      <x:c r="F573" s="57" t="str">
        <x:v>2026-08-15</x:v>
      </x:c>
      <x:c r="G573" s="14" t="str">
        <x:v>Current NGF/GOLF.NL listing: 9 holes, par 36, 3006 metres. Listed as qualifying.</x:v>
      </x:c>
    </x:row>
    <x:row r="574">
      <x:c r="A574" s="56" t="str">
        <x:v>NL-0286</x:v>
      </x:c>
      <x:c r="B574" s="57" t="str">
        <x:v>Kennemer Golf &amp; Country Club — B-course</x:v>
      </x:c>
      <x:c r="C574" s="57" t="str">
        <x:v>Coordinates/address</x:v>
      </x:c>
      <x:c r="D574" s="57" t="str">
        <x:v>https://api.pdok.nl/bzk/locatieserver/search/v3_1/free?q=Kennemerweg+78%2C+2042+XT+Zandvoort&amp;fq=type%3Aadres&amp;rows=10</x:v>
      </x:c>
      <x:c r="E574" s="57" t="str">
        <x:v>Dutch BAG address point via PDOK Locatieserver</x:v>
      </x:c>
      <x:c r="F574" s="57" t="str">
        <x:v>2026-08-15</x:v>
      </x:c>
      <x:c r="G574" s="14" t="str">
        <x:v>Exact postcode-matched address point: Kennemerweg 78, 2042XT Zandvoort.</x:v>
      </x:c>
    </x:row>
    <x:row r="575">
      <x:c r="A575" s="56" t="str">
        <x:v>NL-0287</x:v>
      </x:c>
      <x:c r="B575" s="57" t="str">
        <x:v>Kennemer Golf &amp; Country Club — C-course</x:v>
      </x:c>
      <x:c r="C575" s="57" t="str">
        <x:v>Course identity/specification</x:v>
      </x:c>
      <x:c r="D575" s="57" t="str">
        <x:v>https://www.golf.nl/de-baan-op/banenzoeker/overzicht</x:v>
      </x:c>
      <x:c r="E575" s="57" t="str">
        <x:v>Current national federation course register</x:v>
      </x:c>
      <x:c r="F575" s="57" t="str">
        <x:v>2026-08-15</x:v>
      </x:c>
      <x:c r="G575" s="14" t="str">
        <x:v>Current NGF/GOLF.NL listing: 9 holes, par 36, 3052 metres. Listed as qualifying.</x:v>
      </x:c>
    </x:row>
    <x:row r="576">
      <x:c r="A576" s="56" t="str">
        <x:v>NL-0287</x:v>
      </x:c>
      <x:c r="B576" s="57" t="str">
        <x:v>Kennemer Golf &amp; Country Club — C-course</x:v>
      </x:c>
      <x:c r="C576" s="57" t="str">
        <x:v>Coordinates/address</x:v>
      </x:c>
      <x:c r="D576" s="57" t="str">
        <x:v>https://api.pdok.nl/bzk/locatieserver/search/v3_1/free?q=Kennemerweg+78%2C+2042+XT+Zandvoort&amp;fq=type%3Aadres&amp;rows=10</x:v>
      </x:c>
      <x:c r="E576" s="57" t="str">
        <x:v>Dutch BAG address point via PDOK Locatieserver</x:v>
      </x:c>
      <x:c r="F576" s="57" t="str">
        <x:v>2026-08-15</x:v>
      </x:c>
      <x:c r="G576" s="14" t="str">
        <x:v>Exact postcode-matched address point: Kennemerweg 78, 2042XT Zandvoort.</x:v>
      </x:c>
    </x:row>
    <x:row r="577">
      <x:c r="A577" s="56" t="str">
        <x:v>NL-0288</x:v>
      </x:c>
      <x:c r="B577" s="57" t="str">
        <x:v>Marine Golf Club Nieuwediep</x:v>
      </x:c>
      <x:c r="C577" s="57" t="str">
        <x:v>Course identity/specification</x:v>
      </x:c>
      <x:c r="D577" s="57" t="str">
        <x:v>https://www.golf.nl/de-baan-op/banenzoeker/overzicht</x:v>
      </x:c>
      <x:c r="E577" s="57" t="str">
        <x:v>Current national federation course register</x:v>
      </x:c>
      <x:c r="F577" s="57" t="str">
        <x:v>2026-08-15</x:v>
      </x:c>
      <x:c r="G577" s="14" t="str">
        <x:v>Current NGF/GOLF.NL listing: 9 holes, par 35, 2730 metres. Listed as qualifying.</x:v>
      </x:c>
    </x:row>
    <x:row r="578">
      <x:c r="A578" s="56" t="str">
        <x:v>NL-0288</x:v>
      </x:c>
      <x:c r="B578" s="57" t="str">
        <x:v>Marine Golf Club Nieuwediep</x:v>
      </x:c>
      <x:c r="C578" s="57" t="str">
        <x:v>Coordinates/address</x:v>
      </x:c>
      <x:c r="D578" s="57" t="str">
        <x:v>https://api.pdok.nl/bzk/locatieserver/search/v3_1/free?q=Kortevliet+1-BB%2C+1786+PK+Den+Helder&amp;fq=type%3Aadres&amp;rows=10</x:v>
      </x:c>
      <x:c r="E578" s="57" t="str">
        <x:v>Dutch BAG address point via PDOK Locatieserver</x:v>
      </x:c>
      <x:c r="F578" s="57" t="str">
        <x:v>2026-08-15</x:v>
      </x:c>
      <x:c r="G578" s="14" t="str">
        <x:v>Exact postcode-matched address point: Kortevliet 1B-B, 1786PK Den Helder.</x:v>
      </x:c>
    </x:row>
    <x:row r="579">
      <x:c r="A579" s="56" t="str">
        <x:v>NL-0289</x:v>
      </x:c>
      <x:c r="B579" s="57" t="str">
        <x:v>Schaerweijde Golf</x:v>
      </x:c>
      <x:c r="C579" s="57" t="str">
        <x:v>Course identity/specification</x:v>
      </x:c>
      <x:c r="D579" s="57" t="str">
        <x:v>https://www.golf.nl/de-baan-op/banenzoeker/overzicht</x:v>
      </x:c>
      <x:c r="E579" s="57" t="str">
        <x:v>Current national federation course register</x:v>
      </x:c>
      <x:c r="F579" s="57" t="str">
        <x:v>2026-08-15</x:v>
      </x:c>
      <x:c r="G579" s="14" t="str">
        <x:v>Current NGF/GOLF.NL listing: 9 holes, par 28, 1395 metres. Listed as qualifying.</x:v>
      </x:c>
    </x:row>
    <x:row r="580">
      <x:c r="A580" s="56" t="str">
        <x:v>NL-0289</x:v>
      </x:c>
      <x:c r="B580" s="57" t="str">
        <x:v>Schaerweijde Golf</x:v>
      </x:c>
      <x:c r="C580" s="57" t="str">
        <x:v>Coordinates/address</x:v>
      </x:c>
      <x:c r="D580" s="57" t="str">
        <x:v>https://api.pdok.nl/bzk/locatieserver/search/v3_1/free?q=Hein+Bottingalaan+1%2C+3707+NX+Zeist&amp;fq=type%3Aadres&amp;rows=10</x:v>
      </x:c>
      <x:c r="E580" s="57" t="str">
        <x:v>Dutch BAG address point via PDOK Locatieserver</x:v>
      </x:c>
      <x:c r="F580" s="57" t="str">
        <x:v>2026-08-15</x:v>
      </x:c>
      <x:c r="G580" s="14" t="str">
        <x:v>Exact postcode-matched address point: Hein Bottingalaan 1, 3707NX Zeist.</x:v>
      </x:c>
    </x:row>
    <x:row r="581">
      <x:c r="A581" s="56" t="str">
        <x:v>NL-0290</x:v>
      </x:c>
      <x:c r="B581" s="57" t="str">
        <x:v>The Dunes</x:v>
      </x:c>
      <x:c r="C581" s="57" t="str">
        <x:v>Course identity/specification</x:v>
      </x:c>
      <x:c r="D581" s="57" t="str">
        <x:v>https://www.golf.nl/de-baan-op/banenzoeker/overzicht</x:v>
      </x:c>
      <x:c r="E581" s="57" t="str">
        <x:v>Current national federation course register</x:v>
      </x:c>
      <x:c r="F581" s="57" t="str">
        <x:v>2026-08-15</x:v>
      </x:c>
      <x:c r="G581" s="14" t="str">
        <x:v>Current NGF/GOLF.NL listing: 9 holes, par 29, 1412 metres. Listed as qualifying.</x:v>
      </x:c>
    </x:row>
    <x:row r="582">
      <x:c r="A582" s="56" t="str">
        <x:v>NL-0290</x:v>
      </x:c>
      <x:c r="B582" s="57" t="str">
        <x:v>The Dunes</x:v>
      </x:c>
      <x:c r="C582" s="57" t="str">
        <x:v>Coordinates/address</x:v>
      </x:c>
      <x:c r="D582" s="57" t="str">
        <x:v>https://api.pdok.nl/bzk/locatieserver/search/v3_1/free?q=Duintjesveldweg+3%2C+2041+TZ+Zandvoort&amp;fq=type%3Aadres&amp;rows=10</x:v>
      </x:c>
      <x:c r="E582" s="57" t="str">
        <x:v>Dutch BAG address point via PDOK Locatieserver</x:v>
      </x:c>
      <x:c r="F582" s="57" t="str">
        <x:v>2026-08-15</x:v>
      </x:c>
      <x:c r="G582" s="14" t="str">
        <x:v>Exact postcode-matched address point: Duintjesveldweg 3, 2041TZ Zandvoort.</x:v>
      </x:c>
    </x:row>
    <x:row r="583">
      <x:c r="A583" s="56" t="str">
        <x:v>NL-0291</x:v>
      </x:c>
      <x:c r="B583" s="57" t="str">
        <x:v>The International Golf Club — Main Course</x:v>
      </x:c>
      <x:c r="C583" s="57" t="str">
        <x:v>Course identity/specification</x:v>
      </x:c>
      <x:c r="D583" s="57" t="str">
        <x:v>https://www.golf.nl/de-baan-op/banenzoeker/overzicht</x:v>
      </x:c>
      <x:c r="E583" s="57" t="str">
        <x:v>Current national federation course register</x:v>
      </x:c>
      <x:c r="F583" s="57" t="str">
        <x:v>2026-08-15</x:v>
      </x:c>
      <x:c r="G583" s="14" t="str">
        <x:v>Current NGF/GOLF.NL listing: 18 holes, par 73, 6615 metres. Combined from exact NGF-listed constituent nine-hole loops: 1ste negen (9 holes, par 37, 3347 m); 2de negen (9 holes, par 36, 3268 m) Listed as qualifying.</x:v>
      </x:c>
    </x:row>
    <x:row r="584">
      <x:c r="A584" s="56" t="str">
        <x:v>NL-0291</x:v>
      </x:c>
      <x:c r="B584" s="57" t="str">
        <x:v>The International Golf Club — Main Course</x:v>
      </x:c>
      <x:c r="C584" s="57" t="str">
        <x:v>Coordinates/address</x:v>
      </x:c>
      <x:c r="D584" s="57" t="str">
        <x:v>https://api.pdok.nl/bzk/locatieserver/search/v3_1/free?q=Oude+Haagseweg+200%2C+1171+PE+Badhoevedorp&amp;fq=type%3Aadres&amp;rows=10</x:v>
      </x:c>
      <x:c r="E584" s="57" t="str">
        <x:v>Dutch BAG address point via PDOK Locatieserver</x:v>
      </x:c>
      <x:c r="F584" s="57" t="str">
        <x:v>2026-08-15</x:v>
      </x:c>
      <x:c r="G584" s="14" t="str">
        <x:v>Exact postcode-matched address point: Oude Haagseweg 200, 1171PE Badhoevedorp.</x:v>
      </x:c>
    </x:row>
    <x:row r="585">
      <x:c r="A585" s="56" t="str">
        <x:v>NL-0292</x:v>
      </x:c>
      <x:c r="B585" s="57" t="str">
        <x:v>Zaanse Golfclub — Main Course</x:v>
      </x:c>
      <x:c r="C585" s="57" t="str">
        <x:v>Course identity/specification</x:v>
      </x:c>
      <x:c r="D585" s="57" t="str">
        <x:v>https://www.golf.nl/de-baan-op/banenzoeker/overzicht</x:v>
      </x:c>
      <x:c r="E585" s="57" t="str">
        <x:v>Current national federation course register</x:v>
      </x:c>
      <x:c r="F585" s="57" t="str">
        <x:v>2026-08-15</x:v>
      </x:c>
      <x:c r="G585" s="14" t="str">
        <x:v>Current NGF/GOLF.NL listing: 18 holes, par 71, 5752 metres. Combined from exact NGF-listed constituent nine-hole loops: 1ste negen (9 holes, par 36, 2959 m); 2de negen (9 holes, par 35, 2793 m) Listed as qualifying.</x:v>
      </x:c>
    </x:row>
    <x:row r="586">
      <x:c r="A586" s="56" t="str">
        <x:v>NL-0292</x:v>
      </x:c>
      <x:c r="B586" s="57" t="str">
        <x:v>Zaanse Golfclub — Main Course</x:v>
      </x:c>
      <x:c r="C586" s="57" t="str">
        <x:v>Coordinates/address</x:v>
      </x:c>
      <x:c r="D586" s="57" t="str">
        <x:v>https://api.pdok.nl/bzk/locatieserver/search/v3_1/free?q=Zuiderweg+68%2C+1456+NH+Wijdewormer&amp;fq=type%3Aadres&amp;rows=10</x:v>
      </x:c>
      <x:c r="E586" s="57" t="str">
        <x:v>Dutch BAG address point via PDOK Locatieserver</x:v>
      </x:c>
      <x:c r="F586" s="57" t="str">
        <x:v>2026-08-15</x:v>
      </x:c>
      <x:c r="G586" s="14" t="str">
        <x:v>Exact postcode-matched address point: Zuiderweg 68A, 1456NH Wijdewormer.</x:v>
      </x:c>
    </x:row>
    <x:row r="587">
      <x:c r="A587" s="56" t="str">
        <x:v>NL-0293</x:v>
      </x:c>
      <x:c r="B587" s="57" t="str">
        <x:v>Dutch Golf Hattem</x:v>
      </x:c>
      <x:c r="C587" s="57" t="str">
        <x:v>Course identity/specification</x:v>
      </x:c>
      <x:c r="D587" s="57" t="str">
        <x:v>https://www.golf.nl/de-baan-op/banenzoeker/overzicht</x:v>
      </x:c>
      <x:c r="E587" s="57" t="str">
        <x:v>Current national federation course register</x:v>
      </x:c>
      <x:c r="F587" s="57" t="str">
        <x:v>2026-08-15</x:v>
      </x:c>
      <x:c r="G587" s="14" t="str">
        <x:v>Current NGF/GOLF.NL listing: 9 holes, par 30, 1336 metres. Listed as qualifying.</x:v>
      </x:c>
    </x:row>
    <x:row r="588">
      <x:c r="A588" s="56" t="str">
        <x:v>NL-0293</x:v>
      </x:c>
      <x:c r="B588" s="57" t="str">
        <x:v>Dutch Golf Hattem</x:v>
      </x:c>
      <x:c r="C588" s="57" t="str">
        <x:v>Coordinates/address</x:v>
      </x:c>
      <x:c r="D588" s="57" t="str">
        <x:v>https://api.pdok.nl/bzk/locatieserver/search/v3_1/free?q=Konijnenbergerweg+3%2C+8051+CC+Hattem&amp;fq=type%3Aadres&amp;rows=10</x:v>
      </x:c>
      <x:c r="E588" s="57" t="str">
        <x:v>Dutch BAG address point via PDOK Locatieserver</x:v>
      </x:c>
      <x:c r="F588" s="57" t="str">
        <x:v>2026-08-15</x:v>
      </x:c>
      <x:c r="G588" s="14" t="str">
        <x:v>Exact postcode-matched address point: Konijnenbergerweg 3, 8051CC Hattem.</x:v>
      </x:c>
    </x:row>
    <x:row r="589">
      <x:c r="A589" s="56" t="str">
        <x:v>NL-0294</x:v>
      </x:c>
      <x:c r="B589" s="57" t="str">
        <x:v>Golf &amp; Country Club 't Kruisselt</x:v>
      </x:c>
      <x:c r="C589" s="57" t="str">
        <x:v>Course identity/specification</x:v>
      </x:c>
      <x:c r="D589" s="57" t="str">
        <x:v>https://www.golf.nl/de-baan-op/banenzoeker/overzicht</x:v>
      </x:c>
      <x:c r="E589" s="57" t="str">
        <x:v>Current national federation course register</x:v>
      </x:c>
      <x:c r="F589" s="57" t="str">
        <x:v>2026-08-15</x:v>
      </x:c>
      <x:c r="G589" s="14" t="str">
        <x:v>Current NGF/GOLF.NL listing: 9 holes, par 27, 691 metres. Listed as qualifying.</x:v>
      </x:c>
    </x:row>
    <x:row r="590">
      <x:c r="A590" s="56" t="str">
        <x:v>NL-0294</x:v>
      </x:c>
      <x:c r="B590" s="57" t="str">
        <x:v>Golf &amp; Country Club 't Kruisselt</x:v>
      </x:c>
      <x:c r="C590" s="57" t="str">
        <x:v>Coordinates/address</x:v>
      </x:c>
      <x:c r="D590" s="57" t="str">
        <x:v>https://api.pdok.nl/bzk/locatieserver/search/v3_1/free?q=Kruisseltlaan+3%2C+7587+NM+De+Lutte&amp;fq=type%3Aadres&amp;rows=10</x:v>
      </x:c>
      <x:c r="E590" s="57" t="str">
        <x:v>Dutch BAG address point via PDOK Locatieserver</x:v>
      </x:c>
      <x:c r="F590" s="57" t="str">
        <x:v>2026-08-15</x:v>
      </x:c>
      <x:c r="G590" s="14" t="str">
        <x:v>Exact postcode-matched address point: Kruisseltlaan 3, 7587NM de Lutte.</x:v>
      </x:c>
    </x:row>
    <x:row r="591">
      <x:c r="A591" s="56" t="str">
        <x:v>NL-0295</x:v>
      </x:c>
      <x:c r="B591" s="57" t="str">
        <x:v>Golfbaan De Lage Mors</x:v>
      </x:c>
      <x:c r="C591" s="57" t="str">
        <x:v>Course identity/specification</x:v>
      </x:c>
      <x:c r="D591" s="57" t="str">
        <x:v>https://www.golf.nl/de-baan-op/banenzoeker/overzicht</x:v>
      </x:c>
      <x:c r="E591" s="57" t="str">
        <x:v>Current national federation course register</x:v>
      </x:c>
      <x:c r="F591" s="57" t="str">
        <x:v>2026-08-15</x:v>
      </x:c>
      <x:c r="G591" s="14" t="str">
        <x:v>Current NGF/GOLF.NL listing: 9 holes, par 35, 2384 metres. Listed as qualifying.</x:v>
      </x:c>
    </x:row>
    <x:row r="592">
      <x:c r="A592" s="56" t="str">
        <x:v>NL-0295</x:v>
      </x:c>
      <x:c r="B592" s="57" t="str">
        <x:v>Golfbaan De Lage Mors</x:v>
      </x:c>
      <x:c r="C592" s="57" t="str">
        <x:v>Coordinates/address</x:v>
      </x:c>
      <x:c r="D592" s="57" t="str">
        <x:v>https://api.pdok.nl/bzk/locatieserver/search/v3_1/free?q=Sportlaan+7%2C+7491+DG+Delden&amp;fq=type%3Aadres&amp;rows=10</x:v>
      </x:c>
      <x:c r="E592" s="57" t="str">
        <x:v>Dutch BAG address point via PDOK Locatieserver</x:v>
      </x:c>
      <x:c r="F592" s="57" t="str">
        <x:v>2026-08-15</x:v>
      </x:c>
      <x:c r="G592" s="14" t="str">
        <x:v>Exact postcode-matched address point: Sportlaan 7, 7491DG Delden.</x:v>
      </x:c>
    </x:row>
    <x:row r="593">
      <x:c r="A593" s="56" t="str">
        <x:v>NL-0296</x:v>
      </x:c>
      <x:c r="B593" s="57" t="str">
        <x:v>Golfbaan Het Rijk van Sybrook — Noord</x:v>
      </x:c>
      <x:c r="C593" s="57" t="str">
        <x:v>Course identity/specification</x:v>
      </x:c>
      <x:c r="D593" s="57" t="str">
        <x:v>https://www.golf.nl/de-baan-op/banenzoeker/overzicht</x:v>
      </x:c>
      <x:c r="E593" s="57" t="str">
        <x:v>Current national federation course register</x:v>
      </x:c>
      <x:c r="F593" s="57" t="str">
        <x:v>2026-08-15</x:v>
      </x:c>
      <x:c r="G593" s="14" t="str">
        <x:v>Current NGF/GOLF.NL listing: 9 holes, par 36, 3045 metres. Listed as qualifying.</x:v>
      </x:c>
    </x:row>
    <x:row r="594">
      <x:c r="A594" s="56" t="str">
        <x:v>NL-0296</x:v>
      </x:c>
      <x:c r="B594" s="57" t="str">
        <x:v>Golfbaan Het Rijk van Sybrook — Noord</x:v>
      </x:c>
      <x:c r="C594" s="57" t="str">
        <x:v>Coordinates/address</x:v>
      </x:c>
      <x:c r="D594" s="57" t="str">
        <x:v>https://api.pdok.nl/bzk/locatieserver/search/v3_1/free?q=Veendijk+100%2C+7525+PZ+Enschede&amp;fq=type%3Aadres&amp;rows=10</x:v>
      </x:c>
      <x:c r="E594" s="57" t="str">
        <x:v>Dutch BAG address point via PDOK Locatieserver</x:v>
      </x:c>
      <x:c r="F594" s="57" t="str">
        <x:v>2026-08-15</x:v>
      </x:c>
      <x:c r="G594" s="14" t="str">
        <x:v>Exact postcode-matched address point: Veendijk 100, 7525PZ Enschede.</x:v>
      </x:c>
    </x:row>
    <x:row r="595">
      <x:c r="A595" s="56" t="str">
        <x:v>NL-0297</x:v>
      </x:c>
      <x:c r="B595" s="57" t="str">
        <x:v>Golfbaan Het Rijk van Sybrook — Oost</x:v>
      </x:c>
      <x:c r="C595" s="57" t="str">
        <x:v>Course identity/specification</x:v>
      </x:c>
      <x:c r="D595" s="57" t="str">
        <x:v>https://www.golf.nl/de-baan-op/banenzoeker/overzicht</x:v>
      </x:c>
      <x:c r="E595" s="57" t="str">
        <x:v>Current national federation course register</x:v>
      </x:c>
      <x:c r="F595" s="57" t="str">
        <x:v>2026-08-15</x:v>
      </x:c>
      <x:c r="G595" s="14" t="str">
        <x:v>Current NGF/GOLF.NL listing: 9 holes, par 36, 3039 metres. Listed as qualifying.</x:v>
      </x:c>
    </x:row>
    <x:row r="596">
      <x:c r="A596" s="56" t="str">
        <x:v>NL-0297</x:v>
      </x:c>
      <x:c r="B596" s="57" t="str">
        <x:v>Golfbaan Het Rijk van Sybrook — Oost</x:v>
      </x:c>
      <x:c r="C596" s="57" t="str">
        <x:v>Coordinates/address</x:v>
      </x:c>
      <x:c r="D596" s="57" t="str">
        <x:v>https://api.pdok.nl/bzk/locatieserver/search/v3_1/free?q=Veendijk+100%2C+7525+PZ+Enschede&amp;fq=type%3Aadres&amp;rows=10</x:v>
      </x:c>
      <x:c r="E596" s="57" t="str">
        <x:v>Dutch BAG address point via PDOK Locatieserver</x:v>
      </x:c>
      <x:c r="F596" s="57" t="str">
        <x:v>2026-08-15</x:v>
      </x:c>
      <x:c r="G596" s="14" t="str">
        <x:v>Exact postcode-matched address point: Veendijk 100, 7525PZ Enschede.</x:v>
      </x:c>
    </x:row>
    <x:row r="597">
      <x:c r="A597" s="56" t="str">
        <x:v>NL-0298</x:v>
      </x:c>
      <x:c r="B597" s="57" t="str">
        <x:v>Golfbaan Het Rijk van Sybrook — Zuid</x:v>
      </x:c>
      <x:c r="C597" s="57" t="str">
        <x:v>Course identity/specification</x:v>
      </x:c>
      <x:c r="D597" s="57" t="str">
        <x:v>https://www.golf.nl/de-baan-op/banenzoeker/overzicht</x:v>
      </x:c>
      <x:c r="E597" s="57" t="str">
        <x:v>Current national federation course register</x:v>
      </x:c>
      <x:c r="F597" s="57" t="str">
        <x:v>2026-08-15</x:v>
      </x:c>
      <x:c r="G597" s="14" t="str">
        <x:v>Current NGF/GOLF.NL listing: 9 holes, par 36, 3106 metres. Listed as qualifying.</x:v>
      </x:c>
    </x:row>
    <x:row r="598">
      <x:c r="A598" s="56" t="str">
        <x:v>NL-0298</x:v>
      </x:c>
      <x:c r="B598" s="57" t="str">
        <x:v>Golfbaan Het Rijk van Sybrook — Zuid</x:v>
      </x:c>
      <x:c r="C598" s="57" t="str">
        <x:v>Coordinates/address</x:v>
      </x:c>
      <x:c r="D598" s="57" t="str">
        <x:v>https://api.pdok.nl/bzk/locatieserver/search/v3_1/free?q=Veendijk+100%2C+7525+PZ+Enschede&amp;fq=type%3Aadres&amp;rows=10</x:v>
      </x:c>
      <x:c r="E598" s="57" t="str">
        <x:v>Dutch BAG address point via PDOK Locatieserver</x:v>
      </x:c>
      <x:c r="F598" s="57" t="str">
        <x:v>2026-08-15</x:v>
      </x:c>
      <x:c r="G598" s="14" t="str">
        <x:v>Exact postcode-matched address point: Veendijk 100, 7525PZ Enschede.</x:v>
      </x:c>
    </x:row>
    <x:row r="599">
      <x:c r="A599" s="56" t="str">
        <x:v>NL-0299</x:v>
      </x:c>
      <x:c r="B599" s="57" t="str">
        <x:v>Golfclub Almelo</x:v>
      </x:c>
      <x:c r="C599" s="57" t="str">
        <x:v>Course identity/specification</x:v>
      </x:c>
      <x:c r="D599" s="57" t="str">
        <x:v>https://www.golf.nl/de-baan-op/banenzoeker/overzicht</x:v>
      </x:c>
      <x:c r="E599" s="57" t="str">
        <x:v>Current national federation course register</x:v>
      </x:c>
      <x:c r="F599" s="57" t="str">
        <x:v>2026-08-15</x:v>
      </x:c>
      <x:c r="G599" s="14" t="str">
        <x:v>Current NGF/GOLF.NL listing: 9 holes, par 30, 1377 metres. Listed as qualifying.</x:v>
      </x:c>
    </x:row>
    <x:row r="600">
      <x:c r="A600" s="56" t="str">
        <x:v>NL-0299</x:v>
      </x:c>
      <x:c r="B600" s="57" t="str">
        <x:v>Golfclub Almelo</x:v>
      </x:c>
      <x:c r="C600" s="57" t="str">
        <x:v>Coordinates/address</x:v>
      </x:c>
      <x:c r="D600" s="57" t="str">
        <x:v>https://api.pdok.nl/bzk/locatieserver/search/v3_1/free?q=Veenelandenweg+34%2C+7608+HB+Almelo&amp;fq=type%3Aadres&amp;rows=10</x:v>
      </x:c>
      <x:c r="E600" s="57" t="str">
        <x:v>Dutch BAG address point via PDOK Locatieserver</x:v>
      </x:c>
      <x:c r="F600" s="57" t="str">
        <x:v>2026-08-15</x:v>
      </x:c>
      <x:c r="G600" s="14" t="str">
        <x:v>Exact postcode-matched address point: Veenelandenweg 34, 7608HB Almelo.</x:v>
      </x:c>
    </x:row>
    <x:row r="601">
      <x:c r="A601" s="56" t="str">
        <x:v>NL-0300</x:v>
      </x:c>
      <x:c r="B601" s="57" t="str">
        <x:v>Golfclub De Koepel — Main Course</x:v>
      </x:c>
      <x:c r="C601" s="57" t="str">
        <x:v>Course identity/specification</x:v>
      </x:c>
      <x:c r="D601" s="57" t="str">
        <x:v>https://www.golf.nl/de-baan-op/banenzoeker/overzicht</x:v>
      </x:c>
      <x:c r="E601" s="57" t="str">
        <x:v>Current national federation course register</x:v>
      </x:c>
      <x:c r="F601" s="57" t="str">
        <x:v>2026-08-15</x:v>
      </x:c>
      <x:c r="G601" s="14" t="str">
        <x:v>Current NGF/GOLF.NL listing: 18 holes, par 70, 5576 metres. Combined from exact NGF-listed constituent nine-hole loops: 1ste negen (9 holes, par 35, 2696 m); 2de negen (9 holes, par 35, 2880 m) Listed as qualifying.</x:v>
      </x:c>
    </x:row>
    <x:row r="602">
      <x:c r="A602" s="56" t="str">
        <x:v>NL-0300</x:v>
      </x:c>
      <x:c r="B602" s="57" t="str">
        <x:v>Golfclub De Koepel — Main Course</x:v>
      </x:c>
      <x:c r="C602" s="57" t="str">
        <x:v>Coordinates/address</x:v>
      </x:c>
      <x:c r="D602" s="57" t="str">
        <x:v>https://api.pdok.nl/bzk/locatieserver/search/v3_1/free?q=Rijssensestraat+142+a%2C+7642+NN+Wierden&amp;fq=type%3Aadres&amp;rows=10</x:v>
      </x:c>
      <x:c r="E602" s="57" t="str">
        <x:v>Dutch BAG address point via PDOK Locatieserver</x:v>
      </x:c>
      <x:c r="F602" s="57" t="str">
        <x:v>2026-08-15</x:v>
      </x:c>
      <x:c r="G602" s="14" t="str">
        <x:v>Exact postcode-matched address point: Rijssensestraat 142a, 7642NN Wierden.</x:v>
      </x:c>
    </x:row>
    <x:row r="603">
      <x:c r="A603" s="56" t="str">
        <x:v>NL-0301</x:v>
      </x:c>
      <x:c r="B603" s="57" t="str">
        <x:v>Golfclub Driene</x:v>
      </x:c>
      <x:c r="C603" s="57" t="str">
        <x:v>Course identity/specification</x:v>
      </x:c>
      <x:c r="D603" s="57" t="str">
        <x:v>https://www.golf.nl/de-baan-op/banenzoeker/overzicht</x:v>
      </x:c>
      <x:c r="E603" s="57" t="str">
        <x:v>Current national federation course register</x:v>
      </x:c>
      <x:c r="F603" s="57" t="str">
        <x:v>2026-08-15</x:v>
      </x:c>
      <x:c r="G603" s="14" t="str">
        <x:v>Current NGF/GOLF.NL listing: 9 holes, par 36, 2735 metres. Listed as qualifying.</x:v>
      </x:c>
    </x:row>
    <x:row r="604">
      <x:c r="A604" s="56" t="str">
        <x:v>NL-0301</x:v>
      </x:c>
      <x:c r="B604" s="57" t="str">
        <x:v>Golfclub Driene</x:v>
      </x:c>
      <x:c r="C604" s="57" t="str">
        <x:v>Coordinates/address</x:v>
      </x:c>
      <x:c r="D604" s="57" t="str">
        <x:v>https://api.pdok.nl/bzk/locatieserver/search/v3_1/free?q=Morshoekweg+16%2C+7552+PE+Hengelo&amp;fq=type%3Aadres&amp;rows=10</x:v>
      </x:c>
      <x:c r="E604" s="57" t="str">
        <x:v>Dutch BAG address point via PDOK Locatieserver</x:v>
      </x:c>
      <x:c r="F604" s="57" t="str">
        <x:v>2026-08-15</x:v>
      </x:c>
      <x:c r="G604" s="14" t="str">
        <x:v>Exact postcode-matched address point: Morshoekweg 16, 7552PE Hengelo.</x:v>
      </x:c>
    </x:row>
    <x:row r="605">
      <x:c r="A605" s="56" t="str">
        <x:v>NL-0302</x:v>
      </x:c>
      <x:c r="B605" s="57" t="str">
        <x:v>Golfclub Prinses Wilhelmina</x:v>
      </x:c>
      <x:c r="C605" s="57" t="str">
        <x:v>Course identity/specification</x:v>
      </x:c>
      <x:c r="D605" s="57" t="str">
        <x:v>https://www.golf.nl/de-baan-op/banenzoeker/overzicht</x:v>
      </x:c>
      <x:c r="E605" s="57" t="str">
        <x:v>Current national federation course register</x:v>
      </x:c>
      <x:c r="F605" s="57" t="str">
        <x:v>2026-08-15</x:v>
      </x:c>
      <x:c r="G605" s="14" t="str">
        <x:v>Current NGF/GOLF.NL listing: 9 holes, par 28, 1411 metres. Listed as qualifying.</x:v>
      </x:c>
    </x:row>
    <x:row r="606">
      <x:c r="A606" s="56" t="str">
        <x:v>NL-0302</x:v>
      </x:c>
      <x:c r="B606" s="57" t="str">
        <x:v>Golfclub Prinses Wilhelmina</x:v>
      </x:c>
      <x:c r="C606" s="57" t="str">
        <x:v>Coordinates/address</x:v>
      </x:c>
      <x:c r="D606" s="57" t="str">
        <x:v>https://api.pdok.nl/bzk/locatieserver/search/v3_1/free?q=Het+Slagman%2C+Maatmanweg+27%2C+7522+AN+Enschede&amp;fq=type%3Aadres&amp;rows=10</x:v>
      </x:c>
      <x:c r="E606" s="57" t="str">
        <x:v>Dutch BAG address point via PDOK Locatieserver</x:v>
      </x:c>
      <x:c r="F606" s="57" t="str">
        <x:v>2026-08-15</x:v>
      </x:c>
      <x:c r="G606" s="14" t="str">
        <x:v>Exact postcode-matched address point: Maatmanweg 27, 7522AN Enschede.</x:v>
      </x:c>
    </x:row>
    <x:row r="607">
      <x:c r="A607" s="56" t="str">
        <x:v>NL-0303</x:v>
      </x:c>
      <x:c r="B607" s="57" t="str">
        <x:v>Golfclub Zwolle — Boschwijk</x:v>
      </x:c>
      <x:c r="C607" s="57" t="str">
        <x:v>Course identity/specification</x:v>
      </x:c>
      <x:c r="D607" s="57" t="str">
        <x:v>https://www.golf.nl/de-baan-op/banenzoeker/overzicht</x:v>
      </x:c>
      <x:c r="E607" s="57" t="str">
        <x:v>Current national federation course register</x:v>
      </x:c>
      <x:c r="F607" s="57" t="str">
        <x:v>2026-08-15</x:v>
      </x:c>
      <x:c r="G607" s="14" t="str">
        <x:v>Current NGF/GOLF.NL listing: 9 holes, par 35, 2879 metres. Listed as qualifying.</x:v>
      </x:c>
    </x:row>
    <x:row r="608">
      <x:c r="A608" s="56" t="str">
        <x:v>NL-0303</x:v>
      </x:c>
      <x:c r="B608" s="57" t="str">
        <x:v>Golfclub Zwolle — Boschwijk</x:v>
      </x:c>
      <x:c r="C608" s="57" t="str">
        <x:v>Coordinates/address</x:v>
      </x:c>
      <x:c r="D608" s="57" t="str">
        <x:v>https://api.pdok.nl/bzk/locatieserver/search/v3_1/free?q=Zaln%C3%A9weg+75%2C+8026+PZ+Zwolle&amp;fq=type%3Aadres&amp;rows=10</x:v>
      </x:c>
      <x:c r="E608" s="57" t="str">
        <x:v>Dutch BAG address point via PDOK Locatieserver</x:v>
      </x:c>
      <x:c r="F608" s="57" t="str">
        <x:v>2026-08-15</x:v>
      </x:c>
      <x:c r="G608" s="14" t="str">
        <x:v>Exact postcode-matched address point: Zalnéweg 75, 8026PZ Zwolle.</x:v>
      </x:c>
    </x:row>
    <x:row r="609">
      <x:c r="A609" s="56" t="str">
        <x:v>NL-0304</x:v>
      </x:c>
      <x:c r="B609" s="57" t="str">
        <x:v>Golfclub Zwolle — Veldwijk</x:v>
      </x:c>
      <x:c r="C609" s="57" t="str">
        <x:v>Course identity/specification</x:v>
      </x:c>
      <x:c r="D609" s="57" t="str">
        <x:v>https://www.golf.nl/de-baan-op/banenzoeker/overzicht</x:v>
      </x:c>
      <x:c r="E609" s="57" t="str">
        <x:v>Current national federation course register</x:v>
      </x:c>
      <x:c r="F609" s="57" t="str">
        <x:v>2026-08-15</x:v>
      </x:c>
      <x:c r="G609" s="14" t="str">
        <x:v>Current NGF/GOLF.NL listing: 9 holes, par 37, 3227 metres. Listed as qualifying.</x:v>
      </x:c>
    </x:row>
    <x:row r="610">
      <x:c r="A610" s="56" t="str">
        <x:v>NL-0304</x:v>
      </x:c>
      <x:c r="B610" s="57" t="str">
        <x:v>Golfclub Zwolle — Veldwijk</x:v>
      </x:c>
      <x:c r="C610" s="57" t="str">
        <x:v>Coordinates/address</x:v>
      </x:c>
      <x:c r="D610" s="57" t="str">
        <x:v>https://api.pdok.nl/bzk/locatieserver/search/v3_1/free?q=Zaln%C3%A9weg+75%2C+8026+PZ+Zwolle&amp;fq=type%3Aadres&amp;rows=10</x:v>
      </x:c>
      <x:c r="E610" s="57" t="str">
        <x:v>Dutch BAG address point via PDOK Locatieserver</x:v>
      </x:c>
      <x:c r="F610" s="57" t="str">
        <x:v>2026-08-15</x:v>
      </x:c>
      <x:c r="G610" s="14" t="str">
        <x:v>Exact postcode-matched address point: Zalnéweg 75, 8026PZ Zwolle.</x:v>
      </x:c>
    </x:row>
    <x:row r="611">
      <x:c r="A611" s="56" t="str">
        <x:v>NL-0305</x:v>
      </x:c>
      <x:c r="B611" s="57" t="str">
        <x:v>Golfplezier Twente</x:v>
      </x:c>
      <x:c r="C611" s="57" t="str">
        <x:v>Course identity/specification</x:v>
      </x:c>
      <x:c r="D611" s="57" t="str">
        <x:v>https://www.golf.nl/de-baan-op/banenzoeker/overzicht</x:v>
      </x:c>
      <x:c r="E611" s="57" t="str">
        <x:v>Current national federation course register</x:v>
      </x:c>
      <x:c r="F611" s="57" t="str">
        <x:v>2026-08-15</x:v>
      </x:c>
      <x:c r="G611" s="14" t="str">
        <x:v>Current NGF/GOLF.NL listing: 9 holes, par 27, 818 metres. Listed as qualifying.</x:v>
      </x:c>
    </x:row>
    <x:row r="612">
      <x:c r="A612" s="56" t="str">
        <x:v>NL-0305</x:v>
      </x:c>
      <x:c r="B612" s="57" t="str">
        <x:v>Golfplezier Twente</x:v>
      </x:c>
      <x:c r="C612" s="57" t="str">
        <x:v>Coordinates/address</x:v>
      </x:c>
      <x:c r="D612" s="57" t="str">
        <x:v>https://api.pdok.nl/bzk/locatieserver/search/v3_1/free?q=Bekkenhaarsweg+28%2C+7645+AJ+Hoge+Hexel&amp;fq=type%3Aadres&amp;rows=10</x:v>
      </x:c>
      <x:c r="E612" s="57" t="str">
        <x:v>Dutch BAG address point via PDOK Locatieserver</x:v>
      </x:c>
      <x:c r="F612" s="57" t="str">
        <x:v>2026-08-15</x:v>
      </x:c>
      <x:c r="G612" s="14" t="str">
        <x:v>Exact postcode-matched address point: Bekkenhaarsweg 28a, 7645AJ Hoge Hexel.</x:v>
      </x:c>
    </x:row>
    <x:row r="613">
      <x:c r="A613" s="56" t="str">
        <x:v>NL-0306</x:v>
      </x:c>
      <x:c r="B613" s="57" t="str">
        <x:v>Golftuin Zwolle</x:v>
      </x:c>
      <x:c r="C613" s="57" t="str">
        <x:v>Course identity/specification</x:v>
      </x:c>
      <x:c r="D613" s="57" t="str">
        <x:v>https://www.golf.nl/de-baan-op/banenzoeker/overzicht</x:v>
      </x:c>
      <x:c r="E613" s="57" t="str">
        <x:v>Current national federation course register</x:v>
      </x:c>
      <x:c r="F613" s="57" t="str">
        <x:v>2026-08-15</x:v>
      </x:c>
      <x:c r="G613" s="14" t="str">
        <x:v>Current NGF/GOLF.NL listing: 9 holes, par 27, 857 metres. Listed as qualifying.</x:v>
      </x:c>
    </x:row>
    <x:row r="614">
      <x:c r="A614" s="56" t="str">
        <x:v>NL-0306</x:v>
      </x:c>
      <x:c r="B614" s="57" t="str">
        <x:v>Golftuin Zwolle</x:v>
      </x:c>
      <x:c r="C614" s="57" t="str">
        <x:v>Coordinates/address</x:v>
      </x:c>
      <x:c r="D614" s="57" t="str">
        <x:v>https://api.pdok.nl/bzk/locatieserver/search/v3_1/free?q=Harculose+Esweg+2%2C+8015+RH+Zwolle&amp;fq=type%3Aadres&amp;rows=10</x:v>
      </x:c>
      <x:c r="E614" s="57" t="str">
        <x:v>Dutch BAG address point via PDOK Locatieserver</x:v>
      </x:c>
      <x:c r="F614" s="57" t="str">
        <x:v>2026-08-15</x:v>
      </x:c>
      <x:c r="G614" s="14" t="str">
        <x:v>Exact postcode-matched address point: Harculose Esweg 2, 8015RH Zwolle.</x:v>
      </x:c>
    </x:row>
    <x:row r="615">
      <x:c r="A615" s="56" t="str">
        <x:v>NL-0307</x:v>
      </x:c>
      <x:c r="B615" s="57" t="str">
        <x:v>Hattemse Golf &amp; Country Club</x:v>
      </x:c>
      <x:c r="C615" s="57" t="str">
        <x:v>Course identity/specification</x:v>
      </x:c>
      <x:c r="D615" s="57" t="str">
        <x:v>https://www.golf.nl/de-baan-op/banenzoeker/overzicht</x:v>
      </x:c>
      <x:c r="E615" s="57" t="str">
        <x:v>Current national federation course register</x:v>
      </x:c>
      <x:c r="F615" s="57" t="str">
        <x:v>2026-08-15</x:v>
      </x:c>
      <x:c r="G615" s="14" t="str">
        <x:v>Current NGF/GOLF.NL listing: 9 holes, par 34, 2634 metres. Listed as qualifying.</x:v>
      </x:c>
    </x:row>
    <x:row r="616">
      <x:c r="A616" s="56" t="str">
        <x:v>NL-0307</x:v>
      </x:c>
      <x:c r="B616" s="57" t="str">
        <x:v>Hattemse Golf &amp; Country Club</x:v>
      </x:c>
      <x:c r="C616" s="57" t="str">
        <x:v>Coordinates/address</x:v>
      </x:c>
      <x:c r="D616" s="57" t="str">
        <x:v>https://api.pdok.nl/bzk/locatieserver/search/v3_1/free?q=Veenwal+11%2C+8051+AS+Hattem&amp;fq=type%3Aadres&amp;rows=10</x:v>
      </x:c>
      <x:c r="E616" s="57" t="str">
        <x:v>Dutch BAG address point via PDOK Locatieserver</x:v>
      </x:c>
      <x:c r="F616" s="57" t="str">
        <x:v>2026-08-15</x:v>
      </x:c>
      <x:c r="G616" s="14" t="str">
        <x:v>Exact postcode-matched address point: Veenwal 11A, 8051AS Hattem.</x:v>
      </x:c>
    </x:row>
    <x:row r="617">
      <x:c r="A617" s="56" t="str">
        <x:v>NL-0308</x:v>
      </x:c>
      <x:c r="B617" s="57" t="str">
        <x:v>Hooge Graven Golfclub Ommen — Main Course</x:v>
      </x:c>
      <x:c r="C617" s="57" t="str">
        <x:v>Course identity/specification</x:v>
      </x:c>
      <x:c r="D617" s="57" t="str">
        <x:v>https://www.golf.nl/de-baan-op/banenzoeker/overzicht</x:v>
      </x:c>
      <x:c r="E617" s="57" t="str">
        <x:v>Current national federation course register</x:v>
      </x:c>
      <x:c r="F617" s="57" t="str">
        <x:v>2026-08-15</x:v>
      </x:c>
      <x:c r="G617" s="14" t="str">
        <x:v>Current NGF/GOLF.NL listing: 18 holes, par 72, 6194 metres. Combined from exact NGF-listed constituent nine-hole loops: 1ste negen (9 holes, par 35, 2903 m); 2de negen (9 holes, par 37, 3291 m) Listed as qualifying.</x:v>
      </x:c>
    </x:row>
    <x:row r="618">
      <x:c r="A618" s="56" t="str">
        <x:v>NL-0308</x:v>
      </x:c>
      <x:c r="B618" s="57" t="str">
        <x:v>Hooge Graven Golfclub Ommen — Main Course</x:v>
      </x:c>
      <x:c r="C618" s="57" t="str">
        <x:v>Coordinates/address</x:v>
      </x:c>
      <x:c r="D618" s="57" t="str">
        <x:v>https://api.pdok.nl/bzk/locatieserver/search/v3_1/free?q=Hessenweg+Oost+3a%2C+7735+KP+Arrien&amp;fq=type%3Aadres&amp;rows=10</x:v>
      </x:c>
      <x:c r="E618" s="57" t="str">
        <x:v>Dutch BAG address point via PDOK Locatieserver</x:v>
      </x:c>
      <x:c r="F618" s="57" t="str">
        <x:v>2026-08-15</x:v>
      </x:c>
      <x:c r="G618" s="14" t="str">
        <x:v>Exact postcode-matched address point: Hessenweg Oost 3a, 7735KP Arriën.</x:v>
      </x:c>
    </x:row>
    <x:row r="619">
      <x:c r="A619" s="56" t="str">
        <x:v>NL-0309</x:v>
      </x:c>
      <x:c r="B619" s="57" t="str">
        <x:v>Hooge Graven Golfclub Ommen — Par-3 Course</x:v>
      </x:c>
      <x:c r="C619" s="57" t="str">
        <x:v>Course identity/specification</x:v>
      </x:c>
      <x:c r="D619" s="57" t="str">
        <x:v>https://www.golf.nl/de-baan-op/banenzoeker/overzicht</x:v>
      </x:c>
      <x:c r="E619" s="57" t="str">
        <x:v>Current national federation course register</x:v>
      </x:c>
      <x:c r="F619" s="57" t="str">
        <x:v>2026-08-15</x:v>
      </x:c>
      <x:c r="G619" s="14" t="str">
        <x:v>Current NGF/GOLF.NL listing: 9 holes, par 27, 845 metres. Listed as qualifying.</x:v>
      </x:c>
    </x:row>
    <x:row r="620">
      <x:c r="A620" s="56" t="str">
        <x:v>NL-0309</x:v>
      </x:c>
      <x:c r="B620" s="57" t="str">
        <x:v>Hooge Graven Golfclub Ommen — Par-3 Course</x:v>
      </x:c>
      <x:c r="C620" s="57" t="str">
        <x:v>Coordinates/address</x:v>
      </x:c>
      <x:c r="D620" s="57" t="str">
        <x:v>https://api.pdok.nl/bzk/locatieserver/search/v3_1/free?q=Hessenweg+Oost+3a%2C+7735+KP+Arrien&amp;fq=type%3Aadres&amp;rows=10</x:v>
      </x:c>
      <x:c r="E620" s="57" t="str">
        <x:v>Dutch BAG address point via PDOK Locatieserver</x:v>
      </x:c>
      <x:c r="F620" s="57" t="str">
        <x:v>2026-08-15</x:v>
      </x:c>
      <x:c r="G620" s="14" t="str">
        <x:v>Exact postcode-matched address point: Hessenweg Oost 3a, 7735KP Arriën.</x:v>
      </x:c>
    </x:row>
    <x:row r="621">
      <x:c r="A621" s="56" t="str">
        <x:v>NL-0310</x:v>
      </x:c>
      <x:c r="B621" s="57" t="str">
        <x:v>Pitch &amp; putt Lemele</x:v>
      </x:c>
      <x:c r="C621" s="57" t="str">
        <x:v>Course identity/specification</x:v>
      </x:c>
      <x:c r="D621" s="57" t="str">
        <x:v>https://www.golf.nl/de-baan-op/banenzoeker/overzicht</x:v>
      </x:c>
      <x:c r="E621" s="57" t="str">
        <x:v>Current national federation course register</x:v>
      </x:c>
      <x:c r="F621" s="57" t="str">
        <x:v>2026-08-15</x:v>
      </x:c>
      <x:c r="G621" s="14" t="str">
        <x:v>Current NGF/GOLF.NL listing: 9 holes, par 27, 450 metres. Listed as non-qualifying.</x:v>
      </x:c>
    </x:row>
    <x:row r="622">
      <x:c r="A622" s="56" t="str">
        <x:v>NL-0310</x:v>
      </x:c>
      <x:c r="B622" s="57" t="str">
        <x:v>Pitch &amp; putt Lemele</x:v>
      </x:c>
      <x:c r="C622" s="57" t="str">
        <x:v>Coordinates/address</x:v>
      </x:c>
      <x:c r="D622" s="57" t="str">
        <x:v>https://api.pdok.nl/bzk/locatieserver/search/v3_1/free?q=Lage+Esweg+5%2C+8148+RA+Lemele&amp;fq=type%3Aadres&amp;rows=10</x:v>
      </x:c>
      <x:c r="E622" s="57" t="str">
        <x:v>Dutch BAG address point via PDOK Locatieserver</x:v>
      </x:c>
      <x:c r="F622" s="57" t="str">
        <x:v>2026-08-15</x:v>
      </x:c>
      <x:c r="G622" s="14" t="str">
        <x:v>Exact postcode-matched address point: Lage Esweg 5a, 8148RA Lemele.</x:v>
      </x:c>
    </x:row>
    <x:row r="623">
      <x:c r="A623" s="56" t="str">
        <x:v>NL-0311</x:v>
      </x:c>
      <x:c r="B623" s="57" t="str">
        <x:v>Pitch &amp; Putt Twente — Shortgolf / Pitch &amp; Putt Course</x:v>
      </x:c>
      <x:c r="C623" s="57" t="str">
        <x:v>Course identity/specification</x:v>
      </x:c>
      <x:c r="D623" s="57" t="str">
        <x:v>https://www.golf.nl/de-baan-op/banenzoeker/overzicht</x:v>
      </x:c>
      <x:c r="E623" s="57" t="str">
        <x:v>Current national federation course register</x:v>
      </x:c>
      <x:c r="F623" s="57" t="str">
        <x:v>2026-08-15</x:v>
      </x:c>
      <x:c r="G623" s="14" t="str">
        <x:v>Current NGF/GOLF.NL listing: 18 holes, par 54, 920 metres. Combined from exact NGF-listed constituent nine-hole loops: 1ste negen (9 holes, par 27, 459 m); 2de negen (9 holes, par 27, 461 m) Listed as non-qualifying.</x:v>
      </x:c>
    </x:row>
    <x:row r="624">
      <x:c r="A624" s="56" t="str">
        <x:v>NL-0311</x:v>
      </x:c>
      <x:c r="B624" s="57" t="str">
        <x:v>Pitch &amp; Putt Twente — Shortgolf / Pitch &amp; Putt Course</x:v>
      </x:c>
      <x:c r="C624" s="57" t="str">
        <x:v>Coordinates/address</x:v>
      </x:c>
      <x:c r="D624" s="57" t="str">
        <x:v>https://api.pdok.nl/bzk/locatieserver/search/v3_1/free?q=Hengevelderweg+3%2C+7478+PE+Diepenheim&amp;fq=type%3Aadres&amp;rows=10</x:v>
      </x:c>
      <x:c r="E624" s="57" t="str">
        <x:v>Dutch BAG address point via PDOK Locatieserver</x:v>
      </x:c>
      <x:c r="F624" s="57" t="str">
        <x:v>2026-08-15</x:v>
      </x:c>
      <x:c r="G624" s="14" t="str">
        <x:v>Exact postcode-matched address point: Hengevelderweg 3a, 7478PE Diepenheim.</x:v>
      </x:c>
    </x:row>
    <x:row r="625">
      <x:c r="A625" s="56" t="str">
        <x:v>NL-0312</x:v>
      </x:c>
      <x:c r="B625" s="57" t="str">
        <x:v>Sallandsche Golfclub De Hoek — Main Course</x:v>
      </x:c>
      <x:c r="C625" s="57" t="str">
        <x:v>Course identity/specification</x:v>
      </x:c>
      <x:c r="D625" s="57" t="str">
        <x:v>https://www.golf.nl/de-baan-op/banenzoeker/overzicht</x:v>
      </x:c>
      <x:c r="E625" s="57" t="str">
        <x:v>Current national federation course register</x:v>
      </x:c>
      <x:c r="F625" s="57" t="str">
        <x:v>2026-08-15</x:v>
      </x:c>
      <x:c r="G625" s="14" t="str">
        <x:v>Current NGF/GOLF.NL listing: 18 holes, par 72, 6055 metres. Combined from exact NGF-listed constituent nine-hole loops: 1ste negen (9 holes, par 36, 2982 m); 2de negen (9 holes, par 36, 3073 m) Listed as qualifying.</x:v>
      </x:c>
    </x:row>
    <x:row r="626">
      <x:c r="A626" s="56" t="str">
        <x:v>NL-0312</x:v>
      </x:c>
      <x:c r="B626" s="57" t="str">
        <x:v>Sallandsche Golfclub De Hoek — Main Course</x:v>
      </x:c>
      <x:c r="C626" s="57" t="str">
        <x:v>Coordinates/address</x:v>
      </x:c>
      <x:c r="D626" s="57" t="str">
        <x:v>https://api.pdok.nl/bzk/locatieserver/search/v3_1/free?q=Golfweg+2%2C+7431+PR+Diepenveen&amp;fq=type%3Aadres&amp;rows=10</x:v>
      </x:c>
      <x:c r="E626" s="57" t="str">
        <x:v>Dutch BAG address point via PDOK Locatieserver</x:v>
      </x:c>
      <x:c r="F626" s="57" t="str">
        <x:v>2026-08-15</x:v>
      </x:c>
      <x:c r="G626" s="14" t="str">
        <x:v>Exact postcode-matched address point: Golfweg 2A, 7431PR Diepenveen.</x:v>
      </x:c>
    </x:row>
    <x:row r="627">
      <x:c r="A627" s="56" t="str">
        <x:v>NL-0313</x:v>
      </x:c>
      <x:c r="B627" s="57" t="str">
        <x:v>Short Golf Hof van Twente</x:v>
      </x:c>
      <x:c r="C627" s="57" t="str">
        <x:v>Course identity/specification</x:v>
      </x:c>
      <x:c r="D627" s="57" t="str">
        <x:v>https://www.golf.nl/de-baan-op/banenzoeker/overzicht</x:v>
      </x:c>
      <x:c r="E627" s="57" t="str">
        <x:v>Current national federation course register</x:v>
      </x:c>
      <x:c r="F627" s="57" t="str">
        <x:v>2026-08-15</x:v>
      </x:c>
      <x:c r="G627" s="14" t="str">
        <x:v>Current NGF/GOLF.NL listing: 9 holes, par 27, 635 metres. Listed as non-qualifying.</x:v>
      </x:c>
    </x:row>
    <x:row r="628">
      <x:c r="A628" s="56" t="str">
        <x:v>NL-0313</x:v>
      </x:c>
      <x:c r="B628" s="57" t="str">
        <x:v>Short Golf Hof van Twente</x:v>
      </x:c>
      <x:c r="C628" s="57" t="str">
        <x:v>Coordinates/address</x:v>
      </x:c>
      <x:c r="D628" s="57" t="str">
        <x:v>https://api.pdok.nl/bzk/locatieserver/search/v3_1/free?q=Platenkampsweg+3%2C+7497+MX+Bentelo&amp;fq=type%3Aadres&amp;rows=10</x:v>
      </x:c>
      <x:c r="E628" s="57" t="str">
        <x:v>Dutch BAG address point via PDOK Locatieserver</x:v>
      </x:c>
      <x:c r="F628" s="57" t="str">
        <x:v>2026-08-15</x:v>
      </x:c>
      <x:c r="G628" s="14" t="str">
        <x:v>Exact postcode-matched address point: Platenkampsweg 3a, 7497MX Bentelo.</x:v>
      </x:c>
    </x:row>
    <x:row r="629">
      <x:c r="A629" s="56" t="str">
        <x:v>NL-0314</x:v>
      </x:c>
      <x:c r="B629" s="57" t="str">
        <x:v>Shortgolf Twente — Par-3 Course</x:v>
      </x:c>
      <x:c r="C629" s="57" t="str">
        <x:v>Course identity/specification</x:v>
      </x:c>
      <x:c r="D629" s="57" t="str">
        <x:v>https://www.golf.nl/de-baan-op/banenzoeker/overzicht</x:v>
      </x:c>
      <x:c r="E629" s="57" t="str">
        <x:v>Current national federation course register</x:v>
      </x:c>
      <x:c r="F629" s="57" t="str">
        <x:v>2026-08-15</x:v>
      </x:c>
      <x:c r="G629" s="14" t="str">
        <x:v>Current NGF/GOLF.NL listing: 9 holes, par 27, 635 metres. The current official facility contact page and BAG address replace the postcode typo in the NGF overview (Tibsweg 2, 7651 KB Tubbergen). Listed as non-qualifying.</x:v>
      </x:c>
    </x:row>
    <x:row r="630">
      <x:c r="A630" s="56" t="str">
        <x:v>NL-0314</x:v>
      </x:c>
      <x:c r="B630" s="57" t="str">
        <x:v>Shortgolf Twente — Par-3 Course</x:v>
      </x:c>
      <x:c r="C630" s="57" t="str">
        <x:v>Coordinates/address</x:v>
      </x:c>
      <x:c r="D630" s="57" t="str">
        <x:v>https://api.pdok.nl/bzk/locatieserver/search/v3_1/free?q=Tibsweg+2%2C+7651+KP+Tubbergen&amp;fq=type%3Aadres&amp;rows=10</x:v>
      </x:c>
      <x:c r="E630" s="57" t="str">
        <x:v>Dutch BAG address point via PDOK Locatieserver</x:v>
      </x:c>
      <x:c r="F630" s="57" t="str">
        <x:v>2026-08-15</x:v>
      </x:c>
      <x:c r="G630" s="14" t="str">
        <x:v>Exact postcode-matched address point: Tibsweg 2, 7651KP Tubbergen. Corrected address verified on the facility's current contact page: https://shortgolftwente.nl/contact.</x:v>
      </x:c>
    </x:row>
    <x:row r="631">
      <x:c r="A631" s="56" t="str">
        <x:v>NL-0315</x:v>
      </x:c>
      <x:c r="B631" s="57" t="str">
        <x:v>Shortgolf Twente — Shortgolf / Pitch &amp; Putt Course</x:v>
      </x:c>
      <x:c r="C631" s="57" t="str">
        <x:v>Course identity/specification</x:v>
      </x:c>
      <x:c r="D631" s="57" t="str">
        <x:v>https://www.golf.nl/de-baan-op/banenzoeker/overzicht</x:v>
      </x:c>
      <x:c r="E631" s="57" t="str">
        <x:v>Current national federation course register</x:v>
      </x:c>
      <x:c r="F631" s="57" t="str">
        <x:v>2026-08-15</x:v>
      </x:c>
      <x:c r="G631" s="14" t="str">
        <x:v>Current NGF/GOLF.NL listing: 9 holes, par 27, 450 metres. The current official facility contact page and BAG address replace the postcode typo in the NGF overview (Tibsweg 2, 7651 KB Tubbergen). Listed as non-qualifying.</x:v>
      </x:c>
    </x:row>
    <x:row r="632">
      <x:c r="A632" s="56" t="str">
        <x:v>NL-0315</x:v>
      </x:c>
      <x:c r="B632" s="57" t="str">
        <x:v>Shortgolf Twente — Shortgolf / Pitch &amp; Putt Course</x:v>
      </x:c>
      <x:c r="C632" s="57" t="str">
        <x:v>Coordinates/address</x:v>
      </x:c>
      <x:c r="D632" s="57" t="str">
        <x:v>https://api.pdok.nl/bzk/locatieserver/search/v3_1/free?q=Tibsweg+2%2C+7651+KP+Tubbergen&amp;fq=type%3Aadres&amp;rows=10</x:v>
      </x:c>
      <x:c r="E632" s="57" t="str">
        <x:v>Dutch BAG address point via PDOK Locatieserver</x:v>
      </x:c>
      <x:c r="F632" s="57" t="str">
        <x:v>2026-08-15</x:v>
      </x:c>
      <x:c r="G632" s="14" t="str">
        <x:v>Exact postcode-matched address point: Tibsweg 2, 7651KP Tubbergen. Corrected address verified on the facility's current contact page: https://shortgolftwente.nl/contact.</x:v>
      </x:c>
    </x:row>
    <x:row r="633">
      <x:c r="A633" s="56" t="str">
        <x:v>NL-0316</x:v>
      </x:c>
      <x:c r="B633" s="57" t="str">
        <x:v>Spielehof — Grobbebaan</x:v>
      </x:c>
      <x:c r="C633" s="57" t="str">
        <x:v>Course identity/specification</x:v>
      </x:c>
      <x:c r="D633" s="57" t="str">
        <x:v>https://www.golf.nl/de-baan-op/banenzoeker/overzicht</x:v>
      </x:c>
      <x:c r="E633" s="57" t="str">
        <x:v>Current national federation course register</x:v>
      </x:c>
      <x:c r="F633" s="57" t="str">
        <x:v>2026-08-15</x:v>
      </x:c>
      <x:c r="G633" s="14" t="str">
        <x:v>Current NGF/GOLF.NL listing: 9 holes, par 29, 1531 metres. Listed as qualifying.</x:v>
      </x:c>
    </x:row>
    <x:row r="634">
      <x:c r="A634" s="56" t="str">
        <x:v>NL-0316</x:v>
      </x:c>
      <x:c r="B634" s="57" t="str">
        <x:v>Spielehof — Grobbebaan</x:v>
      </x:c>
      <x:c r="C634" s="57" t="str">
        <x:v>Coordinates/address</x:v>
      </x:c>
      <x:c r="D634" s="57" t="str">
        <x:v>https://api.pdok.nl/bzk/locatieserver/search/v3_1/free?q=Spieleweg+24%2C+7548+RR+Boekelo&amp;fq=type%3Aadres&amp;rows=10</x:v>
      </x:c>
      <x:c r="E634" s="57" t="str">
        <x:v>Dutch BAG address point via PDOK Locatieserver</x:v>
      </x:c>
      <x:c r="F634" s="57" t="str">
        <x:v>2026-08-15</x:v>
      </x:c>
      <x:c r="G634" s="14" t="str">
        <x:v>Exact postcode-matched address point: Spieleweg 24, 7548RR Enschede.</x:v>
      </x:c>
    </x:row>
    <x:row r="635">
      <x:c r="A635" s="56" t="str">
        <x:v>NL-0317</x:v>
      </x:c>
      <x:c r="B635" s="57" t="str">
        <x:v>Spielehof — Shortgolf / Pitch &amp; Putt Course</x:v>
      </x:c>
      <x:c r="C635" s="57" t="str">
        <x:v>Course identity/specification</x:v>
      </x:c>
      <x:c r="D635" s="57" t="str">
        <x:v>https://www.golf.nl/de-baan-op/banenzoeker/overzicht</x:v>
      </x:c>
      <x:c r="E635" s="57" t="str">
        <x:v>Current national federation course register</x:v>
      </x:c>
      <x:c r="F635" s="57" t="str">
        <x:v>2026-08-15</x:v>
      </x:c>
      <x:c r="G635" s="14" t="str">
        <x:v>Current NGF/GOLF.NL listing: 18 holes, par 54, 1019 metres. Combined from exact NGF-listed constituent nine-hole loops: 1ste negen (9 holes, par 27, 518 m); 2de negen (9 holes, par 27, 501 m) Listed as non-qualifying.</x:v>
      </x:c>
    </x:row>
    <x:row r="636">
      <x:c r="A636" s="56" t="str">
        <x:v>NL-0317</x:v>
      </x:c>
      <x:c r="B636" s="57" t="str">
        <x:v>Spielehof — Shortgolf / Pitch &amp; Putt Course</x:v>
      </x:c>
      <x:c r="C636" s="57" t="str">
        <x:v>Coordinates/address</x:v>
      </x:c>
      <x:c r="D636" s="57" t="str">
        <x:v>https://api.pdok.nl/bzk/locatieserver/search/v3_1/free?q=Spieleweg+24%2C+7548+RR+Boekelo&amp;fq=type%3Aadres&amp;rows=10</x:v>
      </x:c>
      <x:c r="E636" s="57" t="str">
        <x:v>Dutch BAG address point via PDOK Locatieserver</x:v>
      </x:c>
      <x:c r="F636" s="57" t="str">
        <x:v>2026-08-15</x:v>
      </x:c>
      <x:c r="G636" s="14" t="str">
        <x:v>Exact postcode-matched address point: Spieleweg 24, 7548RR Enschede.</x:v>
      </x:c>
    </x:row>
    <x:row r="637">
      <x:c r="A637" s="56" t="str">
        <x:v>NL-0318</x:v>
      </x:c>
      <x:c r="B637" s="57" t="str">
        <x:v>Twentsche Golfclub — Main Course</x:v>
      </x:c>
      <x:c r="C637" s="57" t="str">
        <x:v>Course identity/specification</x:v>
      </x:c>
      <x:c r="D637" s="57" t="str">
        <x:v>https://www.golf.nl/de-baan-op/banenzoeker/overzicht</x:v>
      </x:c>
      <x:c r="E637" s="57" t="str">
        <x:v>Current national federation course register</x:v>
      </x:c>
      <x:c r="F637" s="57" t="str">
        <x:v>2026-08-15</x:v>
      </x:c>
      <x:c r="G637" s="14" t="str">
        <x:v>Current NGF/GOLF.NL listing: 18 holes, par 72, 6279 metres. Combined from exact NGF-listed constituent nine-hole loops: 1ste negen (9 holes, par 36, 3142 m); 2de negen (9 holes, par 36, 3137 m) Listed as qualifying.</x:v>
      </x:c>
    </x:row>
    <x:row r="638">
      <x:c r="A638" s="56" t="str">
        <x:v>NL-0318</x:v>
      </x:c>
      <x:c r="B638" s="57" t="str">
        <x:v>Twentsche Golfclub — Main Course</x:v>
      </x:c>
      <x:c r="C638" s="57" t="str">
        <x:v>Coordinates/address</x:v>
      </x:c>
      <x:c r="D638" s="57" t="str">
        <x:v>https://api.pdok.nl/bzk/locatieserver/search/v3_1/free?q=Almelosestraat+17%2C+7495+TG+Ambt+Delden&amp;fq=type%3Aadres&amp;rows=10</x:v>
      </x:c>
      <x:c r="E638" s="57" t="str">
        <x:v>Dutch BAG address point via PDOK Locatieserver</x:v>
      </x:c>
      <x:c r="F638" s="57" t="str">
        <x:v>2026-08-15</x:v>
      </x:c>
      <x:c r="G638" s="14" t="str">
        <x:v>Exact postcode-matched address point: Almelosestraat 17a, 7495TG Ambt Delden.</x:v>
      </x:c>
    </x:row>
    <x:row r="639">
      <x:c r="A639" s="56" t="str">
        <x:v>NL-0319</x:v>
      </x:c>
      <x:c r="B639" s="57" t="str">
        <x:v>Twentse Golf Park</x:v>
      </x:c>
      <x:c r="C639" s="57" t="str">
        <x:v>Course identity/specification</x:v>
      </x:c>
      <x:c r="D639" s="57" t="str">
        <x:v>https://www.golf.nl/de-baan-op/banenzoeker/overzicht</x:v>
      </x:c>
      <x:c r="E639" s="57" t="str">
        <x:v>Current national federation course register</x:v>
      </x:c>
      <x:c r="F639" s="57" t="str">
        <x:v>2026-08-15</x:v>
      </x:c>
      <x:c r="G639" s="14" t="str">
        <x:v>Current NGF/GOLF.NL listing: 9 holes, par 27, 323 metres. Listed as qualifying.</x:v>
      </x:c>
    </x:row>
    <x:row r="640">
      <x:c r="A640" s="56" t="str">
        <x:v>NL-0319</x:v>
      </x:c>
      <x:c r="B640" s="57" t="str">
        <x:v>Twentse Golf Park</x:v>
      </x:c>
      <x:c r="C640" s="57" t="str">
        <x:v>Coordinates/address</x:v>
      </x:c>
      <x:c r="D640" s="57" t="str">
        <x:v>https://api.pdok.nl/bzk/locatieserver/search/v3_1/free?q=Watermolenweg+1%2C+7481+VL+Haaksbergen&amp;fq=type%3Aadres&amp;rows=10</x:v>
      </x:c>
      <x:c r="E640" s="57" t="str">
        <x:v>Dutch BAG address point via PDOK Locatieserver</x:v>
      </x:c>
      <x:c r="F640" s="57" t="str">
        <x:v>2026-08-15</x:v>
      </x:c>
      <x:c r="G640" s="14" t="str">
        <x:v>Exact postcode-matched address point: Watermolenweg 1, 7481VL Haaksbergen.</x:v>
      </x:c>
    </x:row>
    <x:row r="641">
      <x:c r="A641" s="56" t="str">
        <x:v>NL-0320</x:v>
      </x:c>
      <x:c r="B641" s="57" t="str">
        <x:v>Weleveld Golf</x:v>
      </x:c>
      <x:c r="C641" s="57" t="str">
        <x:v>Course identity/specification</x:v>
      </x:c>
      <x:c r="D641" s="57" t="str">
        <x:v>https://www.golf.nl/de-baan-op/banenzoeker/overzicht</x:v>
      </x:c>
      <x:c r="E641" s="57" t="str">
        <x:v>Current national federation course register</x:v>
      </x:c>
      <x:c r="F641" s="57" t="str">
        <x:v>2026-08-15</x:v>
      </x:c>
      <x:c r="G641" s="14" t="str">
        <x:v>Current NGF/GOLF.NL listing: 9 holes, par 36, 2672 metres. Listed as qualifying.</x:v>
      </x:c>
    </x:row>
    <x:row r="642">
      <x:c r="A642" s="56" t="str">
        <x:v>NL-0320</x:v>
      </x:c>
      <x:c r="B642" s="57" t="str">
        <x:v>Weleveld Golf</x:v>
      </x:c>
      <x:c r="C642" s="57" t="str">
        <x:v>Coordinates/address</x:v>
      </x:c>
      <x:c r="D642" s="57" t="str">
        <x:v>https://api.pdok.nl/bzk/locatieserver/search/v3_1/free?q=Bekkingvelderweg+8%2C+7625+RM+Zenderen&amp;fq=type%3Aadres&amp;rows=10</x:v>
      </x:c>
      <x:c r="E642" s="57" t="str">
        <x:v>Dutch BAG address point via PDOK Locatieserver</x:v>
      </x:c>
      <x:c r="F642" s="57" t="str">
        <x:v>2026-08-15</x:v>
      </x:c>
      <x:c r="G642" s="14" t="str">
        <x:v>Exact postcode-matched address point: Bekkingvelderweg 8, 7625RM Zenderen.</x:v>
      </x:c>
    </x:row>
    <x:row r="643">
      <x:c r="A643" s="56" t="str">
        <x:v>NL-0321</x:v>
      </x:c>
      <x:c r="B643" s="57" t="str">
        <x:v>Chi Chi - The Golf Venue</x:v>
      </x:c>
      <x:c r="C643" s="57" t="str">
        <x:v>Course identity/specification</x:v>
      </x:c>
      <x:c r="D643" s="57" t="str">
        <x:v>https://www.chichiutrecht.nl/gvb-cursus</x:v>
      </x:c>
      <x:c r="E643" s="57" t="str">
        <x:v>Current official/exact course source</x:v>
      </x:c>
      <x:c r="F643" s="57" t="str">
        <x:v>2026-08-15</x:v>
      </x:c>
      <x:c r="G643" s="14" t="str">
        <x:v>Current NGF/GOLF.NL listing: 9 holes, par 27, 717 metres. The official venue describes a nine-hole par-3 course; par 27 is the exact arithmetic total. The national overview's par-18 value was not retained. Listed as qualifying.</x:v>
      </x:c>
    </x:row>
    <x:row r="644">
      <x:c r="A644" s="56" t="str">
        <x:v>NL-0321</x:v>
      </x:c>
      <x:c r="B644" s="57" t="str">
        <x:v>Chi Chi - The Golf Venue</x:v>
      </x:c>
      <x:c r="C644" s="57" t="str">
        <x:v>Coordinates/address</x:v>
      </x:c>
      <x:c r="D644" s="57" t="str">
        <x:v>https://api.pdok.nl/bzk/locatieserver/search/v3_1/free?q=Gageldijk+1%2C+3566+ME+Utrecht&amp;fq=type%3Aadres&amp;rows=10</x:v>
      </x:c>
      <x:c r="E644" s="57" t="str">
        <x:v>Dutch BAG address point via PDOK Locatieserver</x:v>
      </x:c>
      <x:c r="F644" s="57" t="str">
        <x:v>2026-08-15</x:v>
      </x:c>
      <x:c r="G644" s="14" t="str">
        <x:v>Exact postcode-matched address point: Gageldijk 3A, 3566ME Utrecht.</x:v>
      </x:c>
    </x:row>
    <x:row r="645">
      <x:c r="A645" s="56" t="str">
        <x:v>NL-0322</x:v>
      </x:c>
      <x:c r="B645" s="57" t="str">
        <x:v>De Utrechtse — Main Course</x:v>
      </x:c>
      <x:c r="C645" s="57" t="str">
        <x:v>Course identity/specification</x:v>
      </x:c>
      <x:c r="D645" s="57" t="str">
        <x:v>https://www.golf.nl/de-baan-op/banenzoeker/overzicht</x:v>
      </x:c>
      <x:c r="E645" s="57" t="str">
        <x:v>Current national federation course register</x:v>
      </x:c>
      <x:c r="F645" s="57" t="str">
        <x:v>2026-08-15</x:v>
      </x:c>
      <x:c r="G645" s="14" t="str">
        <x:v>Current NGF/GOLF.NL listing: 9 holes, par 35, 2778 metres. Listed as qualifying.</x:v>
      </x:c>
    </x:row>
    <x:row r="646">
      <x:c r="A646" s="56" t="str">
        <x:v>NL-0322</x:v>
      </x:c>
      <x:c r="B646" s="57" t="str">
        <x:v>De Utrechtse — Main Course</x:v>
      </x:c>
      <x:c r="C646" s="57" t="str">
        <x:v>Coordinates/address</x:v>
      </x:c>
      <x:c r="D646" s="57" t="str">
        <x:v>https://api.pdok.nl/bzk/locatieserver/search/v3_1/free?q=Heemsteedseweg+32a%2C+3992+LS+Houten&amp;fq=type%3Aadres&amp;rows=10</x:v>
      </x:c>
      <x:c r="E646" s="57" t="str">
        <x:v>Dutch BAG address point via PDOK Locatieserver</x:v>
      </x:c>
      <x:c r="F646" s="57" t="str">
        <x:v>2026-08-15</x:v>
      </x:c>
      <x:c r="G646" s="14" t="str">
        <x:v>Exact postcode-matched address point: Heemsteedseweg 32a, 3992LS Houten.</x:v>
      </x:c>
    </x:row>
    <x:row r="647">
      <x:c r="A647" s="56" t="str">
        <x:v>NL-0323</x:v>
      </x:c>
      <x:c r="B647" s="57" t="str">
        <x:v>De Utrechtse — Par-3 Course</x:v>
      </x:c>
      <x:c r="C647" s="57" t="str">
        <x:v>Course identity/specification</x:v>
      </x:c>
      <x:c r="D647" s="57" t="str">
        <x:v>https://www.golf.nl/de-baan-op/banenzoeker/overzicht</x:v>
      </x:c>
      <x:c r="E647" s="57" t="str">
        <x:v>Current national federation course register</x:v>
      </x:c>
      <x:c r="F647" s="57" t="str">
        <x:v>2026-08-15</x:v>
      </x:c>
      <x:c r="G647" s="14" t="str">
        <x:v>Current NGF/GOLF.NL listing: 9 holes, par 27, 723 metres. Listed as qualifying.</x:v>
      </x:c>
    </x:row>
    <x:row r="648">
      <x:c r="A648" s="56" t="str">
        <x:v>NL-0323</x:v>
      </x:c>
      <x:c r="B648" s="57" t="str">
        <x:v>De Utrechtse — Par-3 Course</x:v>
      </x:c>
      <x:c r="C648" s="57" t="str">
        <x:v>Coordinates/address</x:v>
      </x:c>
      <x:c r="D648" s="57" t="str">
        <x:v>https://api.pdok.nl/bzk/locatieserver/search/v3_1/free?q=Heemsteedseweg+32a%2C+3992+LS+Houten&amp;fq=type%3Aadres&amp;rows=10</x:v>
      </x:c>
      <x:c r="E648" s="57" t="str">
        <x:v>Dutch BAG address point via PDOK Locatieserver</x:v>
      </x:c>
      <x:c r="F648" s="57" t="str">
        <x:v>2026-08-15</x:v>
      </x:c>
      <x:c r="G648" s="14" t="str">
        <x:v>Exact postcode-matched address point: Heemsteedseweg 32a, 3992LS Houten.</x:v>
      </x:c>
    </x:row>
    <x:row r="649">
      <x:c r="A649" s="56" t="str">
        <x:v>NL-0324</x:v>
      </x:c>
      <x:c r="B649" s="57" t="str">
        <x:v>Doornse Golf Club</x:v>
      </x:c>
      <x:c r="C649" s="57" t="str">
        <x:v>Course identity/specification</x:v>
      </x:c>
      <x:c r="D649" s="57" t="str">
        <x:v>https://www.golf.nl/de-baan-op/banenzoeker/overzicht</x:v>
      </x:c>
      <x:c r="E649" s="57" t="str">
        <x:v>Current national federation course register</x:v>
      </x:c>
      <x:c r="F649" s="57" t="str">
        <x:v>2026-08-15</x:v>
      </x:c>
      <x:c r="G649" s="14" t="str">
        <x:v>Current NGF/GOLF.NL listing: 9 holes, par 27, 794 metres. Listed as qualifying.</x:v>
      </x:c>
    </x:row>
    <x:row r="650">
      <x:c r="A650" s="56" t="str">
        <x:v>NL-0324</x:v>
      </x:c>
      <x:c r="B650" s="57" t="str">
        <x:v>Doornse Golf Club</x:v>
      </x:c>
      <x:c r="C650" s="57" t="str">
        <x:v>Coordinates/address</x:v>
      </x:c>
      <x:c r="D650" s="57" t="str">
        <x:v>https://api.pdok.nl/bzk/locatieserver/search/v3_1/free?q=Mariniersweg+3%2C+3941+XK+Doorn&amp;fq=type%3Aadres&amp;rows=10</x:v>
      </x:c>
      <x:c r="E650" s="57" t="str">
        <x:v>Dutch BAG address point via PDOK Locatieserver</x:v>
      </x:c>
      <x:c r="F650" s="57" t="str">
        <x:v>2026-08-15</x:v>
      </x:c>
      <x:c r="G650" s="14" t="str">
        <x:v>Exact postcode-matched address point: Mariniersweg 3a, 3941XK Doorn.</x:v>
      </x:c>
    </x:row>
    <x:row r="651">
      <x:c r="A651" s="56" t="str">
        <x:v>NL-0325</x:v>
      </x:c>
      <x:c r="B651" s="57" t="str">
        <x:v>Golfbaan De Kroonprins Vianen — Main Course</x:v>
      </x:c>
      <x:c r="C651" s="57" t="str">
        <x:v>Course identity/specification</x:v>
      </x:c>
      <x:c r="D651" s="57" t="str">
        <x:v>https://www.golf.nl/de-baan-op/banenzoeker/overzicht</x:v>
      </x:c>
      <x:c r="E651" s="57" t="str">
        <x:v>Current national federation course register</x:v>
      </x:c>
      <x:c r="F651" s="57" t="str">
        <x:v>2026-08-15</x:v>
      </x:c>
      <x:c r="G651" s="14" t="str">
        <x:v>Current NGF/GOLF.NL listing: 18 holes, par 71, 5727 metres. Combined from exact NGF-listed constituent nine-hole loops: 1ste negen (9 holes, par 35, 2812 m); 2de negen (9 holes, par 36, 2915 m) Listed as qualifying.</x:v>
      </x:c>
    </x:row>
    <x:row r="652">
      <x:c r="A652" s="56" t="str">
        <x:v>NL-0325</x:v>
      </x:c>
      <x:c r="B652" s="57" t="str">
        <x:v>Golfbaan De Kroonprins Vianen — Main Course</x:v>
      </x:c>
      <x:c r="C652" s="57" t="str">
        <x:v>Coordinates/address</x:v>
      </x:c>
      <x:c r="D652" s="57" t="str">
        <x:v>https://api.pdok.nl/bzk/locatieserver/search/v3_1/free?q=Merwedekade+8%2C+4131+NZ+Vianen&amp;fq=type%3Aadres&amp;rows=10</x:v>
      </x:c>
      <x:c r="E652" s="57" t="str">
        <x:v>Dutch BAG address point via PDOK Locatieserver</x:v>
      </x:c>
      <x:c r="F652" s="57" t="str">
        <x:v>2026-08-15</x:v>
      </x:c>
      <x:c r="G652" s="14" t="str">
        <x:v>Exact postcode-matched address point: Merwedekade 8, 4131NZ Vianen.</x:v>
      </x:c>
    </x:row>
    <x:row r="653">
      <x:c r="A653" s="56" t="str">
        <x:v>NL-0326</x:v>
      </x:c>
      <x:c r="B653" s="57" t="str">
        <x:v>Golfbaan De Kroonprins Vianen — Par-3 Course</x:v>
      </x:c>
      <x:c r="C653" s="57" t="str">
        <x:v>Course identity/specification</x:v>
      </x:c>
      <x:c r="D653" s="57" t="str">
        <x:v>https://www.golf.nl/de-baan-op/banenzoeker/overzicht</x:v>
      </x:c>
      <x:c r="E653" s="57" t="str">
        <x:v>Current national federation course register</x:v>
      </x:c>
      <x:c r="F653" s="57" t="str">
        <x:v>2026-08-15</x:v>
      </x:c>
      <x:c r="G653" s="14" t="str">
        <x:v>Current NGF/GOLF.NL listing: 9 holes, par 27, 907 metres. Listed as qualifying.</x:v>
      </x:c>
    </x:row>
    <x:row r="654">
      <x:c r="A654" s="56" t="str">
        <x:v>NL-0326</x:v>
      </x:c>
      <x:c r="B654" s="57" t="str">
        <x:v>Golfbaan De Kroonprins Vianen — Par-3 Course</x:v>
      </x:c>
      <x:c r="C654" s="57" t="str">
        <x:v>Coordinates/address</x:v>
      </x:c>
      <x:c r="D654" s="57" t="str">
        <x:v>https://api.pdok.nl/bzk/locatieserver/search/v3_1/free?q=Merwedekade+8%2C+4131+NZ+Vianen&amp;fq=type%3Aadres&amp;rows=10</x:v>
      </x:c>
      <x:c r="E654" s="57" t="str">
        <x:v>Dutch BAG address point via PDOK Locatieserver</x:v>
      </x:c>
      <x:c r="F654" s="57" t="str">
        <x:v>2026-08-15</x:v>
      </x:c>
      <x:c r="G654" s="14" t="str">
        <x:v>Exact postcode-matched address point: Merwedekade 8, 4131NZ Vianen.</x:v>
      </x:c>
    </x:row>
    <x:row r="655">
      <x:c r="A655" s="56" t="str">
        <x:v>NL-0327</x:v>
      </x:c>
      <x:c r="B655" s="57" t="str">
        <x:v>Golfclub Anderstein — Heide</x:v>
      </x:c>
      <x:c r="C655" s="57" t="str">
        <x:v>Course identity/specification</x:v>
      </x:c>
      <x:c r="D655" s="57" t="str">
        <x:v>https://www.golf.nl/de-baan-op/banenzoeker/overzicht</x:v>
      </x:c>
      <x:c r="E655" s="57" t="str">
        <x:v>Current national federation course register</x:v>
      </x:c>
      <x:c r="F655" s="57" t="str">
        <x:v>2026-08-15</x:v>
      </x:c>
      <x:c r="G655" s="14" t="str">
        <x:v>Current NGF/GOLF.NL listing: 9 holes, par 36, 3163 metres. The current official facility contact page and BAG address replace the postcode typo in the NGF overview (Woudenbergseweg 13a, 3957 ME Maarsbergen). Listed as qualifying.</x:v>
      </x:c>
    </x:row>
    <x:row r="656">
      <x:c r="A656" s="56" t="str">
        <x:v>NL-0327</x:v>
      </x:c>
      <x:c r="B656" s="57" t="str">
        <x:v>Golfclub Anderstein — Heide</x:v>
      </x:c>
      <x:c r="C656" s="57" t="str">
        <x:v>Coordinates/address</x:v>
      </x:c>
      <x:c r="D656" s="57" t="str">
        <x:v>https://api.pdok.nl/bzk/locatieserver/search/v3_1/free?q=Woudenbergseweg+13a%2C+3953+ME+Maarsbergen&amp;fq=type%3Aadres&amp;rows=10</x:v>
      </x:c>
      <x:c r="E656" s="57" t="str">
        <x:v>Dutch BAG address point via PDOK Locatieserver</x:v>
      </x:c>
      <x:c r="F656" s="57" t="str">
        <x:v>2026-08-15</x:v>
      </x:c>
      <x:c r="G656" s="14" t="str">
        <x:v>Exact postcode-matched address point: Woudenbergseweg 13a, 3953ME Maarsbergen. Corrected address verified on the facility's current contact page: https://www.golfclubanderstein.nl/contact/.</x:v>
      </x:c>
    </x:row>
    <x:row r="657">
      <x:c r="A657" s="56" t="str">
        <x:v>NL-0328</x:v>
      </x:c>
      <x:c r="B657" s="57" t="str">
        <x:v>Golfclub Anderstein — Heuvelrug</x:v>
      </x:c>
      <x:c r="C657" s="57" t="str">
        <x:v>Course identity/specification</x:v>
      </x:c>
      <x:c r="D657" s="57" t="str">
        <x:v>https://www.golf.nl/de-baan-op/banenzoeker/overzicht</x:v>
      </x:c>
      <x:c r="E657" s="57" t="str">
        <x:v>Current national federation course register</x:v>
      </x:c>
      <x:c r="F657" s="57" t="str">
        <x:v>2026-08-15</x:v>
      </x:c>
      <x:c r="G657" s="14" t="str">
        <x:v>Current NGF/GOLF.NL listing: 9 holes, par 37, 3238 metres. The current official facility contact page and BAG address replace the postcode typo in the NGF overview (Woudenbergseweg 13a, 3957 ME Maarsbergen). Listed as qualifying.</x:v>
      </x:c>
    </x:row>
    <x:row r="658">
      <x:c r="A658" s="56" t="str">
        <x:v>NL-0328</x:v>
      </x:c>
      <x:c r="B658" s="57" t="str">
        <x:v>Golfclub Anderstein — Heuvelrug</x:v>
      </x:c>
      <x:c r="C658" s="57" t="str">
        <x:v>Coordinates/address</x:v>
      </x:c>
      <x:c r="D658" s="57" t="str">
        <x:v>https://api.pdok.nl/bzk/locatieserver/search/v3_1/free?q=Woudenbergseweg+13a%2C+3953+ME+Maarsbergen&amp;fq=type%3Aadres&amp;rows=10</x:v>
      </x:c>
      <x:c r="E658" s="57" t="str">
        <x:v>Dutch BAG address point via PDOK Locatieserver</x:v>
      </x:c>
      <x:c r="F658" s="57" t="str">
        <x:v>2026-08-15</x:v>
      </x:c>
      <x:c r="G658" s="14" t="str">
        <x:v>Exact postcode-matched address point: Woudenbergseweg 13a, 3953ME Maarsbergen. Corrected address verified on the facility's current contact page: https://www.golfclubanderstein.nl/contact/.</x:v>
      </x:c>
    </x:row>
    <x:row r="659">
      <x:c r="A659" s="56" t="str">
        <x:v>NL-0329</x:v>
      </x:c>
      <x:c r="B659" s="57" t="str">
        <x:v>Golfclub Anderstein — Vallei</x:v>
      </x:c>
      <x:c r="C659" s="57" t="str">
        <x:v>Course identity/specification</x:v>
      </x:c>
      <x:c r="D659" s="57" t="str">
        <x:v>https://www.golf.nl/de-baan-op/banenzoeker/overzicht</x:v>
      </x:c>
      <x:c r="E659" s="57" t="str">
        <x:v>Current national federation course register</x:v>
      </x:c>
      <x:c r="F659" s="57" t="str">
        <x:v>2026-08-15</x:v>
      </x:c>
      <x:c r="G659" s="14" t="str">
        <x:v>Current NGF/GOLF.NL listing: 9 holes, par 36, 2966 metres. The current official facility contact page and BAG address replace the postcode typo in the NGF overview (Woudenbergseweg 13a, 3957 ME Maarsbergen). Listed as qualifying.</x:v>
      </x:c>
    </x:row>
    <x:row r="660">
      <x:c r="A660" s="56" t="str">
        <x:v>NL-0329</x:v>
      </x:c>
      <x:c r="B660" s="57" t="str">
        <x:v>Golfclub Anderstein — Vallei</x:v>
      </x:c>
      <x:c r="C660" s="57" t="str">
        <x:v>Coordinates/address</x:v>
      </x:c>
      <x:c r="D660" s="57" t="str">
        <x:v>https://api.pdok.nl/bzk/locatieserver/search/v3_1/free?q=Woudenbergseweg+13a%2C+3953+ME+Maarsbergen&amp;fq=type%3Aadres&amp;rows=10</x:v>
      </x:c>
      <x:c r="E660" s="57" t="str">
        <x:v>Dutch BAG address point via PDOK Locatieserver</x:v>
      </x:c>
      <x:c r="F660" s="57" t="str">
        <x:v>2026-08-15</x:v>
      </x:c>
      <x:c r="G660" s="14" t="str">
        <x:v>Exact postcode-matched address point: Woudenbergseweg 13a, 3953ME Maarsbergen. Corrected address verified on the facility's current contact page: https://www.golfclubanderstein.nl/contact/.</x:v>
      </x:c>
    </x:row>
    <x:row r="661">
      <x:c r="A661" s="56" t="str">
        <x:v>NL-0330</x:v>
      </x:c>
      <x:c r="B661" s="57" t="str">
        <x:v>Golfclub De Haar — Main Course</x:v>
      </x:c>
      <x:c r="C661" s="57" t="str">
        <x:v>Course identity/specification</x:v>
      </x:c>
      <x:c r="D661" s="57" t="str">
        <x:v>https://www.golf.nl/de-baan-op/banenzoeker/overzicht</x:v>
      </x:c>
      <x:c r="E661" s="57" t="str">
        <x:v>Current national federation course register</x:v>
      </x:c>
      <x:c r="F661" s="57" t="str">
        <x:v>2026-08-15</x:v>
      </x:c>
      <x:c r="G661" s="14" t="str">
        <x:v>Current NGF/GOLF.NL listing: 18 holes, par 71, 5757 metres. Combined from exact NGF-listed constituent nine-hole loops: 1ste negen (9 holes, par 35, 2802 m); 2de negen (9 holes, par 36, 2955 m) Listed as qualifying.</x:v>
      </x:c>
    </x:row>
    <x:row r="662">
      <x:c r="A662" s="56" t="str">
        <x:v>NL-0330</x:v>
      </x:c>
      <x:c r="B662" s="57" t="str">
        <x:v>Golfclub De Haar — Main Course</x:v>
      </x:c>
      <x:c r="C662" s="57" t="str">
        <x:v>Coordinates/address</x:v>
      </x:c>
      <x:c r="D662" s="57" t="str">
        <x:v>https://api.pdok.nl/bzk/locatieserver/search/v3_1/free?q=Parkweg+5%2C+3455+RH+Haarzuilens&amp;fq=type%3Aadres&amp;rows=10</x:v>
      </x:c>
      <x:c r="E662" s="57" t="str">
        <x:v>Dutch BAG address point via PDOK Locatieserver</x:v>
      </x:c>
      <x:c r="F662" s="57" t="str">
        <x:v>2026-08-15</x:v>
      </x:c>
      <x:c r="G662" s="14" t="str">
        <x:v>Exact postcode-matched address point: Parkweg 5A, 3455RH Haarzuilens.</x:v>
      </x:c>
    </x:row>
    <x:row r="663">
      <x:c r="A663" s="56" t="str">
        <x:v>NL-0331</x:v>
      </x:c>
      <x:c r="B663" s="57" t="str">
        <x:v>Golfclub De Hoge Kleij — Main Course</x:v>
      </x:c>
      <x:c r="C663" s="57" t="str">
        <x:v>Course identity/specification</x:v>
      </x:c>
      <x:c r="D663" s="57" t="str">
        <x:v>https://www.golf.nl/de-baan-op/banenzoeker/overzicht</x:v>
      </x:c>
      <x:c r="E663" s="57" t="str">
        <x:v>Current national federation course register</x:v>
      </x:c>
      <x:c r="F663" s="57" t="str">
        <x:v>2026-08-15</x:v>
      </x:c>
      <x:c r="G663" s="14" t="str">
        <x:v>Current NGF/GOLF.NL listing: 18 holes, par 72, 6302 metres. Combined from exact NGF-listed constituent nine-hole loops: 1ste negen (9 holes, par 35, 2922 m); 2de negen (9 holes, par 37, 3380 m) Listed as qualifying.</x:v>
      </x:c>
    </x:row>
    <x:row r="664">
      <x:c r="A664" s="56" t="str">
        <x:v>NL-0331</x:v>
      </x:c>
      <x:c r="B664" s="57" t="str">
        <x:v>Golfclub De Hoge Kleij — Main Course</x:v>
      </x:c>
      <x:c r="C664" s="57" t="str">
        <x:v>Coordinates/address</x:v>
      </x:c>
      <x:c r="D664" s="57" t="str">
        <x:v>https://api.pdok.nl/bzk/locatieserver/search/v3_1/free?q=Loes+van+Overeemlaan+16%2C+3832+RZ+Leusden&amp;fq=type%3Aadres&amp;rows=10</x:v>
      </x:c>
      <x:c r="E664" s="57" t="str">
        <x:v>Dutch BAG address point via PDOK Locatieserver</x:v>
      </x:c>
      <x:c r="F664" s="57" t="str">
        <x:v>2026-08-15</x:v>
      </x:c>
      <x:c r="G664" s="14" t="str">
        <x:v>Exact postcode-matched address point: Loes van Overeemlaan 16, 3832RZ Leusden.</x:v>
      </x:c>
    </x:row>
    <x:row r="665">
      <x:c r="A665" s="56" t="str">
        <x:v>NL-0332</x:v>
      </x:c>
      <x:c r="B665" s="57" t="str">
        <x:v>Golfclub Kromme Rijn</x:v>
      </x:c>
      <x:c r="C665" s="57" t="str">
        <x:v>Course identity/specification</x:v>
      </x:c>
      <x:c r="D665" s="57" t="str">
        <x:v>https://www.golf.nl/de-baan-op/banenzoeker/overzicht</x:v>
      </x:c>
      <x:c r="E665" s="57" t="str">
        <x:v>Current national federation course register</x:v>
      </x:c>
      <x:c r="F665" s="57" t="str">
        <x:v>2026-08-15</x:v>
      </x:c>
      <x:c r="G665" s="14" t="str">
        <x:v>Current NGF/GOLF.NL listing: 9 holes, par 35, 3005 metres. Listed as qualifying.</x:v>
      </x:c>
    </x:row>
    <x:row r="666">
      <x:c r="A666" s="56" t="str">
        <x:v>NL-0332</x:v>
      </x:c>
      <x:c r="B666" s="57" t="str">
        <x:v>Golfclub Kromme Rijn</x:v>
      </x:c>
      <x:c r="C666" s="57" t="str">
        <x:v>Coordinates/address</x:v>
      </x:c>
      <x:c r="D666" s="57" t="str">
        <x:v>https://api.pdok.nl/bzk/locatieserver/search/v3_1/free?q=Sportlaan+6%2C+3981+HP+Bunnik&amp;fq=type%3Aadres&amp;rows=10</x:v>
      </x:c>
      <x:c r="E666" s="57" t="str">
        <x:v>Dutch BAG address point via PDOK Locatieserver</x:v>
      </x:c>
      <x:c r="F666" s="57" t="str">
        <x:v>2026-08-15</x:v>
      </x:c>
      <x:c r="G666" s="14" t="str">
        <x:v>Exact postcode-matched address point: Sportlaan 6, 3981HP Bunnik.</x:v>
      </x:c>
    </x:row>
    <x:row r="667">
      <x:c r="A667" s="56" t="str">
        <x:v>NL-0333</x:v>
      </x:c>
      <x:c r="B667" s="57" t="str">
        <x:v>Golfclub Old Course Loenen</x:v>
      </x:c>
      <x:c r="C667" s="57" t="str">
        <x:v>Course identity/specification</x:v>
      </x:c>
      <x:c r="D667" s="57" t="str">
        <x:v>https://www.golf.nl/de-baan-op/banenzoeker/overzicht</x:v>
      </x:c>
      <x:c r="E667" s="57" t="str">
        <x:v>Current national federation course register</x:v>
      </x:c>
      <x:c r="F667" s="57" t="str">
        <x:v>2026-08-15</x:v>
      </x:c>
      <x:c r="G667" s="14" t="str">
        <x:v>Current NGF/GOLF.NL listing: 9 holes, par 36, 3006 metres. Listed as qualifying.</x:v>
      </x:c>
    </x:row>
    <x:row r="668">
      <x:c r="A668" s="56" t="str">
        <x:v>NL-0333</x:v>
      </x:c>
      <x:c r="B668" s="57" t="str">
        <x:v>Golfclub Old Course Loenen</x:v>
      </x:c>
      <x:c r="C668" s="57" t="str">
        <x:v>Coordinates/address</x:v>
      </x:c>
      <x:c r="D668" s="57" t="str">
        <x:v>https://api.pdok.nl/bzk/locatieserver/search/v3_1/free?q=Rijksstraatweg+171%2C+3632+AC+Loenen+Aan+De+Vecht&amp;fq=type%3Aadres&amp;rows=10</x:v>
      </x:c>
      <x:c r="E668" s="57" t="str">
        <x:v>Dutch BAG address point via PDOK Locatieserver</x:v>
      </x:c>
      <x:c r="F668" s="57" t="str">
        <x:v>2026-08-15</x:v>
      </x:c>
      <x:c r="G668" s="14" t="str">
        <x:v>Exact postcode-matched address point: Rijksstraatweg 171, 3632AC Loenen aan de Vecht.</x:v>
      </x:c>
    </x:row>
    <x:row r="669">
      <x:c r="A669" s="56" t="str">
        <x:v>NL-0334</x:v>
      </x:c>
      <x:c r="B669" s="57" t="str">
        <x:v>Golfpark De Biltse Duinen</x:v>
      </x:c>
      <x:c r="C669" s="57" t="str">
        <x:v>Course identity/specification</x:v>
      </x:c>
      <x:c r="D669" s="57" t="str">
        <x:v>https://www.golf.nl/de-baan-op/banenzoeker/overzicht</x:v>
      </x:c>
      <x:c r="E669" s="57" t="str">
        <x:v>Current national federation course register</x:v>
      </x:c>
      <x:c r="F669" s="57" t="str">
        <x:v>2026-08-15</x:v>
      </x:c>
      <x:c r="G669" s="14" t="str">
        <x:v>Current NGF/GOLF.NL listing: 9 holes, par 27, 963 metres. Listed as qualifying.</x:v>
      </x:c>
    </x:row>
    <x:row r="670">
      <x:c r="A670" s="56" t="str">
        <x:v>NL-0334</x:v>
      </x:c>
      <x:c r="B670" s="57" t="str">
        <x:v>Golfpark De Biltse Duinen</x:v>
      </x:c>
      <x:c r="C670" s="57" t="str">
        <x:v>Coordinates/address</x:v>
      </x:c>
      <x:c r="D670" s="57" t="str">
        <x:v>https://api.pdok.nl/bzk/locatieserver/search/v3_1/free?q=Burg.+v.d.+Borchlaan+6%2C+3722+GZ+Bilthoven&amp;fq=type%3Aadres&amp;rows=10</x:v>
      </x:c>
      <x:c r="E670" s="57" t="str">
        <x:v>Dutch BAG address point via PDOK Locatieserver</x:v>
      </x:c>
      <x:c r="F670" s="57" t="str">
        <x:v>2026-08-15</x:v>
      </x:c>
      <x:c r="G670" s="14" t="str">
        <x:v>Exact postcode-matched address point: Burgemeester Van der Borchlaan 6A, 3722GZ Bilthoven.</x:v>
      </x:c>
    </x:row>
    <x:row r="671">
      <x:c r="A671" s="56" t="str">
        <x:v>NL-0335</x:v>
      </x:c>
      <x:c r="B671" s="57" t="str">
        <x:v>Golfpark Soestduinen</x:v>
      </x:c>
      <x:c r="C671" s="57" t="str">
        <x:v>Course identity/specification</x:v>
      </x:c>
      <x:c r="D671" s="57" t="str">
        <x:v>https://www.golf.nl/de-baan-op/banenzoeker/overzicht</x:v>
      </x:c>
      <x:c r="E671" s="57" t="str">
        <x:v>Current national federation course register</x:v>
      </x:c>
      <x:c r="F671" s="57" t="str">
        <x:v>2026-08-15</x:v>
      </x:c>
      <x:c r="G671" s="14" t="str">
        <x:v>Current NGF/GOLF.NL listing: 9 holes, par 27, 689 metres. Listed as qualifying.</x:v>
      </x:c>
    </x:row>
    <x:row r="672">
      <x:c r="A672" s="56" t="str">
        <x:v>NL-0335</x:v>
      </x:c>
      <x:c r="B672" s="57" t="str">
        <x:v>Golfpark Soestduinen</x:v>
      </x:c>
      <x:c r="C672" s="57" t="str">
        <x:v>Coordinates/address</x:v>
      </x:c>
      <x:c r="D672" s="57" t="str">
        <x:v>https://api.pdok.nl/bzk/locatieserver/search/v3_1/free?q=Van+Weerden+Poelmanweg+8%2C+3768+MN+Soest&amp;fq=type%3Aadres&amp;rows=10</x:v>
      </x:c>
      <x:c r="E672" s="57" t="str">
        <x:v>Dutch BAG address point via PDOK Locatieserver</x:v>
      </x:c>
      <x:c r="F672" s="57" t="str">
        <x:v>2026-08-15</x:v>
      </x:c>
      <x:c r="G672" s="14" t="str">
        <x:v>Exact postcode-matched address point: Van Weerden Poelmanweg 8, 3768MN Soest.</x:v>
      </x:c>
    </x:row>
    <x:row r="673">
      <x:c r="A673" s="56" t="str">
        <x:v>NL-0336</x:v>
      </x:c>
      <x:c r="B673" s="57" t="str">
        <x:v>Golfpark Wilnis — Main Course</x:v>
      </x:c>
      <x:c r="C673" s="57" t="str">
        <x:v>Course identity/specification</x:v>
      </x:c>
      <x:c r="D673" s="57" t="str">
        <x:v>https://www.golf.nl/de-baan-op/banenzoeker/overzicht</x:v>
      </x:c>
      <x:c r="E673" s="57" t="str">
        <x:v>Current national federation course register</x:v>
      </x:c>
      <x:c r="F673" s="57" t="str">
        <x:v>2026-08-15</x:v>
      </x:c>
      <x:c r="G673" s="14" t="str">
        <x:v>Current NGF/GOLF.NL listing: 18 holes, par 72, 5916 metres. Combined from exact NGF-listed constituent nine-hole loops: 1ste negen (9 holes, par 36, 2973 m); 2de negen (9 holes, par 36, 2943 m) Listed as qualifying.</x:v>
      </x:c>
    </x:row>
    <x:row r="674">
      <x:c r="A674" s="56" t="str">
        <x:v>NL-0336</x:v>
      </x:c>
      <x:c r="B674" s="57" t="str">
        <x:v>Golfpark Wilnis — Main Course</x:v>
      </x:c>
      <x:c r="C674" s="57" t="str">
        <x:v>Coordinates/address</x:v>
      </x:c>
      <x:c r="D674" s="57" t="str">
        <x:v>https://api.pdok.nl/bzk/locatieserver/search/v3_1/free?q=Bovendijk+16a%2C+3648+NM+Wilnis&amp;fq=type%3Aadres&amp;rows=10</x:v>
      </x:c>
      <x:c r="E674" s="57" t="str">
        <x:v>Dutch BAG address point via PDOK Locatieserver</x:v>
      </x:c>
      <x:c r="F674" s="57" t="str">
        <x:v>2026-08-15</x:v>
      </x:c>
      <x:c r="G674" s="14" t="str">
        <x:v>Exact postcode-matched address point: Bovendijk 16A, 3648NM Wilnis.</x:v>
      </x:c>
    </x:row>
    <x:row r="675">
      <x:c r="A675" s="56" t="str">
        <x:v>NL-0337</x:v>
      </x:c>
      <x:c r="B675" s="57" t="str">
        <x:v>Golfpark Wilnis — Par-3 Course</x:v>
      </x:c>
      <x:c r="C675" s="57" t="str">
        <x:v>Course identity/specification</x:v>
      </x:c>
      <x:c r="D675" s="57" t="str">
        <x:v>https://www.golf.nl/de-baan-op/banenzoeker/overzicht</x:v>
      </x:c>
      <x:c r="E675" s="57" t="str">
        <x:v>Current national federation course register</x:v>
      </x:c>
      <x:c r="F675" s="57" t="str">
        <x:v>2026-08-15</x:v>
      </x:c>
      <x:c r="G675" s="14" t="str">
        <x:v>Current NGF/GOLF.NL listing: 9 holes, par 27, 844 metres. Listed as qualifying.</x:v>
      </x:c>
    </x:row>
    <x:row r="676">
      <x:c r="A676" s="56" t="str">
        <x:v>NL-0337</x:v>
      </x:c>
      <x:c r="B676" s="57" t="str">
        <x:v>Golfpark Wilnis — Par-3 Course</x:v>
      </x:c>
      <x:c r="C676" s="57" t="str">
        <x:v>Coordinates/address</x:v>
      </x:c>
      <x:c r="D676" s="57" t="str">
        <x:v>https://api.pdok.nl/bzk/locatieserver/search/v3_1/free?q=Bovendijk+16a%2C+3648+NM+Wilnis&amp;fq=type%3Aadres&amp;rows=10</x:v>
      </x:c>
      <x:c r="E676" s="57" t="str">
        <x:v>Dutch BAG address point via PDOK Locatieserver</x:v>
      </x:c>
      <x:c r="F676" s="57" t="str">
        <x:v>2026-08-15</x:v>
      </x:c>
      <x:c r="G676" s="14" t="str">
        <x:v>Exact postcode-matched address point: Bovendijk 16A, 3648NM Wilnis.</x:v>
      </x:c>
    </x:row>
    <x:row r="677">
      <x:c r="A677" s="56" t="str">
        <x:v>NL-0338</x:v>
      </x:c>
      <x:c r="B677" s="57" t="str">
        <x:v>Golfsociëteit De Lage Vuursche — Main Course</x:v>
      </x:c>
      <x:c r="C677" s="57" t="str">
        <x:v>Course identity/specification</x:v>
      </x:c>
      <x:c r="D677" s="57" t="str">
        <x:v>https://www.golf.nl/de-baan-op/banenzoeker/overzicht</x:v>
      </x:c>
      <x:c r="E677" s="57" t="str">
        <x:v>Current national federation course register</x:v>
      </x:c>
      <x:c r="F677" s="57" t="str">
        <x:v>2026-08-15</x:v>
      </x:c>
      <x:c r="G677" s="14" t="str">
        <x:v>Current NGF/GOLF.NL listing: 18 holes, par 71, 6287 metres. Combined from exact NGF-listed constituent nine-hole loops: 1ste negen (9 holes, par 35, 3078 m); 2de negen (9 holes, par 36, 3209 m) Listed as qualifying.</x:v>
      </x:c>
    </x:row>
    <x:row r="678">
      <x:c r="A678" s="56" t="str">
        <x:v>NL-0338</x:v>
      </x:c>
      <x:c r="B678" s="57" t="str">
        <x:v>Golfsociëteit De Lage Vuursche — Main Course</x:v>
      </x:c>
      <x:c r="C678" s="57" t="str">
        <x:v>Coordinates/address</x:v>
      </x:c>
      <x:c r="D678" s="57" t="str">
        <x:v>https://api.pdok.nl/bzk/locatieserver/search/v3_1/free?q=Dolderseweg+262%2C+3734+BS+Den+Dolder&amp;fq=type%3Aadres&amp;rows=10</x:v>
      </x:c>
      <x:c r="E678" s="57" t="str">
        <x:v>Dutch BAG address point via PDOK Locatieserver</x:v>
      </x:c>
      <x:c r="F678" s="57" t="str">
        <x:v>2026-08-15</x:v>
      </x:c>
      <x:c r="G678" s="14" t="str">
        <x:v>Exact postcode-matched address point: Dolderseweg 262, 3734BS Den Dolder.</x:v>
      </x:c>
    </x:row>
    <x:row r="679">
      <x:c r="A679" s="56" t="str">
        <x:v>NL-0339</x:v>
      </x:c>
      <x:c r="B679" s="57" t="str">
        <x:v>Golfvereniging Hoogland Amersfoort</x:v>
      </x:c>
      <x:c r="C679" s="57" t="str">
        <x:v>Course identity/specification</x:v>
      </x:c>
      <x:c r="D679" s="57" t="str">
        <x:v>https://www.golf.nl/de-baan-op/banenzoeker/overzicht</x:v>
      </x:c>
      <x:c r="E679" s="57" t="str">
        <x:v>Current national federation course register</x:v>
      </x:c>
      <x:c r="F679" s="57" t="str">
        <x:v>2026-08-15</x:v>
      </x:c>
      <x:c r="G679" s="14" t="str">
        <x:v>Current NGF/GOLF.NL listing: 9 holes, par 34, 2617 metres. Listed as qualifying.</x:v>
      </x:c>
    </x:row>
    <x:row r="680">
      <x:c r="A680" s="56" t="str">
        <x:v>NL-0339</x:v>
      </x:c>
      <x:c r="B680" s="57" t="str">
        <x:v>Golfvereniging Hoogland Amersfoort</x:v>
      </x:c>
      <x:c r="C680" s="57" t="str">
        <x:v>Coordinates/address</x:v>
      </x:c>
      <x:c r="D680" s="57" t="str">
        <x:v>https://api.pdok.nl/bzk/locatieserver/search/v3_1/free?q=Bunschoterstraat+23%2C+3828+NR+Hoogland&amp;fq=type%3Aadres&amp;rows=10</x:v>
      </x:c>
      <x:c r="E680" s="57" t="str">
        <x:v>Dutch BAG address point via PDOK Locatieserver</x:v>
      </x:c>
      <x:c r="F680" s="57" t="str">
        <x:v>2026-08-15</x:v>
      </x:c>
      <x:c r="G680" s="14" t="str">
        <x:v>Exact postcode-matched address point: Bunschoterstraat 23A, 3828NR Hoogland.</x:v>
      </x:c>
    </x:row>
    <x:row r="681">
      <x:c r="A681" s="56" t="str">
        <x:v>NL-0340</x:v>
      </x:c>
      <x:c r="B681" s="57" t="str">
        <x:v>Gooise Golfclub</x:v>
      </x:c>
      <x:c r="C681" s="57" t="str">
        <x:v>Course identity/specification</x:v>
      </x:c>
      <x:c r="D681" s="57" t="str">
        <x:v>https://www.golf.nl/de-baan-op/banenzoeker/overzicht</x:v>
      </x:c>
      <x:c r="E681" s="57" t="str">
        <x:v>Current national federation course register</x:v>
      </x:c>
      <x:c r="F681" s="57" t="str">
        <x:v>2026-08-15</x:v>
      </x:c>
      <x:c r="G681" s="14" t="str">
        <x:v>Current NGF/GOLF.NL listing: 9 holes, par 27, 935 metres. Listed as qualifying.</x:v>
      </x:c>
    </x:row>
    <x:row r="682">
      <x:c r="A682" s="56" t="str">
        <x:v>NL-0340</x:v>
      </x:c>
      <x:c r="B682" s="57" t="str">
        <x:v>Gooise Golfclub</x:v>
      </x:c>
      <x:c r="C682" s="57" t="str">
        <x:v>Coordinates/address</x:v>
      </x:c>
      <x:c r="D682" s="57" t="str">
        <x:v>https://api.pdok.nl/bzk/locatieserver/search/v3_1/free?q=t+Jagerspaadje+24a%2C+1231+KJ+Loosdrecht&amp;fq=type%3Aadres&amp;rows=10</x:v>
      </x:c>
      <x:c r="E682" s="57" t="str">
        <x:v>Dutch BAG address point via PDOK Locatieserver</x:v>
      </x:c>
      <x:c r="F682" s="57" t="str">
        <x:v>2026-08-15</x:v>
      </x:c>
      <x:c r="G682" s="14" t="str">
        <x:v>Exact postcode-matched address point: 't Jagerspaadje 24a, 1231KJ Loosdrecht.</x:v>
      </x:c>
    </x:row>
    <x:row r="683">
      <x:c r="A683" s="56" t="str">
        <x:v>NL-0341</x:v>
      </x:c>
      <x:c r="B683" s="57" t="str">
        <x:v>Goyer Golf &amp; Country Club — Main Course</x:v>
      </x:c>
      <x:c r="C683" s="57" t="str">
        <x:v>Course identity/specification</x:v>
      </x:c>
      <x:c r="D683" s="57" t="str">
        <x:v>https://www.golf.nl/de-baan-op/banenzoeker/overzicht</x:v>
      </x:c>
      <x:c r="E683" s="57" t="str">
        <x:v>Current national federation course register</x:v>
      </x:c>
      <x:c r="F683" s="57" t="str">
        <x:v>2026-08-15</x:v>
      </x:c>
      <x:c r="G683" s="14" t="str">
        <x:v>Current NGF/GOLF.NL listing: 18 holes, par 72, 6237 metres. Combined from exact NGF-listed constituent nine-hole loops: 1ste negen (9 holes, par 36, 3058 m); 2de negen (9 holes, par 36, 3179 m) Listed as qualifying.</x:v>
      </x:c>
    </x:row>
    <x:row r="684">
      <x:c r="A684" s="56" t="str">
        <x:v>NL-0341</x:v>
      </x:c>
      <x:c r="B684" s="57" t="str">
        <x:v>Goyer Golf &amp; Country Club — Main Course</x:v>
      </x:c>
      <x:c r="C684" s="57" t="str">
        <x:v>Coordinates/address</x:v>
      </x:c>
      <x:c r="D684" s="57" t="str">
        <x:v>https://api.pdok.nl/bzk/locatieserver/search/v3_1/free?q=Beukenlaan+1+en+2%2C+3755+MP+Eemnes&amp;fq=type%3Aadres&amp;rows=10</x:v>
      </x:c>
      <x:c r="E684" s="57" t="str">
        <x:v>Dutch BAG address point via PDOK Locatieserver</x:v>
      </x:c>
      <x:c r="F684" s="57" t="str">
        <x:v>2026-08-15</x:v>
      </x:c>
      <x:c r="G684" s="14" t="str">
        <x:v>Exact postcode-matched address point: Beukenlaan 1, 3755MP Eemnes.</x:v>
      </x:c>
    </x:row>
    <x:row r="685">
      <x:c r="A685" s="56" t="str">
        <x:v>NL-0342</x:v>
      </x:c>
      <x:c r="B685" s="57" t="str">
        <x:v>Health Center Hoenderdaal</x:v>
      </x:c>
      <x:c r="C685" s="57" t="str">
        <x:v>Course identity/specification</x:v>
      </x:c>
      <x:c r="D685" s="57" t="str">
        <x:v>https://www.golf.nl/de-baan-op/banenzoeker/overzicht</x:v>
      </x:c>
      <x:c r="E685" s="57" t="str">
        <x:v>Current national federation course register</x:v>
      </x:c>
      <x:c r="F685" s="57" t="str">
        <x:v>2026-08-15</x:v>
      </x:c>
      <x:c r="G685" s="14" t="str">
        <x:v>Current NGF/GOLF.NL listing: 9 holes, par 27, 877 metres. Listed as qualifying.</x:v>
      </x:c>
    </x:row>
    <x:row r="686">
      <x:c r="A686" s="56" t="str">
        <x:v>NL-0342</x:v>
      </x:c>
      <x:c r="B686" s="57" t="str">
        <x:v>Health Center Hoenderdaal</x:v>
      </x:c>
      <x:c r="C686" s="57" t="str">
        <x:v>Coordinates/address</x:v>
      </x:c>
      <x:c r="D686" s="57" t="str">
        <x:v>https://api.pdok.nl/bzk/locatieserver/search/v3_1/free?q=Hoendersteeg+7%2C+3972+NA+Driebergen-Rijsenburg&amp;fq=type%3Aadres&amp;rows=10</x:v>
      </x:c>
      <x:c r="E686" s="57" t="str">
        <x:v>Dutch BAG address point via PDOK Locatieserver</x:v>
      </x:c>
      <x:c r="F686" s="57" t="str">
        <x:v>2026-08-15</x:v>
      </x:c>
      <x:c r="G686" s="14" t="str">
        <x:v>Exact postcode-matched address point: Hoendersteeg 7, 3972NA Driebergen-Rijsenburg.</x:v>
      </x:c>
    </x:row>
    <x:row r="687">
      <x:c r="A687" s="56" t="str">
        <x:v>NL-0343</x:v>
      </x:c>
      <x:c r="B687" s="57" t="str">
        <x:v>Pitch &amp; putt Buitenplaats Kameryck — Shortgolf / Pitch &amp; Putt Course</x:v>
      </x:c>
      <x:c r="C687" s="57" t="str">
        <x:v>Course identity/specification</x:v>
      </x:c>
      <x:c r="D687" s="57" t="str">
        <x:v>https://www.golf.nl/de-baan-op/banenzoeker/overzicht</x:v>
      </x:c>
      <x:c r="E687" s="57" t="str">
        <x:v>Current national federation course register</x:v>
      </x:c>
      <x:c r="F687" s="57" t="str">
        <x:v>2026-08-15</x:v>
      </x:c>
      <x:c r="G687" s="14" t="str">
        <x:v>Current NGF/GOLF.NL listing: 18 holes, par 54, 900 metres. Combined from exact NGF-listed constituent nine-hole loops: 1ste negen (9 holes, par 27, 450 m); 2de negen (9 holes, par 27, 450 m) Listed as non-qualifying.</x:v>
      </x:c>
    </x:row>
    <x:row r="688">
      <x:c r="A688" s="56" t="str">
        <x:v>NL-0343</x:v>
      </x:c>
      <x:c r="B688" s="57" t="str">
        <x:v>Pitch &amp; putt Buitenplaats Kameryck — Shortgolf / Pitch &amp; Putt Course</x:v>
      </x:c>
      <x:c r="C688" s="57" t="str">
        <x:v>Coordinates/address</x:v>
      </x:c>
      <x:c r="D688" s="57" t="str">
        <x:v>https://api.pdok.nl/bzk/locatieserver/search/v3_1/free?q=Oortjespad+3%2C+3471+HD+Kamerik&amp;fq=type%3Aadres&amp;rows=10</x:v>
      </x:c>
      <x:c r="E688" s="57" t="str">
        <x:v>Dutch BAG address point via PDOK Locatieserver</x:v>
      </x:c>
      <x:c r="F688" s="57" t="str">
        <x:v>2026-08-15</x:v>
      </x:c>
      <x:c r="G688" s="14" t="str">
        <x:v>Exact postcode-matched address point: Oortjespad 3A, 3471HD Kamerik.</x:v>
      </x:c>
    </x:row>
    <x:row r="689">
      <x:c r="A689" s="56" t="str">
        <x:v>NL-0344</x:v>
      </x:c>
      <x:c r="B689" s="57" t="str">
        <x:v>ShortGolf Utrecht — Par-3 Course</x:v>
      </x:c>
      <x:c r="C689" s="57" t="str">
        <x:v>Course identity/specification</x:v>
      </x:c>
      <x:c r="D689" s="57" t="str">
        <x:v>https://www.golf.nl/de-baan-op/banenzoeker/overzicht</x:v>
      </x:c>
      <x:c r="E689" s="57" t="str">
        <x:v>Current national federation course register</x:v>
      </x:c>
      <x:c r="F689" s="57" t="str">
        <x:v>2026-08-15</x:v>
      </x:c>
      <x:c r="G689" s="14" t="str">
        <x:v>Current NGF/GOLF.NL listing: 9 holes, par 27, 705 metres. Listed as qualifying.</x:v>
      </x:c>
    </x:row>
    <x:row r="690">
      <x:c r="A690" s="56" t="str">
        <x:v>NL-0344</x:v>
      </x:c>
      <x:c r="B690" s="57" t="str">
        <x:v>ShortGolf Utrecht — Par-3 Course</x:v>
      </x:c>
      <x:c r="C690" s="57" t="str">
        <x:v>Coordinates/address</x:v>
      </x:c>
      <x:c r="D690" s="57" t="str">
        <x:v>https://api.pdok.nl/bzk/locatieserver/search/v3_1/free?q=Sportpark+Galecop+10%2C+3438+HX+Nieuwegein&amp;fq=type%3Aadres&amp;rows=10</x:v>
      </x:c>
      <x:c r="E690" s="57" t="str">
        <x:v>Dutch BAG address point via PDOK Locatieserver</x:v>
      </x:c>
      <x:c r="F690" s="57" t="str">
        <x:v>2026-08-15</x:v>
      </x:c>
      <x:c r="G690" s="14" t="str">
        <x:v>Exact postcode-matched address point: Sportpark Galecop 10, 3438HX Nieuwegein.</x:v>
      </x:c>
    </x:row>
    <x:row r="691">
      <x:c r="A691" s="56" t="str">
        <x:v>NL-0345</x:v>
      </x:c>
      <x:c r="B691" s="57" t="str">
        <x:v>ShortGolf Utrecht — Par-3/4 Course</x:v>
      </x:c>
      <x:c r="C691" s="57" t="str">
        <x:v>Course identity/specification</x:v>
      </x:c>
      <x:c r="D691" s="57" t="str">
        <x:v>https://www.golf.nl/de-baan-op/banenzoeker/overzicht</x:v>
      </x:c>
      <x:c r="E691" s="57" t="str">
        <x:v>Current national federation course register</x:v>
      </x:c>
      <x:c r="F691" s="57" t="str">
        <x:v>2026-08-15</x:v>
      </x:c>
      <x:c r="G691" s="14" t="str">
        <x:v>Current NGF/GOLF.NL listing: 9 holes, par 29, 1099 metres. Listed as qualifying.</x:v>
      </x:c>
    </x:row>
    <x:row r="692">
      <x:c r="A692" s="56" t="str">
        <x:v>NL-0345</x:v>
      </x:c>
      <x:c r="B692" s="57" t="str">
        <x:v>ShortGolf Utrecht — Par-3/4 Course</x:v>
      </x:c>
      <x:c r="C692" s="57" t="str">
        <x:v>Coordinates/address</x:v>
      </x:c>
      <x:c r="D692" s="57" t="str">
        <x:v>https://api.pdok.nl/bzk/locatieserver/search/v3_1/free?q=Sportpark+Galecop+10%2C+3438+HX+Nieuwegein&amp;fq=type%3Aadres&amp;rows=10</x:v>
      </x:c>
      <x:c r="E692" s="57" t="str">
        <x:v>Dutch BAG address point via PDOK Locatieserver</x:v>
      </x:c>
      <x:c r="F692" s="57" t="str">
        <x:v>2026-08-15</x:v>
      </x:c>
      <x:c r="G692" s="14" t="str">
        <x:v>Exact postcode-matched address point: Sportpark Galecop 10, 3438HX Nieuwegein.</x:v>
      </x:c>
    </x:row>
    <x:row r="693">
      <x:c r="A693" s="56" t="str">
        <x:v>NL-0346</x:v>
      </x:c>
      <x:c r="B693" s="57" t="str">
        <x:v>Utrechtse Golfclub Amelisweerd — Main Course</x:v>
      </x:c>
      <x:c r="C693" s="57" t="str">
        <x:v>Course identity/specification</x:v>
      </x:c>
      <x:c r="D693" s="57" t="str">
        <x:v>https://www.golf.nl/de-baan-op/banenzoeker/overzicht</x:v>
      </x:c>
      <x:c r="E693" s="57" t="str">
        <x:v>Current national federation course register</x:v>
      </x:c>
      <x:c r="F693" s="57" t="str">
        <x:v>2026-08-15</x:v>
      </x:c>
      <x:c r="G693" s="14" t="str">
        <x:v>Current NGF/GOLF.NL listing: 18 holes, par 70, 6043 metres. Combined from exact NGF-listed constituent nine-hole loops: 1ste negen (9 holes, par 34, 2855 m); 2de negen (9 holes, par 36, 3188 m) Listed as qualifying.</x:v>
      </x:c>
    </x:row>
    <x:row r="694">
      <x:c r="A694" s="56" t="str">
        <x:v>NL-0346</x:v>
      </x:c>
      <x:c r="B694" s="57" t="str">
        <x:v>Utrechtse Golfclub Amelisweerd — Main Course</x:v>
      </x:c>
      <x:c r="C694" s="57" t="str">
        <x:v>Coordinates/address</x:v>
      </x:c>
      <x:c r="D694" s="57" t="str">
        <x:v>https://api.pdok.nl/bzk/locatieserver/search/v3_1/free?q=Mereveldseweg+7%2C+3585+LH+Utrecht&amp;fq=type%3Aadres&amp;rows=10</x:v>
      </x:c>
      <x:c r="E694" s="57" t="str">
        <x:v>Dutch BAG address point via PDOK Locatieserver</x:v>
      </x:c>
      <x:c r="F694" s="57" t="str">
        <x:v>2026-08-15</x:v>
      </x:c>
      <x:c r="G694" s="14" t="str">
        <x:v>Exact postcode-matched address point: Mereveldseweg 7, 3585LH Utrecht.</x:v>
      </x:c>
    </x:row>
    <x:row r="695">
      <x:c r="A695" s="56" t="str">
        <x:v>NL-0347</x:v>
      </x:c>
      <x:c r="B695" s="57" t="str">
        <x:v>Utrechtse Golfclub Amelisweerd — Par-3 Course</x:v>
      </x:c>
      <x:c r="C695" s="57" t="str">
        <x:v>Course identity/specification</x:v>
      </x:c>
      <x:c r="D695" s="57" t="str">
        <x:v>https://www.golf.nl/de-baan-op/banenzoeker/overzicht</x:v>
      </x:c>
      <x:c r="E695" s="57" t="str">
        <x:v>Current national federation course register</x:v>
      </x:c>
      <x:c r="F695" s="57" t="str">
        <x:v>2026-08-15</x:v>
      </x:c>
      <x:c r="G695" s="14" t="str">
        <x:v>Current NGF/GOLF.NL listing: 9 holes, par 27, 721 metres. Listed as qualifying.</x:v>
      </x:c>
    </x:row>
    <x:row r="696">
      <x:c r="A696" s="56" t="str">
        <x:v>NL-0347</x:v>
      </x:c>
      <x:c r="B696" s="57" t="str">
        <x:v>Utrechtse Golfclub Amelisweerd — Par-3 Course</x:v>
      </x:c>
      <x:c r="C696" s="57" t="str">
        <x:v>Coordinates/address</x:v>
      </x:c>
      <x:c r="D696" s="57" t="str">
        <x:v>https://api.pdok.nl/bzk/locatieserver/search/v3_1/free?q=Mereveldseweg+7%2C+3585+LH+Utrecht&amp;fq=type%3Aadres&amp;rows=10</x:v>
      </x:c>
      <x:c r="E696" s="57" t="str">
        <x:v>Dutch BAG address point via PDOK Locatieserver</x:v>
      </x:c>
      <x:c r="F696" s="57" t="str">
        <x:v>2026-08-15</x:v>
      </x:c>
      <x:c r="G696" s="14" t="str">
        <x:v>Exact postcode-matched address point: Mereveldseweg 7, 3585LH Utrecht.</x:v>
      </x:c>
    </x:row>
    <x:row r="697">
      <x:c r="A697" s="56" t="str">
        <x:v>NL-0348</x:v>
      </x:c>
      <x:c r="B697" s="57" t="str">
        <x:v>Utrechtse Golfclub De Pan — Main Course</x:v>
      </x:c>
      <x:c r="C697" s="57" t="str">
        <x:v>Course identity/specification</x:v>
      </x:c>
      <x:c r="D697" s="57" t="str">
        <x:v>https://www.golf.nl/de-baan-op/banenzoeker/overzicht</x:v>
      </x:c>
      <x:c r="E697" s="57" t="str">
        <x:v>Current national federation course register</x:v>
      </x:c>
      <x:c r="F697" s="57" t="str">
        <x:v>2026-08-15</x:v>
      </x:c>
      <x:c r="G697" s="14" t="str">
        <x:v>Current NGF/GOLF.NL listing: 18 holes, par 72, 6097 metres. Combined from exact NGF-listed constituent nine-hole loops: 1ste negen (9 holes, par 36, 3129 m); 2de negen (9 holes, par 36, 2968 m) Listed as qualifying.</x:v>
      </x:c>
    </x:row>
    <x:row r="698">
      <x:c r="A698" s="56" t="str">
        <x:v>NL-0348</x:v>
      </x:c>
      <x:c r="B698" s="57" t="str">
        <x:v>Utrechtse Golfclub De Pan — Main Course</x:v>
      </x:c>
      <x:c r="C698" s="57" t="str">
        <x:v>Coordinates/address</x:v>
      </x:c>
      <x:c r="D698" s="57" t="str">
        <x:v>https://api.pdok.nl/bzk/locatieserver/search/v3_1/free?q=Amersfoortseweg+1%2C+3735+LJ+Bosch+En+Duin&amp;fq=type%3Aadres&amp;rows=10</x:v>
      </x:c>
      <x:c r="E698" s="57" t="str">
        <x:v>Dutch BAG address point via PDOK Locatieserver</x:v>
      </x:c>
      <x:c r="F698" s="57" t="str">
        <x:v>2026-08-15</x:v>
      </x:c>
      <x:c r="G698" s="14" t="str">
        <x:v>Exact postcode-matched address point: Amersfoortseweg 1B, 3735LJ Bosch en Duin.</x:v>
      </x:c>
    </x:row>
    <x:row r="699">
      <x:c r="A699" s="56" t="str">
        <x:v>NL-0349</x:v>
      </x:c>
      <x:c r="B699" s="57" t="str">
        <x:v>De Goese Golf — Main Course</x:v>
      </x:c>
      <x:c r="C699" s="57" t="str">
        <x:v>Course identity/specification</x:v>
      </x:c>
      <x:c r="D699" s="57" t="str">
        <x:v>https://www.golf.nl/de-baan-op/banenzoeker/overzicht</x:v>
      </x:c>
      <x:c r="E699" s="57" t="str">
        <x:v>Current national federation course register</x:v>
      </x:c>
      <x:c r="F699" s="57" t="str">
        <x:v>2026-08-15</x:v>
      </x:c>
      <x:c r="G699" s="14" t="str">
        <x:v>Current NGF/GOLF.NL listing: 18 holes, par 72, 6268 metres. Combined from exact NGF-listed constituent nine-hole loops: 1ste negen (9 holes, par 36, 3119 m); 2de negen (9 holes, par 36, 3149 m) Listed as qualifying.</x:v>
      </x:c>
    </x:row>
    <x:row r="700">
      <x:c r="A700" s="56" t="str">
        <x:v>NL-0349</x:v>
      </x:c>
      <x:c r="B700" s="57" t="str">
        <x:v>De Goese Golf — Main Course</x:v>
      </x:c>
      <x:c r="C700" s="57" t="str">
        <x:v>Coordinates/address</x:v>
      </x:c>
      <x:c r="D700" s="57" t="str">
        <x:v>https://api.pdok.nl/bzk/locatieserver/search/v3_1/free?q=Krukweg+52%2C+4465+BH+Goes&amp;fq=type%3Aadres&amp;rows=10</x:v>
      </x:c>
      <x:c r="E700" s="57" t="str">
        <x:v>Dutch BAG address point via PDOK Locatieserver</x:v>
      </x:c>
      <x:c r="F700" s="57" t="str">
        <x:v>2026-08-15</x:v>
      </x:c>
      <x:c r="G700" s="14" t="str">
        <x:v>Exact postcode-matched address point: Krukweg 37A, 4465BH Goes.</x:v>
      </x:c>
    </x:row>
    <x:row r="701">
      <x:c r="A701" s="56" t="str">
        <x:v>NL-0350</x:v>
      </x:c>
      <x:c r="B701" s="57" t="str">
        <x:v>De Goese Golf — Par-3 Course</x:v>
      </x:c>
      <x:c r="C701" s="57" t="str">
        <x:v>Course identity/specification</x:v>
      </x:c>
      <x:c r="D701" s="57" t="str">
        <x:v>https://www.golf.nl/de-baan-op/banenzoeker/overzicht</x:v>
      </x:c>
      <x:c r="E701" s="57" t="str">
        <x:v>Current national federation course register</x:v>
      </x:c>
      <x:c r="F701" s="57" t="str">
        <x:v>2026-08-15</x:v>
      </x:c>
      <x:c r="G701" s="14" t="str">
        <x:v>Current NGF/GOLF.NL listing: 9 holes, par 27, 725 metres. Listed as qualifying.</x:v>
      </x:c>
    </x:row>
    <x:row r="702">
      <x:c r="A702" s="56" t="str">
        <x:v>NL-0350</x:v>
      </x:c>
      <x:c r="B702" s="57" t="str">
        <x:v>De Goese Golf — Par-3 Course</x:v>
      </x:c>
      <x:c r="C702" s="57" t="str">
        <x:v>Coordinates/address</x:v>
      </x:c>
      <x:c r="D702" s="57" t="str">
        <x:v>https://api.pdok.nl/bzk/locatieserver/search/v3_1/free?q=Krukweg+52%2C+4465+BH+Goes&amp;fq=type%3Aadres&amp;rows=10</x:v>
      </x:c>
      <x:c r="E702" s="57" t="str">
        <x:v>Dutch BAG address point via PDOK Locatieserver</x:v>
      </x:c>
      <x:c r="F702" s="57" t="str">
        <x:v>2026-08-15</x:v>
      </x:c>
      <x:c r="G702" s="14" t="str">
        <x:v>Exact postcode-matched address point: Krukweg 37A, 4465BH Goes.</x:v>
      </x:c>
    </x:row>
    <x:row r="703">
      <x:c r="A703" s="56" t="str">
        <x:v>NL-0351</x:v>
      </x:c>
      <x:c r="B703" s="57" t="str">
        <x:v>De Zeeuwsche — Main Course</x:v>
      </x:c>
      <x:c r="C703" s="57" t="str">
        <x:v>Course identity/specification</x:v>
      </x:c>
      <x:c r="D703" s="57" t="str">
        <x:v>https://www.golf.nl/de-baan-op/banenzoeker/overzicht</x:v>
      </x:c>
      <x:c r="E703" s="57" t="str">
        <x:v>Current national federation course register</x:v>
      </x:c>
      <x:c r="F703" s="57" t="str">
        <x:v>2026-08-15</x:v>
      </x:c>
      <x:c r="G703" s="14" t="str">
        <x:v>Current NGF/GOLF.NL listing: 9 holes, par 35, 2674 metres. Listed as qualifying.</x:v>
      </x:c>
    </x:row>
    <x:row r="704">
      <x:c r="A704" s="56" t="str">
        <x:v>NL-0351</x:v>
      </x:c>
      <x:c r="B704" s="57" t="str">
        <x:v>De Zeeuwsche — Main Course</x:v>
      </x:c>
      <x:c r="C704" s="57" t="str">
        <x:v>Coordinates/address</x:v>
      </x:c>
      <x:c r="D704" s="57" t="str">
        <x:v>https://api.pdok.nl/bzk/locatieserver/search/v3_1/free?q=Paukenweg+1%2C+4337+WH+Middelburg&amp;fq=type%3Aadres&amp;rows=10</x:v>
      </x:c>
      <x:c r="E704" s="57" t="str">
        <x:v>Dutch BAG address point via PDOK Locatieserver</x:v>
      </x:c>
      <x:c r="F704" s="57" t="str">
        <x:v>2026-08-15</x:v>
      </x:c>
      <x:c r="G704" s="14" t="str">
        <x:v>Exact postcode-matched address point: Paukenweg 1, 4337WH Middelburg.</x:v>
      </x:c>
    </x:row>
    <x:row r="705">
      <x:c r="A705" s="56" t="str">
        <x:v>NL-0352</x:v>
      </x:c>
      <x:c r="B705" s="57" t="str">
        <x:v>De Zeeuwsche — Par-3 Course</x:v>
      </x:c>
      <x:c r="C705" s="57" t="str">
        <x:v>Course identity/specification</x:v>
      </x:c>
      <x:c r="D705" s="57" t="str">
        <x:v>https://www.golf.nl/de-baan-op/banenzoeker/overzicht</x:v>
      </x:c>
      <x:c r="E705" s="57" t="str">
        <x:v>Current national federation course register</x:v>
      </x:c>
      <x:c r="F705" s="57" t="str">
        <x:v>2026-08-15</x:v>
      </x:c>
      <x:c r="G705" s="14" t="str">
        <x:v>Current NGF/GOLF.NL listing: 9 holes, par 27, 921 metres. Listed as qualifying.</x:v>
      </x:c>
    </x:row>
    <x:row r="706">
      <x:c r="A706" s="56" t="str">
        <x:v>NL-0352</x:v>
      </x:c>
      <x:c r="B706" s="57" t="str">
        <x:v>De Zeeuwsche — Par-3 Course</x:v>
      </x:c>
      <x:c r="C706" s="57" t="str">
        <x:v>Coordinates/address</x:v>
      </x:c>
      <x:c r="D706" s="57" t="str">
        <x:v>https://api.pdok.nl/bzk/locatieserver/search/v3_1/free?q=Paukenweg+1%2C+4337+WH+Middelburg&amp;fq=type%3Aadres&amp;rows=10</x:v>
      </x:c>
      <x:c r="E706" s="57" t="str">
        <x:v>Dutch BAG address point via PDOK Locatieserver</x:v>
      </x:c>
      <x:c r="F706" s="57" t="str">
        <x:v>2026-08-15</x:v>
      </x:c>
      <x:c r="G706" s="14" t="str">
        <x:v>Exact postcode-matched address point: Paukenweg 1, 4337WH Middelburg.</x:v>
      </x:c>
    </x:row>
    <x:row r="707">
      <x:c r="A707" s="56" t="str">
        <x:v>NL-0353</x:v>
      </x:c>
      <x:c r="B707" s="57" t="str">
        <x:v>Domburgsche Golfclub</x:v>
      </x:c>
      <x:c r="C707" s="57" t="str">
        <x:v>Course identity/specification</x:v>
      </x:c>
      <x:c r="D707" s="57" t="str">
        <x:v>https://www.golf.nl/de-baan-op/banenzoeker/overzicht</x:v>
      </x:c>
      <x:c r="E707" s="57" t="str">
        <x:v>Current national federation course register</x:v>
      </x:c>
      <x:c r="F707" s="57" t="str">
        <x:v>2026-08-15</x:v>
      </x:c>
      <x:c r="G707" s="14" t="str">
        <x:v>Current NGF/GOLF.NL listing: 9 holes, par 35, 2565 metres. Listed as qualifying.</x:v>
      </x:c>
    </x:row>
    <x:row r="708">
      <x:c r="A708" s="56" t="str">
        <x:v>NL-0353</x:v>
      </x:c>
      <x:c r="B708" s="57" t="str">
        <x:v>Domburgsche Golfclub</x:v>
      </x:c>
      <x:c r="C708" s="57" t="str">
        <x:v>Coordinates/address</x:v>
      </x:c>
      <x:c r="D708" s="57" t="str">
        <x:v>https://api.pdok.nl/bzk/locatieserver/search/v3_1/free?q=Schelpweg+26%2C+4357+BP+Domburg&amp;fq=type%3Aadres&amp;rows=10</x:v>
      </x:c>
      <x:c r="E708" s="57" t="str">
        <x:v>Dutch BAG address point via PDOK Locatieserver</x:v>
      </x:c>
      <x:c r="F708" s="57" t="str">
        <x:v>2026-08-15</x:v>
      </x:c>
      <x:c r="G708" s="14" t="str">
        <x:v>Exact postcode-matched address point: Schelpweg 26, 4357BP Domburg.</x:v>
      </x:c>
    </x:row>
    <x:row r="709">
      <x:c r="A709" s="56" t="str">
        <x:v>NL-0354</x:v>
      </x:c>
      <x:c r="B709" s="57" t="str">
        <x:v>Golfbaan Molenberg — Shortgolf / Pitch &amp; Putt Course</x:v>
      </x:c>
      <x:c r="C709" s="57" t="str">
        <x:v>Course identity/specification</x:v>
      </x:c>
      <x:c r="D709" s="57" t="str">
        <x:v>https://www.golf.nl/de-baan-op/banenzoeker/overzicht</x:v>
      </x:c>
      <x:c r="E709" s="57" t="str">
        <x:v>Current national federation course register</x:v>
      </x:c>
      <x:c r="F709" s="57" t="str">
        <x:v>2026-08-15</x:v>
      </x:c>
      <x:c r="G709" s="14" t="str">
        <x:v>Current NGF/GOLF.NL listing: 18 holes, par 54, 784 metres. Combined from exact NGF-listed constituent nine-hole loops: 1ste negen (9 holes, par 27, 390 m); 2de negen (9 holes, par 27, 394 m) Listed as non-qualifying.</x:v>
      </x:c>
    </x:row>
    <x:row r="710">
      <x:c r="A710" s="56" t="str">
        <x:v>NL-0354</x:v>
      </x:c>
      <x:c r="B710" s="57" t="str">
        <x:v>Golfbaan Molenberg — Shortgolf / Pitch &amp; Putt Course</x:v>
      </x:c>
      <x:c r="C710" s="57" t="str">
        <x:v>Coordinates/address</x:v>
      </x:c>
      <x:c r="D710" s="57" t="str">
        <x:v>https://api.pdok.nl/bzk/locatieserver/search/v3_1/free?q=Hogeweg+53%2C+4328+PB+Burgh-Haamstede&amp;fq=type%3Aadres&amp;rows=10</x:v>
      </x:c>
      <x:c r="E710" s="57" t="str">
        <x:v>Dutch BAG address point via PDOK Locatieserver</x:v>
      </x:c>
      <x:c r="F710" s="57" t="str">
        <x:v>2026-08-15</x:v>
      </x:c>
      <x:c r="G710" s="14" t="str">
        <x:v>Exact postcode-matched address point: Hogeweg 53a, 4328PB Burgh-Haamstede.</x:v>
      </x:c>
    </x:row>
    <x:row r="711">
      <x:c r="A711" s="56" t="str">
        <x:v>NL-0355</x:v>
      </x:c>
      <x:c r="B711" s="57" t="str">
        <x:v>Golfclub Grevelingenhout — Main Course</x:v>
      </x:c>
      <x:c r="C711" s="57" t="str">
        <x:v>Course identity/specification</x:v>
      </x:c>
      <x:c r="D711" s="57" t="str">
        <x:v>https://www.golf.nl/de-baan-op/banenzoeker/overzicht</x:v>
      </x:c>
      <x:c r="E711" s="57" t="str">
        <x:v>Current national federation course register</x:v>
      </x:c>
      <x:c r="F711" s="57" t="str">
        <x:v>2026-08-15</x:v>
      </x:c>
      <x:c r="G711" s="14" t="str">
        <x:v>Current NGF/GOLF.NL listing: 18 holes, par 72, 6151 metres. Combined from exact NGF-listed constituent nine-hole loops: 1ste negen (9 holes, par 36, 3036 m); 2de negen (9 holes, par 36, 3115 m) Listed as qualifying.</x:v>
      </x:c>
    </x:row>
    <x:row r="712">
      <x:c r="A712" s="56" t="str">
        <x:v>NL-0355</x:v>
      </x:c>
      <x:c r="B712" s="57" t="str">
        <x:v>Golfclub Grevelingenhout — Main Course</x:v>
      </x:c>
      <x:c r="C712" s="57" t="str">
        <x:v>Coordinates/address</x:v>
      </x:c>
      <x:c r="D712" s="57" t="str">
        <x:v>https://api.pdok.nl/bzk/locatieserver/search/v3_1/free?q=Oudendijk+3%2C+4311+NA+Bruinisse&amp;fq=type%3Aadres&amp;rows=10</x:v>
      </x:c>
      <x:c r="E712" s="57" t="str">
        <x:v>Dutch BAG address point via PDOK Locatieserver</x:v>
      </x:c>
      <x:c r="F712" s="57" t="str">
        <x:v>2026-08-15</x:v>
      </x:c>
      <x:c r="G712" s="14" t="str">
        <x:v>Exact postcode-matched address point: Oudendijk 3, 4311NA Bruinisse.</x:v>
      </x:c>
    </x:row>
    <x:row r="713">
      <x:c r="A713" s="56" t="str">
        <x:v>NL-0356</x:v>
      </x:c>
      <x:c r="B713" s="57" t="str">
        <x:v>Golfclub Grevelingenhout — Par-3 Course</x:v>
      </x:c>
      <x:c r="C713" s="57" t="str">
        <x:v>Course identity/specification</x:v>
      </x:c>
      <x:c r="D713" s="57" t="str">
        <x:v>https://www.golf.nl/de-baan-op/banenzoeker/overzicht</x:v>
      </x:c>
      <x:c r="E713" s="57" t="str">
        <x:v>Current national federation course register</x:v>
      </x:c>
      <x:c r="F713" s="57" t="str">
        <x:v>2026-08-15</x:v>
      </x:c>
      <x:c r="G713" s="14" t="str">
        <x:v>Current NGF/GOLF.NL listing: 9 holes, par 27, 803 metres. Listed as qualifying.</x:v>
      </x:c>
    </x:row>
    <x:row r="714">
      <x:c r="A714" s="56" t="str">
        <x:v>NL-0356</x:v>
      </x:c>
      <x:c r="B714" s="57" t="str">
        <x:v>Golfclub Grevelingenhout — Par-3 Course</x:v>
      </x:c>
      <x:c r="C714" s="57" t="str">
        <x:v>Coordinates/address</x:v>
      </x:c>
      <x:c r="D714" s="57" t="str">
        <x:v>https://api.pdok.nl/bzk/locatieserver/search/v3_1/free?q=Oudendijk+3%2C+4311+NA+Bruinisse&amp;fq=type%3Aadres&amp;rows=10</x:v>
      </x:c>
      <x:c r="E714" s="57" t="str">
        <x:v>Dutch BAG address point via PDOK Locatieserver</x:v>
      </x:c>
      <x:c r="F714" s="57" t="str">
        <x:v>2026-08-15</x:v>
      </x:c>
      <x:c r="G714" s="14" t="str">
        <x:v>Exact postcode-matched address point: Oudendijk 3, 4311NA Bruinisse.</x:v>
      </x:c>
    </x:row>
    <x:row r="715">
      <x:c r="A715" s="56" t="str">
        <x:v>NL-0357</x:v>
      </x:c>
      <x:c r="B715" s="57" t="str">
        <x:v>Golfclub Oostburg/Golfbaan De Brugse Vaart — Main Course</x:v>
      </x:c>
      <x:c r="C715" s="57" t="str">
        <x:v>Course identity/specification</x:v>
      </x:c>
      <x:c r="D715" s="57" t="str">
        <x:v>https://www.golf.nl/de-baan-op/banenzoeker/overzicht</x:v>
      </x:c>
      <x:c r="E715" s="57" t="str">
        <x:v>Current national federation course register</x:v>
      </x:c>
      <x:c r="F715" s="57" t="str">
        <x:v>2026-08-15</x:v>
      </x:c>
      <x:c r="G715" s="14" t="str">
        <x:v>Current NGF/GOLF.NL listing: 18 holes, par 73, 6345 metres. Combined from exact NGF-listed constituent nine-hole loops: 1ste negen (9 holes, par 36, 3119 m); 2de negen (9 holes, par 37, 3226 m) Listed as qualifying.</x:v>
      </x:c>
    </x:row>
    <x:row r="716">
      <x:c r="A716" s="56" t="str">
        <x:v>NL-0357</x:v>
      </x:c>
      <x:c r="B716" s="57" t="str">
        <x:v>Golfclub Oostburg/Golfbaan De Brugse Vaart — Main Course</x:v>
      </x:c>
      <x:c r="C716" s="57" t="str">
        <x:v>Coordinates/address</x:v>
      </x:c>
      <x:c r="D716" s="57" t="str">
        <x:v>https://api.pdok.nl/bzk/locatieserver/search/v3_1/free?q=Brugsevaart+10%2C+4501+NE+Oostburg&amp;fq=type%3Aadres&amp;rows=10</x:v>
      </x:c>
      <x:c r="E716" s="57" t="str">
        <x:v>Dutch BAG address point via PDOK Locatieserver</x:v>
      </x:c>
      <x:c r="F716" s="57" t="str">
        <x:v>2026-08-15</x:v>
      </x:c>
      <x:c r="G716" s="14" t="str">
        <x:v>Exact postcode-matched address point: Brugsevaart 10, 4501NE Oostburg.</x:v>
      </x:c>
    </x:row>
    <x:row r="717">
      <x:c r="A717" s="56" t="str">
        <x:v>NL-0358</x:v>
      </x:c>
      <x:c r="B717" s="57" t="str">
        <x:v>Golfpark Reymerswael — Main Course</x:v>
      </x:c>
      <x:c r="C717" s="57" t="str">
        <x:v>Course identity/specification</x:v>
      </x:c>
      <x:c r="D717" s="57" t="str">
        <x:v>https://www.golf.nl/de-baan-op/banenzoeker/overzicht</x:v>
      </x:c>
      <x:c r="E717" s="57" t="str">
        <x:v>Current national federation course register</x:v>
      </x:c>
      <x:c r="F717" s="57" t="str">
        <x:v>2026-08-15</x:v>
      </x:c>
      <x:c r="G717" s="14" t="str">
        <x:v>Current NGF/GOLF.NL listing: 18 holes, par 71, 5944 metres. Combined from exact NGF-listed constituent nine-hole loops: 1ste negen (9 holes, par 35, 2736 m); 2de negen (9 holes, par 36, 3208 m) Listed as qualifying.</x:v>
      </x:c>
    </x:row>
    <x:row r="718">
      <x:c r="A718" s="56" t="str">
        <x:v>NL-0358</x:v>
      </x:c>
      <x:c r="B718" s="57" t="str">
        <x:v>Golfpark Reymerswael — Main Course</x:v>
      </x:c>
      <x:c r="C718" s="57" t="str">
        <x:v>Coordinates/address</x:v>
      </x:c>
      <x:c r="D718" s="57" t="str">
        <x:v>https://api.pdok.nl/bzk/locatieserver/search/v3_1/free?q=Grensweg+21%2C+4411+ST+Rilland&amp;fq=type%3Aadres&amp;rows=10</x:v>
      </x:c>
      <x:c r="E718" s="57" t="str">
        <x:v>Dutch BAG address point via PDOK Locatieserver</x:v>
      </x:c>
      <x:c r="F718" s="57" t="str">
        <x:v>2026-08-15</x:v>
      </x:c>
      <x:c r="G718" s="14" t="str">
        <x:v>Exact postcode-matched address point: Grensweg 21, 4411ST Rilland.</x:v>
      </x:c>
    </x:row>
    <x:row r="719">
      <x:c r="A719" s="56" t="str">
        <x:v>NL-0359</x:v>
      </x:c>
      <x:c r="B719" s="57" t="str">
        <x:v>Golfvereniging De Woeste Kop — Grote Kreek</x:v>
      </x:c>
      <x:c r="C719" s="57" t="str">
        <x:v>Course identity/specification</x:v>
      </x:c>
      <x:c r="D719" s="57" t="str">
        <x:v>https://www.golf.nl/de-baan-op/banenzoeker/overzicht</x:v>
      </x:c>
      <x:c r="E719" s="57" t="str">
        <x:v>Current national federation course register</x:v>
      </x:c>
      <x:c r="F719" s="57" t="str">
        <x:v>2026-08-15</x:v>
      </x:c>
      <x:c r="G719" s="14" t="str">
        <x:v>Current NGF/GOLF.NL listing: 9 holes, par 37, 3139 metres. Listed as qualifying.</x:v>
      </x:c>
    </x:row>
    <x:row r="720">
      <x:c r="A720" s="56" t="str">
        <x:v>NL-0359</x:v>
      </x:c>
      <x:c r="B720" s="57" t="str">
        <x:v>Golfvereniging De Woeste Kop — Grote Kreek</x:v>
      </x:c>
      <x:c r="C720" s="57" t="str">
        <x:v>Coordinates/address</x:v>
      </x:c>
      <x:c r="D720" s="57" t="str">
        <x:v>https://api.pdok.nl/bzk/locatieserver/search/v3_1/free?q=Justaasweg+4%2C+4571+NB+Axel&amp;fq=type%3Aadres&amp;rows=10</x:v>
      </x:c>
      <x:c r="E720" s="57" t="str">
        <x:v>Dutch BAG address point via PDOK Locatieserver</x:v>
      </x:c>
      <x:c r="F720" s="57" t="str">
        <x:v>2026-08-15</x:v>
      </x:c>
      <x:c r="G720" s="14" t="str">
        <x:v>Exact postcode-matched address point: Justaasweg 4a, 4571NB Axel.</x:v>
      </x:c>
    </x:row>
    <x:row r="721">
      <x:c r="A721" s="56" t="str">
        <x:v>NL-0360</x:v>
      </x:c>
      <x:c r="B721" s="57" t="str">
        <x:v>Golfvereniging De Woeste Kop — Watertoren</x:v>
      </x:c>
      <x:c r="C721" s="57" t="str">
        <x:v>Course identity/specification</x:v>
      </x:c>
      <x:c r="D721" s="57" t="str">
        <x:v>https://www.golf.nl/de-baan-op/banenzoeker/overzicht</x:v>
      </x:c>
      <x:c r="E721" s="57" t="str">
        <x:v>Current national federation course register</x:v>
      </x:c>
      <x:c r="F721" s="57" t="str">
        <x:v>2026-08-15</x:v>
      </x:c>
      <x:c r="G721" s="14" t="str">
        <x:v>Current NGF/GOLF.NL listing: 9 holes, par 35, 2932 metres. Listed as qualifying.</x:v>
      </x:c>
    </x:row>
    <x:row r="722">
      <x:c r="A722" s="56" t="str">
        <x:v>NL-0360</x:v>
      </x:c>
      <x:c r="B722" s="57" t="str">
        <x:v>Golfvereniging De Woeste Kop — Watertoren</x:v>
      </x:c>
      <x:c r="C722" s="57" t="str">
        <x:v>Coordinates/address</x:v>
      </x:c>
      <x:c r="D722" s="57" t="str">
        <x:v>https://api.pdok.nl/bzk/locatieserver/search/v3_1/free?q=Justaasweg+4%2C+4571+NB+Axel&amp;fq=type%3Aadres&amp;rows=10</x:v>
      </x:c>
      <x:c r="E722" s="57" t="str">
        <x:v>Dutch BAG address point via PDOK Locatieserver</x:v>
      </x:c>
      <x:c r="F722" s="57" t="str">
        <x:v>2026-08-15</x:v>
      </x:c>
      <x:c r="G722" s="14" t="str">
        <x:v>Exact postcode-matched address point: Justaasweg 4a, 4571NB Axel.</x:v>
      </x:c>
    </x:row>
    <x:row r="723">
      <x:c r="A723" s="56" t="str">
        <x:v>NL-0361</x:v>
      </x:c>
      <x:c r="B723" s="57" t="str">
        <x:v>Crayestein Golf — Main Course</x:v>
      </x:c>
      <x:c r="C723" s="57" t="str">
        <x:v>Course identity/specification</x:v>
      </x:c>
      <x:c r="D723" s="57" t="str">
        <x:v>https://www.golf.nl/de-baan-op/banenzoeker/overzicht</x:v>
      </x:c>
      <x:c r="E723" s="57" t="str">
        <x:v>Current national federation course register</x:v>
      </x:c>
      <x:c r="F723" s="57" t="str">
        <x:v>2026-08-15</x:v>
      </x:c>
      <x:c r="G723" s="14" t="str">
        <x:v>Current NGF/GOLF.NL listing: 18 holes, par 71, 5639 metres. Combined from exact NGF-listed constituent nine-hole loops: 1ste negen (9 holes, par 36, 2876 m); 2de negen (9 holes, par 35, 2763 m) Listed as qualifying.</x:v>
      </x:c>
    </x:row>
    <x:row r="724">
      <x:c r="A724" s="56" t="str">
        <x:v>NL-0361</x:v>
      </x:c>
      <x:c r="B724" s="57" t="str">
        <x:v>Crayestein Golf — Main Course</x:v>
      </x:c>
      <x:c r="C724" s="57" t="str">
        <x:v>Coordinates/address</x:v>
      </x:c>
      <x:c r="D724" s="57" t="str">
        <x:v>https://api.pdok.nl/bzk/locatieserver/search/v3_1/free?q=Baanhoekweg+50%2C+3313+LP+Dordrecht&amp;fq=type%3Aadres&amp;rows=10</x:v>
      </x:c>
      <x:c r="E724" s="57" t="str">
        <x:v>Dutch BAG address point via PDOK Locatieserver</x:v>
      </x:c>
      <x:c r="F724" s="57" t="str">
        <x:v>2026-08-15</x:v>
      </x:c>
      <x:c r="G724" s="14" t="str">
        <x:v>Exact postcode-matched address point: Baanhoekweg 50, 3313LP Dordrecht.</x:v>
      </x:c>
    </x:row>
    <x:row r="725">
      <x:c r="A725" s="56" t="str">
        <x:v>NL-0362</x:v>
      </x:c>
      <x:c r="B725" s="57" t="str">
        <x:v>Crayestein Golf — Pitch&amp;Putt baan</x:v>
      </x:c>
      <x:c r="C725" s="57" t="str">
        <x:v>Course identity/specification</x:v>
      </x:c>
      <x:c r="D725" s="57" t="str">
        <x:v>https://www.golf.nl/de-baan-op/banenzoeker/overzicht</x:v>
      </x:c>
      <x:c r="E725" s="57" t="str">
        <x:v>Current national federation course register</x:v>
      </x:c>
      <x:c r="F725" s="57" t="str">
        <x:v>2026-08-15</x:v>
      </x:c>
      <x:c r="G725" s="14" t="str">
        <x:v>Current NGF/GOLF.NL listing: 9 holes, par 27, 463 metres. Listed as non-qualifying.</x:v>
      </x:c>
    </x:row>
    <x:row r="726">
      <x:c r="A726" s="56" t="str">
        <x:v>NL-0362</x:v>
      </x:c>
      <x:c r="B726" s="57" t="str">
        <x:v>Crayestein Golf — Pitch&amp;Putt baan</x:v>
      </x:c>
      <x:c r="C726" s="57" t="str">
        <x:v>Coordinates/address</x:v>
      </x:c>
      <x:c r="D726" s="57" t="str">
        <x:v>https://api.pdok.nl/bzk/locatieserver/search/v3_1/free?q=Baanhoekweg+50%2C+3313+LP+Dordrecht&amp;fq=type%3Aadres&amp;rows=10</x:v>
      </x:c>
      <x:c r="E726" s="57" t="str">
        <x:v>Dutch BAG address point via PDOK Locatieserver</x:v>
      </x:c>
      <x:c r="F726" s="57" t="str">
        <x:v>2026-08-15</x:v>
      </x:c>
      <x:c r="G726" s="14" t="str">
        <x:v>Exact postcode-matched address point: Baanhoekweg 50, 3313LP Dordrecht.</x:v>
      </x:c>
    </x:row>
    <x:row r="727">
      <x:c r="A727" s="56" t="str">
        <x:v>NL-0363</x:v>
      </x:c>
      <x:c r="B727" s="57" t="str">
        <x:v>De Strijensche Golfclub</x:v>
      </x:c>
      <x:c r="C727" s="57" t="str">
        <x:v>Course identity/specification</x:v>
      </x:c>
      <x:c r="D727" s="57" t="str">
        <x:v>https://www.golf.nl/de-baan-op/banenzoeker/overzicht</x:v>
      </x:c>
      <x:c r="E727" s="57" t="str">
        <x:v>Current national federation course register</x:v>
      </x:c>
      <x:c r="F727" s="57" t="str">
        <x:v>2026-08-15</x:v>
      </x:c>
      <x:c r="G727" s="14" t="str">
        <x:v>Current NGF/GOLF.NL listing: 9 holes, par 35, 2737 metres. Listed as qualifying.</x:v>
      </x:c>
    </x:row>
    <x:row r="728">
      <x:c r="A728" s="56" t="str">
        <x:v>NL-0363</x:v>
      </x:c>
      <x:c r="B728" s="57" t="str">
        <x:v>De Strijensche Golfclub</x:v>
      </x:c>
      <x:c r="C728" s="57" t="str">
        <x:v>Coordinates/address</x:v>
      </x:c>
      <x:c r="D728" s="57" t="str">
        <x:v>https://api.pdok.nl/bzk/locatieserver/search/v3_1/free?q=Palmbosweg+4%2C+3853+LB+Ermelo&amp;fq=type%3Aadres&amp;rows=10</x:v>
      </x:c>
      <x:c r="E728" s="57" t="str">
        <x:v>Dutch BAG address point via PDOK Locatieserver</x:v>
      </x:c>
      <x:c r="F728" s="57" t="str">
        <x:v>2026-08-15</x:v>
      </x:c>
      <x:c r="G728" s="14" t="str">
        <x:v>Exact postcode-matched address point: Palmbosweg 4, 3853LB Ermelo.</x:v>
      </x:c>
    </x:row>
    <x:row r="729">
      <x:c r="A729" s="56" t="str">
        <x:v>NL-0364</x:v>
      </x:c>
      <x:c r="B729" s="57" t="str">
        <x:v>DSV Concordia Golf</x:v>
      </x:c>
      <x:c r="C729" s="57" t="str">
        <x:v>Course identity/specification</x:v>
      </x:c>
      <x:c r="D729" s="57" t="str">
        <x:v>https://www.golf.nl/de-baan-op/banenzoeker/overzicht</x:v>
      </x:c>
      <x:c r="E729" s="57" t="str">
        <x:v>Current national federation course register</x:v>
      </x:c>
      <x:c r="F729" s="57" t="str">
        <x:v>2026-08-15</x:v>
      </x:c>
      <x:c r="G729" s="14" t="str">
        <x:v>Current NGF/GOLF.NL listing: 9 holes, par 27, 991 metres. Listed as qualifying.</x:v>
      </x:c>
    </x:row>
    <x:row r="730">
      <x:c r="A730" s="56" t="str">
        <x:v>NL-0364</x:v>
      </x:c>
      <x:c r="B730" s="57" t="str">
        <x:v>DSV Concordia Golf</x:v>
      </x:c>
      <x:c r="C730" s="57" t="str">
        <x:v>Coordinates/address</x:v>
      </x:c>
      <x:c r="D730" s="57" t="str">
        <x:v>https://api.pdok.nl/bzk/locatieserver/search/v3_1/free?q=Brasserskade+236%2C+2616+LA+Delft&amp;fq=type%3Aadres&amp;rows=10</x:v>
      </x:c>
      <x:c r="E730" s="57" t="str">
        <x:v>Dutch BAG address point via PDOK Locatieserver</x:v>
      </x:c>
      <x:c r="F730" s="57" t="str">
        <x:v>2026-08-15</x:v>
      </x:c>
      <x:c r="G730" s="14" t="str">
        <x:v>Exact postcode-matched address point: Brasserskade 236, 2616LA Delft.</x:v>
      </x:c>
    </x:row>
    <x:row r="731">
      <x:c r="A731" s="56" t="str">
        <x:v>NL-0365</x:v>
      </x:c>
      <x:c r="B731" s="57" t="str">
        <x:v>Estec Golf Club</x:v>
      </x:c>
      <x:c r="C731" s="57" t="str">
        <x:v>Course identity/specification</x:v>
      </x:c>
      <x:c r="D731" s="57" t="str">
        <x:v>https://www.golf.nl/de-baan-op/banenzoeker/overzicht</x:v>
      </x:c>
      <x:c r="E731" s="57" t="str">
        <x:v>Current national federation course register</x:v>
      </x:c>
      <x:c r="F731" s="57" t="str">
        <x:v>2026-08-15</x:v>
      </x:c>
      <x:c r="G731" s="14" t="str">
        <x:v>Current NGF/GOLF.NL listing: 9 holes, par 29, 1615 metres. Listed as qualifying.</x:v>
      </x:c>
    </x:row>
    <x:row r="732">
      <x:c r="A732" s="56" t="str">
        <x:v>NL-0365</x:v>
      </x:c>
      <x:c r="B732" s="57" t="str">
        <x:v>Estec Golf Club</x:v>
      </x:c>
      <x:c r="C732" s="57" t="str">
        <x:v>Coordinates/address</x:v>
      </x:c>
      <x:c r="D732" s="57" t="str">
        <x:v>https://api.pdok.nl/bzk/locatieserver/search/v3_1/free?q=Keplerlaan+1%2C+2201+AZ+Noordwijk&amp;fq=type%3Aadres&amp;rows=10</x:v>
      </x:c>
      <x:c r="E732" s="57" t="str">
        <x:v>Dutch BAG address point via PDOK Locatieserver</x:v>
      </x:c>
      <x:c r="F732" s="57" t="str">
        <x:v>2026-08-15</x:v>
      </x:c>
      <x:c r="G732" s="14" t="str">
        <x:v>Exact postcode-matched address point: Keplerlaan 1Z-a, 2201AZ Noordwijk.</x:v>
      </x:c>
    </x:row>
    <x:row r="733">
      <x:c r="A733" s="56" t="str">
        <x:v>NL-0366</x:v>
      </x:c>
      <x:c r="B733" s="57" t="str">
        <x:v>Golf &amp; Country Club Liemeer — Bovenlandenbaan</x:v>
      </x:c>
      <x:c r="C733" s="57" t="str">
        <x:v>Course identity/specification</x:v>
      </x:c>
      <x:c r="D733" s="57" t="str">
        <x:v>https://www.golf.nl/de-baan-op/banenzoeker/overzicht</x:v>
      </x:c>
      <x:c r="E733" s="57" t="str">
        <x:v>Current national federation course register</x:v>
      </x:c>
      <x:c r="F733" s="57" t="str">
        <x:v>2026-08-15</x:v>
      </x:c>
      <x:c r="G733" s="14" t="str">
        <x:v>Current NGF/GOLF.NL listing: 9 holes, par 31, 1620 metres. Listed as qualifying.</x:v>
      </x:c>
    </x:row>
    <x:row r="734">
      <x:c r="A734" s="56" t="str">
        <x:v>NL-0366</x:v>
      </x:c>
      <x:c r="B734" s="57" t="str">
        <x:v>Golf &amp; Country Club Liemeer — Bovenlandenbaan</x:v>
      </x:c>
      <x:c r="C734" s="57" t="str">
        <x:v>Coordinates/address</x:v>
      </x:c>
      <x:c r="D734" s="57" t="str">
        <x:v>https://api.pdok.nl/bzk/locatieserver/search/v3_1/free?q=Golfpad+1%2C+2441+EW+Nieuwveen&amp;fq=type%3Aadres&amp;rows=10</x:v>
      </x:c>
      <x:c r="E734" s="57" t="str">
        <x:v>Dutch BAG address point via PDOK Locatieserver</x:v>
      </x:c>
      <x:c r="F734" s="57" t="str">
        <x:v>2026-08-15</x:v>
      </x:c>
      <x:c r="G734" s="14" t="str">
        <x:v>Exact postcode-matched address point: Golfpad 1, 2441EW Nieuwveen.</x:v>
      </x:c>
    </x:row>
    <x:row r="735">
      <x:c r="A735" s="56" t="str">
        <x:v>NL-0367</x:v>
      </x:c>
      <x:c r="B735" s="57" t="str">
        <x:v>Golf &amp; Country Club Liemeer — Torenbaan</x:v>
      </x:c>
      <x:c r="C735" s="57" t="str">
        <x:v>Course identity/specification</x:v>
      </x:c>
      <x:c r="D735" s="57" t="str">
        <x:v>https://www.golf.nl/de-baan-op/banenzoeker/overzicht</x:v>
      </x:c>
      <x:c r="E735" s="57" t="str">
        <x:v>Current national federation course register</x:v>
      </x:c>
      <x:c r="F735" s="57" t="str">
        <x:v>2026-08-15</x:v>
      </x:c>
      <x:c r="G735" s="14" t="str">
        <x:v>Current NGF/GOLF.NL listing: 18 holes, par 72, 6020 metres. Combined from exact NGF-listed constituent nine-hole loops: Torenbaan 1ste negen (9 holes, par 36, 2929 m); Torenbaan 2de negen (9 holes, par 36, 3091 m) Listed as qualifying.</x:v>
      </x:c>
    </x:row>
    <x:row r="736">
      <x:c r="A736" s="56" t="str">
        <x:v>NL-0367</x:v>
      </x:c>
      <x:c r="B736" s="57" t="str">
        <x:v>Golf &amp; Country Club Liemeer — Torenbaan</x:v>
      </x:c>
      <x:c r="C736" s="57" t="str">
        <x:v>Coordinates/address</x:v>
      </x:c>
      <x:c r="D736" s="57" t="str">
        <x:v>https://api.pdok.nl/bzk/locatieserver/search/v3_1/free?q=Golfpad+1%2C+2441+EW+Nieuwveen&amp;fq=type%3Aadres&amp;rows=10</x:v>
      </x:c>
      <x:c r="E736" s="57" t="str">
        <x:v>Dutch BAG address point via PDOK Locatieserver</x:v>
      </x:c>
      <x:c r="F736" s="57" t="str">
        <x:v>2026-08-15</x:v>
      </x:c>
      <x:c r="G736" s="14" t="str">
        <x:v>Exact postcode-matched address point: Golfpad 1, 2441EW Nieuwveen.</x:v>
      </x:c>
    </x:row>
    <x:row r="737">
      <x:c r="A737" s="56" t="str">
        <x:v>NL-0368</x:v>
      </x:c>
      <x:c r="B737" s="57" t="str">
        <x:v>Golf Centrum Noordwijk</x:v>
      </x:c>
      <x:c r="C737" s="57" t="str">
        <x:v>Course identity/specification</x:v>
      </x:c>
      <x:c r="D737" s="57" t="str">
        <x:v>https://www.golf.nl/de-baan-op/banenzoeker/overzicht</x:v>
      </x:c>
      <x:c r="E737" s="57" t="str">
        <x:v>Current national federation course register</x:v>
      </x:c>
      <x:c r="F737" s="57" t="str">
        <x:v>2026-08-15</x:v>
      </x:c>
      <x:c r="G737" s="14" t="str">
        <x:v>Current NGF/GOLF.NL listing: 9 holes, par 27, 794 metres. Listed as qualifying.</x:v>
      </x:c>
    </x:row>
    <x:row r="738">
      <x:c r="A738" s="56" t="str">
        <x:v>NL-0368</x:v>
      </x:c>
      <x:c r="B738" s="57" t="str">
        <x:v>Golf Centrum Noordwijk</x:v>
      </x:c>
      <x:c r="C738" s="57" t="str">
        <x:v>Coordinates/address</x:v>
      </x:c>
      <x:c r="D738" s="57" t="str">
        <x:v>https://api.pdok.nl/bzk/locatieserver/search/v3_1/free?q=Van+Berckelweg+38%2C+2203+LB+Noordwijk+Zh&amp;fq=type%3Aadres&amp;rows=10</x:v>
      </x:c>
      <x:c r="E738" s="57" t="str">
        <x:v>Dutch BAG address point via PDOK Locatieserver</x:v>
      </x:c>
      <x:c r="F738" s="57" t="str">
        <x:v>2026-08-15</x:v>
      </x:c>
      <x:c r="G738" s="14" t="str">
        <x:v>Exact postcode-matched address point: van Berckelweg 38, 2203LB Noordwijk.</x:v>
      </x:c>
    </x:row>
    <x:row r="739">
      <x:c r="A739" s="56" t="str">
        <x:v>NL-0369</x:v>
      </x:c>
      <x:c r="B739" s="57" t="str">
        <x:v>Golf Duinzicht</x:v>
      </x:c>
      <x:c r="C739" s="57" t="str">
        <x:v>Course identity/specification</x:v>
      </x:c>
      <x:c r="D739" s="57" t="str">
        <x:v>https://www.golf.nl/de-baan-op/banenzoeker/overzicht</x:v>
      </x:c>
      <x:c r="E739" s="57" t="str">
        <x:v>Current national federation course register</x:v>
      </x:c>
      <x:c r="F739" s="57" t="str">
        <x:v>2026-08-15</x:v>
      </x:c>
      <x:c r="G739" s="14" t="str">
        <x:v>Current NGF/GOLF.NL listing: 9 holes, par 29, 1427 metres. Listed as qualifying.</x:v>
      </x:c>
    </x:row>
    <x:row r="740">
      <x:c r="A740" s="56" t="str">
        <x:v>NL-0369</x:v>
      </x:c>
      <x:c r="B740" s="57" t="str">
        <x:v>Golf Duinzicht</x:v>
      </x:c>
      <x:c r="C740" s="57" t="str">
        <x:v>Coordinates/address</x:v>
      </x:c>
      <x:c r="D740" s="57" t="str">
        <x:v>https://api.pdok.nl/bzk/locatieserver/search/v3_1/free?q=Waalsdorperlaan+40%2C+2244+BN+Wassenaar&amp;fq=type%3Aadres&amp;rows=10</x:v>
      </x:c>
      <x:c r="E740" s="57" t="str">
        <x:v>Dutch BAG address point via PDOK Locatieserver</x:v>
      </x:c>
      <x:c r="F740" s="57" t="str">
        <x:v>2026-08-15</x:v>
      </x:c>
      <x:c r="G740" s="14" t="str">
        <x:v>Exact postcode-matched address point: Waalsdorperlaan 40, 2244BN Wassenaar.</x:v>
      </x:c>
    </x:row>
    <x:row r="741">
      <x:c r="A741" s="56" t="str">
        <x:v>NL-0370</x:v>
      </x:c>
      <x:c r="B741" s="57" t="str">
        <x:v>Golf Ockenburgh</x:v>
      </x:c>
      <x:c r="C741" s="57" t="str">
        <x:v>Course identity/specification</x:v>
      </x:c>
      <x:c r="D741" s="57" t="str">
        <x:v>https://www.golf.nl/de-baan-op/banenzoeker/overzicht</x:v>
      </x:c>
      <x:c r="E741" s="57" t="str">
        <x:v>Current national federation course register</x:v>
      </x:c>
      <x:c r="F741" s="57" t="str">
        <x:v>2026-08-15</x:v>
      </x:c>
      <x:c r="G741" s="14" t="str">
        <x:v>Current NGF/GOLF.NL listing: 9 holes, par 29, 1450 metres. Listed as qualifying.</x:v>
      </x:c>
    </x:row>
    <x:row r="742">
      <x:c r="A742" s="56" t="str">
        <x:v>NL-0370</x:v>
      </x:c>
      <x:c r="B742" s="57" t="str">
        <x:v>Golf Ockenburgh</x:v>
      </x:c>
      <x:c r="C742" s="57" t="str">
        <x:v>Coordinates/address</x:v>
      </x:c>
      <x:c r="D742" s="57" t="str">
        <x:v>https://api.pdok.nl/bzk/locatieserver/search/v3_1/free?q=Wijndaelerweg+125%2C+2554+CA+%27S-Gravenhage&amp;fq=type%3Aadres&amp;rows=10</x:v>
      </x:c>
      <x:c r="E742" s="57" t="str">
        <x:v>Dutch BAG address point via PDOK Locatieserver</x:v>
      </x:c>
      <x:c r="F742" s="57" t="str">
        <x:v>2026-08-15</x:v>
      </x:c>
      <x:c r="G742" s="14" t="str">
        <x:v>Exact postcode-matched address point: Wijndaelerweg 125, 2554CA 's-Gravenhage.</x:v>
      </x:c>
    </x:row>
    <x:row r="743">
      <x:c r="A743" s="56" t="str">
        <x:v>NL-0371</x:v>
      </x:c>
      <x:c r="B743" s="57" t="str">
        <x:v>Golfbaan Bentwoud — Noordwoud</x:v>
      </x:c>
      <x:c r="C743" s="57" t="str">
        <x:v>Course identity/specification</x:v>
      </x:c>
      <x:c r="D743" s="57" t="str">
        <x:v>https://www.golf.nl/de-baan-op/banenzoeker/overzicht</x:v>
      </x:c>
      <x:c r="E743" s="57" t="str">
        <x:v>Current national federation course register</x:v>
      </x:c>
      <x:c r="F743" s="57" t="str">
        <x:v>2026-08-15</x:v>
      </x:c>
      <x:c r="G743" s="14" t="str">
        <x:v>Current NGF/GOLF.NL listing: 9 holes, par 29, 1346 metres. Listed as qualifying.</x:v>
      </x:c>
    </x:row>
    <x:row r="744">
      <x:c r="A744" s="56" t="str">
        <x:v>NL-0371</x:v>
      </x:c>
      <x:c r="B744" s="57" t="str">
        <x:v>Golfbaan Bentwoud — Noordwoud</x:v>
      </x:c>
      <x:c r="C744" s="57" t="str">
        <x:v>Coordinates/address</x:v>
      </x:c>
      <x:c r="D744" s="57" t="str">
        <x:v>https://api.pdok.nl/bzk/locatieserver/search/v3_1/free?q=Boslaan+3%2C+2731+LD+Benthuizen&amp;fq=type%3Aadres&amp;rows=10</x:v>
      </x:c>
      <x:c r="E744" s="57" t="str">
        <x:v>Dutch BAG address point via PDOK Locatieserver</x:v>
      </x:c>
      <x:c r="F744" s="57" t="str">
        <x:v>2026-08-15</x:v>
      </x:c>
      <x:c r="G744" s="14" t="str">
        <x:v>Exact postcode-matched address point: Boslaan 3A, 2731LD Benthuizen.</x:v>
      </x:c>
    </x:row>
    <x:row r="745">
      <x:c r="A745" s="56" t="str">
        <x:v>NL-0372</x:v>
      </x:c>
      <x:c r="B745" s="57" t="str">
        <x:v>Golfbaan Bentwoud — Oostwoud</x:v>
      </x:c>
      <x:c r="C745" s="57" t="str">
        <x:v>Course identity/specification</x:v>
      </x:c>
      <x:c r="D745" s="57" t="str">
        <x:v>https://www.golf.nl/de-baan-op/banenzoeker/overzicht</x:v>
      </x:c>
      <x:c r="E745" s="57" t="str">
        <x:v>Current national federation course register</x:v>
      </x:c>
      <x:c r="F745" s="57" t="str">
        <x:v>2026-08-15</x:v>
      </x:c>
      <x:c r="G745" s="14" t="str">
        <x:v>Current NGF/GOLF.NL listing: 9 holes, par 35, 2810 metres. Listed as qualifying.</x:v>
      </x:c>
    </x:row>
    <x:row r="746">
      <x:c r="A746" s="56" t="str">
        <x:v>NL-0372</x:v>
      </x:c>
      <x:c r="B746" s="57" t="str">
        <x:v>Golfbaan Bentwoud — Oostwoud</x:v>
      </x:c>
      <x:c r="C746" s="57" t="str">
        <x:v>Coordinates/address</x:v>
      </x:c>
      <x:c r="D746" s="57" t="str">
        <x:v>https://api.pdok.nl/bzk/locatieserver/search/v3_1/free?q=Boslaan+3%2C+2731+LD+Benthuizen&amp;fq=type%3Aadres&amp;rows=10</x:v>
      </x:c>
      <x:c r="E746" s="57" t="str">
        <x:v>Dutch BAG address point via PDOK Locatieserver</x:v>
      </x:c>
      <x:c r="F746" s="57" t="str">
        <x:v>2026-08-15</x:v>
      </x:c>
      <x:c r="G746" s="14" t="str">
        <x:v>Exact postcode-matched address point: Boslaan 3A, 2731LD Benthuizen.</x:v>
      </x:c>
    </x:row>
    <x:row r="747">
      <x:c r="A747" s="56" t="str">
        <x:v>NL-0373</x:v>
      </x:c>
      <x:c r="B747" s="57" t="str">
        <x:v>Golfbaan Bentwoud — Westwoud</x:v>
      </x:c>
      <x:c r="C747" s="57" t="str">
        <x:v>Course identity/specification</x:v>
      </x:c>
      <x:c r="D747" s="57" t="str">
        <x:v>https://www.golf.nl/de-baan-op/banenzoeker/overzicht</x:v>
      </x:c>
      <x:c r="E747" s="57" t="str">
        <x:v>Current national federation course register</x:v>
      </x:c>
      <x:c r="F747" s="57" t="str">
        <x:v>2026-08-15</x:v>
      </x:c>
      <x:c r="G747" s="14" t="str">
        <x:v>Current NGF/GOLF.NL listing: 9 holes, par 35, 2889 metres. Listed as qualifying.</x:v>
      </x:c>
    </x:row>
    <x:row r="748">
      <x:c r="A748" s="56" t="str">
        <x:v>NL-0373</x:v>
      </x:c>
      <x:c r="B748" s="57" t="str">
        <x:v>Golfbaan Bentwoud — Westwoud</x:v>
      </x:c>
      <x:c r="C748" s="57" t="str">
        <x:v>Coordinates/address</x:v>
      </x:c>
      <x:c r="D748" s="57" t="str">
        <x:v>https://api.pdok.nl/bzk/locatieserver/search/v3_1/free?q=Boslaan+3%2C+2731+LD+Benthuizen&amp;fq=type%3Aadres&amp;rows=10</x:v>
      </x:c>
      <x:c r="E748" s="57" t="str">
        <x:v>Dutch BAG address point via PDOK Locatieserver</x:v>
      </x:c>
      <x:c r="F748" s="57" t="str">
        <x:v>2026-08-15</x:v>
      </x:c>
      <x:c r="G748" s="14" t="str">
        <x:v>Exact postcode-matched address point: Boslaan 3A, 2731LD Benthuizen.</x:v>
      </x:c>
    </x:row>
    <x:row r="749">
      <x:c r="A749" s="56" t="str">
        <x:v>NL-0374</x:v>
      </x:c>
      <x:c r="B749" s="57" t="str">
        <x:v>Golfbaan Bentwoud — Zuidwoud</x:v>
      </x:c>
      <x:c r="C749" s="57" t="str">
        <x:v>Course identity/specification</x:v>
      </x:c>
      <x:c r="D749" s="57" t="str">
        <x:v>https://www.golf.nl/de-baan-op/banenzoeker/overzicht</x:v>
      </x:c>
      <x:c r="E749" s="57" t="str">
        <x:v>Current national federation course register</x:v>
      </x:c>
      <x:c r="F749" s="57" t="str">
        <x:v>2026-08-15</x:v>
      </x:c>
      <x:c r="G749" s="14" t="str">
        <x:v>Current NGF/GOLF.NL listing: 9 holes, par 36, 3199 metres. Listed as qualifying.</x:v>
      </x:c>
    </x:row>
    <x:row r="750">
      <x:c r="A750" s="56" t="str">
        <x:v>NL-0374</x:v>
      </x:c>
      <x:c r="B750" s="57" t="str">
        <x:v>Golfbaan Bentwoud — Zuidwoud</x:v>
      </x:c>
      <x:c r="C750" s="57" t="str">
        <x:v>Coordinates/address</x:v>
      </x:c>
      <x:c r="D750" s="57" t="str">
        <x:v>https://api.pdok.nl/bzk/locatieserver/search/v3_1/free?q=Boslaan+3%2C+2731+LD+Benthuizen&amp;fq=type%3Aadres&amp;rows=10</x:v>
      </x:c>
      <x:c r="E750" s="57" t="str">
        <x:v>Dutch BAG address point via PDOK Locatieserver</x:v>
      </x:c>
      <x:c r="F750" s="57" t="str">
        <x:v>2026-08-15</x:v>
      </x:c>
      <x:c r="G750" s="14" t="str">
        <x:v>Exact postcode-matched address point: Boslaan 3A, 2731LD Benthuizen.</x:v>
      </x:c>
    </x:row>
    <x:row r="751">
      <x:c r="A751" s="56" t="str">
        <x:v>NL-0375</x:v>
      </x:c>
      <x:c r="B751" s="57" t="str">
        <x:v>Golfbaan Catharinenburg — Main Course</x:v>
      </x:c>
      <x:c r="C751" s="57" t="str">
        <x:v>Course identity/specification</x:v>
      </x:c>
      <x:c r="D751" s="57" t="str">
        <x:v>https://www.golf.nl/de-baan-op/banenzoeker/overzicht</x:v>
      </x:c>
      <x:c r="E751" s="57" t="str">
        <x:v>Current national federation course register</x:v>
      </x:c>
      <x:c r="F751" s="57" t="str">
        <x:v>2026-08-15</x:v>
      </x:c>
      <x:c r="G751" s="14" t="str">
        <x:v>Current NGF/GOLF.NL listing: 18 holes, par 72, 5555 metres. Combined from exact NGF-listed constituent nine-hole loops: 1ste negen (9 holes, par 36, 2658 m); 2de negen (9 holes, par 36, 2897 m) Listed as qualifying.</x:v>
      </x:c>
    </x:row>
    <x:row r="752">
      <x:c r="A752" s="56" t="str">
        <x:v>NL-0375</x:v>
      </x:c>
      <x:c r="B752" s="57" t="str">
        <x:v>Golfbaan Catharinenburg — Main Course</x:v>
      </x:c>
      <x:c r="C752" s="57" t="str">
        <x:v>Coordinates/address</x:v>
      </x:c>
      <x:c r="D752" s="57" t="str">
        <x:v>https://api.pdok.nl/bzk/locatieserver/search/v3_1/free?q=Bouwdijk+9%2C+3248+LA+Melissant&amp;fq=type%3Aadres&amp;rows=10</x:v>
      </x:c>
      <x:c r="E752" s="57" t="str">
        <x:v>Dutch BAG address point via PDOK Locatieserver</x:v>
      </x:c>
      <x:c r="F752" s="57" t="str">
        <x:v>2026-08-15</x:v>
      </x:c>
      <x:c r="G752" s="14" t="str">
        <x:v>Exact postcode-matched address point: Bouwdijk 9a, 3248LA Melissant.</x:v>
      </x:c>
    </x:row>
    <x:row r="753">
      <x:c r="A753" s="56" t="str">
        <x:v>NL-0376</x:v>
      </x:c>
      <x:c r="B753" s="57" t="str">
        <x:v>Golfbaan Catharinenburg — Par-3 Course</x:v>
      </x:c>
      <x:c r="C753" s="57" t="str">
        <x:v>Course identity/specification</x:v>
      </x:c>
      <x:c r="D753" s="57" t="str">
        <x:v>https://www.golf.nl/de-baan-op/banenzoeker/overzicht</x:v>
      </x:c>
      <x:c r="E753" s="57" t="str">
        <x:v>Current national federation course register</x:v>
      </x:c>
      <x:c r="F753" s="57" t="str">
        <x:v>2026-08-15</x:v>
      </x:c>
      <x:c r="G753" s="14" t="str">
        <x:v>Current NGF/GOLF.NL listing: 18 holes, par 54, 2339 metres. Combined from exact NGF-listed constituent nine-hole loops: 1ste negen (9 holes, par 27, 1168 m); 2de negen (9 holes, par 27, 1171 m) Listed as qualifying.</x:v>
      </x:c>
    </x:row>
    <x:row r="754">
      <x:c r="A754" s="56" t="str">
        <x:v>NL-0376</x:v>
      </x:c>
      <x:c r="B754" s="57" t="str">
        <x:v>Golfbaan Catharinenburg — Par-3 Course</x:v>
      </x:c>
      <x:c r="C754" s="57" t="str">
        <x:v>Coordinates/address</x:v>
      </x:c>
      <x:c r="D754" s="57" t="str">
        <x:v>https://api.pdok.nl/bzk/locatieserver/search/v3_1/free?q=Bouwdijk+9%2C+3248+LA+Melissant&amp;fq=type%3Aadres&amp;rows=10</x:v>
      </x:c>
      <x:c r="E754" s="57" t="str">
        <x:v>Dutch BAG address point via PDOK Locatieserver</x:v>
      </x:c>
      <x:c r="F754" s="57" t="str">
        <x:v>2026-08-15</x:v>
      </x:c>
      <x:c r="G754" s="14" t="str">
        <x:v>Exact postcode-matched address point: Bouwdijk 9a, 3248LA Melissant.</x:v>
      </x:c>
    </x:row>
    <x:row r="755">
      <x:c r="A755" s="56" t="str">
        <x:v>NL-0377</x:v>
      </x:c>
      <x:c r="B755" s="57" t="str">
        <x:v>Golfbaan Crimpenerhout</x:v>
      </x:c>
      <x:c r="C755" s="57" t="str">
        <x:v>Course identity/specification</x:v>
      </x:c>
      <x:c r="D755" s="57" t="str">
        <x:v>https://www.golf.nl/de-baan-op/banenzoeker/overzicht</x:v>
      </x:c>
      <x:c r="E755" s="57" t="str">
        <x:v>Current national federation course register</x:v>
      </x:c>
      <x:c r="F755" s="57" t="str">
        <x:v>2026-08-15</x:v>
      </x:c>
      <x:c r="G755" s="14" t="str">
        <x:v>Current NGF/GOLF.NL listing: 9 holes, par 33, 2267 metres. Listed as qualifying.</x:v>
      </x:c>
    </x:row>
    <x:row r="756">
      <x:c r="A756" s="56" t="str">
        <x:v>NL-0377</x:v>
      </x:c>
      <x:c r="B756" s="57" t="str">
        <x:v>Golfbaan Crimpenerhout</x:v>
      </x:c>
      <x:c r="C756" s="57" t="str">
        <x:v>Coordinates/address</x:v>
      </x:c>
      <x:c r="D756" s="57" t="str">
        <x:v>https://api.pdok.nl/bzk/locatieserver/search/v3_1/free?q=C.G.+Roosweg+9%2C+2931+LK+Krimpen+Aan+De+Lek&amp;fq=type%3Aadres&amp;rows=10</x:v>
      </x:c>
      <x:c r="E756" s="57" t="str">
        <x:v>Dutch BAG address point via PDOK Locatieserver</x:v>
      </x:c>
      <x:c r="F756" s="57" t="str">
        <x:v>2026-08-15</x:v>
      </x:c>
      <x:c r="G756" s="14" t="str">
        <x:v>Exact postcode-matched address point: CG Roosweg 9a, 2931LK Krimpen aan de Lek.</x:v>
      </x:c>
    </x:row>
    <x:row r="757">
      <x:c r="A757" s="56" t="str">
        <x:v>NL-0378</x:v>
      </x:c>
      <x:c r="B757" s="57" t="str">
        <x:v>Golfbaan De Hooge Rotterdamsche — Main Course</x:v>
      </x:c>
      <x:c r="C757" s="57" t="str">
        <x:v>Course identity/specification</x:v>
      </x:c>
      <x:c r="D757" s="57" t="str">
        <x:v>https://www.golf.nl/de-baan-op/banenzoeker/overzicht</x:v>
      </x:c>
      <x:c r="E757" s="57" t="str">
        <x:v>Current national federation course register</x:v>
      </x:c>
      <x:c r="F757" s="57" t="str">
        <x:v>2026-08-15</x:v>
      </x:c>
      <x:c r="G757" s="14" t="str">
        <x:v>Current NGF/GOLF.NL listing: 18 holes, par 71, 5656 metres. Combined from exact NGF-listed constituent nine-hole loops: 1ste negen (9 holes, par 36, 2951 m); 2de negen (9 holes, par 35, 2705 m) Listed as qualifying.</x:v>
      </x:c>
    </x:row>
    <x:row r="758">
      <x:c r="A758" s="56" t="str">
        <x:v>NL-0378</x:v>
      </x:c>
      <x:c r="B758" s="57" t="str">
        <x:v>Golfbaan De Hooge Rotterdamsche — Main Course</x:v>
      </x:c>
      <x:c r="C758" s="57" t="str">
        <x:v>Coordinates/address</x:v>
      </x:c>
      <x:c r="D758" s="57" t="str">
        <x:v>https://api.pdok.nl/bzk/locatieserver/search/v3_1/free?q=Rottebandreef+40%2C+2661+JK+Bergschenhoek&amp;fq=type%3Aadres&amp;rows=10</x:v>
      </x:c>
      <x:c r="E758" s="57" t="str">
        <x:v>Dutch BAG address point via PDOK Locatieserver</x:v>
      </x:c>
      <x:c r="F758" s="57" t="str">
        <x:v>2026-08-15</x:v>
      </x:c>
      <x:c r="G758" s="14" t="str">
        <x:v>Exact postcode-matched address point: Rottebandreef 40, 2661JK Bergschenhoek.</x:v>
      </x:c>
    </x:row>
    <x:row r="759">
      <x:c r="A759" s="56" t="str">
        <x:v>NL-0379</x:v>
      </x:c>
      <x:c r="B759" s="57" t="str">
        <x:v>Golfbaan Delfland — Blauw</x:v>
      </x:c>
      <x:c r="C759" s="57" t="str">
        <x:v>Course identity/specification</x:v>
      </x:c>
      <x:c r="D759" s="57" t="str">
        <x:v>https://www.golf.nl/de-baan-op/banenzoeker/overzicht</x:v>
      </x:c>
      <x:c r="E759" s="57" t="str">
        <x:v>Current national federation course register</x:v>
      </x:c>
      <x:c r="F759" s="57" t="str">
        <x:v>2026-08-15</x:v>
      </x:c>
      <x:c r="G759" s="14" t="str">
        <x:v>Current NGF/GOLF.NL listing: 9 holes, par 37, 3115 metres. Listed as qualifying.</x:v>
      </x:c>
    </x:row>
    <x:row r="760">
      <x:c r="A760" s="56" t="str">
        <x:v>NL-0379</x:v>
      </x:c>
      <x:c r="B760" s="57" t="str">
        <x:v>Golfbaan Delfland — Blauw</x:v>
      </x:c>
      <x:c r="C760" s="57" t="str">
        <x:v>Coordinates/address</x:v>
      </x:c>
      <x:c r="D760" s="57" t="str">
        <x:v>https://api.pdok.nl/bzk/locatieserver/search/v3_1/free?q=Abtsrechtseweg+1%2C+2636+HZ+Schipluiden&amp;fq=type%3Aadres&amp;rows=10</x:v>
      </x:c>
      <x:c r="E760" s="57" t="str">
        <x:v>Dutch BAG address point via PDOK Locatieserver</x:v>
      </x:c>
      <x:c r="F760" s="57" t="str">
        <x:v>2026-08-15</x:v>
      </x:c>
      <x:c r="G760" s="14" t="str">
        <x:v>Exact postcode-matched address point: Abtsrechtseweg 1, 2636HZ Schipluiden.</x:v>
      </x:c>
    </x:row>
    <x:row r="761">
      <x:c r="A761" s="56" t="str">
        <x:v>NL-0380</x:v>
      </x:c>
      <x:c r="B761" s="57" t="str">
        <x:v>Golfbaan Delfland — Geel</x:v>
      </x:c>
      <x:c r="C761" s="57" t="str">
        <x:v>Course identity/specification</x:v>
      </x:c>
      <x:c r="D761" s="57" t="str">
        <x:v>https://www.golf.nl/de-baan-op/banenzoeker/overzicht</x:v>
      </x:c>
      <x:c r="E761" s="57" t="str">
        <x:v>Current national federation course register</x:v>
      </x:c>
      <x:c r="F761" s="57" t="str">
        <x:v>2026-08-15</x:v>
      </x:c>
      <x:c r="G761" s="14" t="str">
        <x:v>Current NGF/GOLF.NL listing: 9 holes, par 36, 2975 metres. Listed as qualifying.</x:v>
      </x:c>
    </x:row>
    <x:row r="762">
      <x:c r="A762" s="56" t="str">
        <x:v>NL-0380</x:v>
      </x:c>
      <x:c r="B762" s="57" t="str">
        <x:v>Golfbaan Delfland — Geel</x:v>
      </x:c>
      <x:c r="C762" s="57" t="str">
        <x:v>Coordinates/address</x:v>
      </x:c>
      <x:c r="D762" s="57" t="str">
        <x:v>https://api.pdok.nl/bzk/locatieserver/search/v3_1/free?q=Abtsrechtseweg+1%2C+2636+HZ+Schipluiden&amp;fq=type%3Aadres&amp;rows=10</x:v>
      </x:c>
      <x:c r="E762" s="57" t="str">
        <x:v>Dutch BAG address point via PDOK Locatieserver</x:v>
      </x:c>
      <x:c r="F762" s="57" t="str">
        <x:v>2026-08-15</x:v>
      </x:c>
      <x:c r="G762" s="14" t="str">
        <x:v>Exact postcode-matched address point: Abtsrechtseweg 1, 2636HZ Schipluiden.</x:v>
      </x:c>
    </x:row>
    <x:row r="763">
      <x:c r="A763" s="56" t="str">
        <x:v>NL-0381</x:v>
      </x:c>
      <x:c r="B763" s="57" t="str">
        <x:v>Golfbaan Delfland — Par-3 Course</x:v>
      </x:c>
      <x:c r="C763" s="57" t="str">
        <x:v>Course identity/specification</x:v>
      </x:c>
      <x:c r="D763" s="57" t="str">
        <x:v>https://www.golf.nl/de-baan-op/banenzoeker/overzicht</x:v>
      </x:c>
      <x:c r="E763" s="57" t="str">
        <x:v>Current national federation course register</x:v>
      </x:c>
      <x:c r="F763" s="57" t="str">
        <x:v>2026-08-15</x:v>
      </x:c>
      <x:c r="G763" s="14" t="str">
        <x:v>Current NGF/GOLF.NL listing: 9 holes, par 27, 936 metres. Listed as qualifying.</x:v>
      </x:c>
    </x:row>
    <x:row r="764">
      <x:c r="A764" s="56" t="str">
        <x:v>NL-0381</x:v>
      </x:c>
      <x:c r="B764" s="57" t="str">
        <x:v>Golfbaan Delfland — Par-3 Course</x:v>
      </x:c>
      <x:c r="C764" s="57" t="str">
        <x:v>Coordinates/address</x:v>
      </x:c>
      <x:c r="D764" s="57" t="str">
        <x:v>https://api.pdok.nl/bzk/locatieserver/search/v3_1/free?q=Abtsrechtseweg+1%2C+2636+HZ+Schipluiden&amp;fq=type%3Aadres&amp;rows=10</x:v>
      </x:c>
      <x:c r="E764" s="57" t="str">
        <x:v>Dutch BAG address point via PDOK Locatieserver</x:v>
      </x:c>
      <x:c r="F764" s="57" t="str">
        <x:v>2026-08-15</x:v>
      </x:c>
      <x:c r="G764" s="14" t="str">
        <x:v>Exact postcode-matched address point: Abtsrechtseweg 1, 2636HZ Schipluiden.</x:v>
      </x:c>
    </x:row>
    <x:row r="765">
      <x:c r="A765" s="56" t="str">
        <x:v>NL-0382</x:v>
      </x:c>
      <x:c r="B765" s="57" t="str">
        <x:v>Golfbaan Delfland — Rood</x:v>
      </x:c>
      <x:c r="C765" s="57" t="str">
        <x:v>Course identity/specification</x:v>
      </x:c>
      <x:c r="D765" s="57" t="str">
        <x:v>https://www.golf.nl/de-baan-op/banenzoeker/overzicht</x:v>
      </x:c>
      <x:c r="E765" s="57" t="str">
        <x:v>Current national federation course register</x:v>
      </x:c>
      <x:c r="F765" s="57" t="str">
        <x:v>2026-08-15</x:v>
      </x:c>
      <x:c r="G765" s="14" t="str">
        <x:v>Current NGF/GOLF.NL listing: 9 holes, par 36, 2964 metres. Listed as qualifying.</x:v>
      </x:c>
    </x:row>
    <x:row r="766">
      <x:c r="A766" s="56" t="str">
        <x:v>NL-0382</x:v>
      </x:c>
      <x:c r="B766" s="57" t="str">
        <x:v>Golfbaan Delfland — Rood</x:v>
      </x:c>
      <x:c r="C766" s="57" t="str">
        <x:v>Coordinates/address</x:v>
      </x:c>
      <x:c r="D766" s="57" t="str">
        <x:v>https://api.pdok.nl/bzk/locatieserver/search/v3_1/free?q=Abtsrechtseweg+1%2C+2636+HZ+Schipluiden&amp;fq=type%3Aadres&amp;rows=10</x:v>
      </x:c>
      <x:c r="E766" s="57" t="str">
        <x:v>Dutch BAG address point via PDOK Locatieserver</x:v>
      </x:c>
      <x:c r="F766" s="57" t="str">
        <x:v>2026-08-15</x:v>
      </x:c>
      <x:c r="G766" s="14" t="str">
        <x:v>Exact postcode-matched address point: Abtsrechtseweg 1, 2636HZ Schipluiden.</x:v>
      </x:c>
    </x:row>
    <x:row r="767">
      <x:c r="A767" s="56" t="str">
        <x:v>NL-0383</x:v>
      </x:c>
      <x:c r="B767" s="57" t="str">
        <x:v>Golfbaan Het Wedde</x:v>
      </x:c>
      <x:c r="C767" s="57" t="str">
        <x:v>Course identity/specification</x:v>
      </x:c>
      <x:c r="D767" s="57" t="str">
        <x:v>https://www.golf.nl/de-baan-op/banenzoeker/overzicht</x:v>
      </x:c>
      <x:c r="E767" s="57" t="str">
        <x:v>Current national federation course register</x:v>
      </x:c>
      <x:c r="F767" s="57" t="str">
        <x:v>2026-08-15</x:v>
      </x:c>
      <x:c r="G767" s="14" t="str">
        <x:v>Current NGF/GOLF.NL listing: 9 holes, par 27, 830 metres. Listed as qualifying.</x:v>
      </x:c>
    </x:row>
    <x:row r="768">
      <x:c r="A768" s="56" t="str">
        <x:v>NL-0383</x:v>
      </x:c>
      <x:c r="B768" s="57" t="str">
        <x:v>Golfbaan Het Wedde</x:v>
      </x:c>
      <x:c r="C768" s="57" t="str">
        <x:v>Coordinates/address</x:v>
      </x:c>
      <x:c r="D768" s="57" t="str">
        <x:v>https://api.pdok.nl/bzk/locatieserver/search/v3_1/free?q=Richard+Wagnerlaan+85%2C+2253+CD+Voorschoten&amp;fq=type%3Aadres&amp;rows=10</x:v>
      </x:c>
      <x:c r="E768" s="57" t="str">
        <x:v>Dutch BAG address point via PDOK Locatieserver</x:v>
      </x:c>
      <x:c r="F768" s="57" t="str">
        <x:v>2026-08-15</x:v>
      </x:c>
      <x:c r="G768" s="14" t="str">
        <x:v>Exact postcode-matched address point: Richard Wagnerlaan 85, 2253CD Voorschoten.</x:v>
      </x:c>
    </x:row>
    <x:row r="769">
      <x:c r="A769" s="56" t="str">
        <x:v>NL-0384</x:v>
      </x:c>
      <x:c r="B769" s="57" t="str">
        <x:v>Golfbaan Hitland — Main Course</x:v>
      </x:c>
      <x:c r="C769" s="57" t="str">
        <x:v>Course identity/specification</x:v>
      </x:c>
      <x:c r="D769" s="57" t="str">
        <x:v>https://www.golf.nl/de-baan-op/banenzoeker/overzicht</x:v>
      </x:c>
      <x:c r="E769" s="57" t="str">
        <x:v>Current national federation course register</x:v>
      </x:c>
      <x:c r="F769" s="57" t="str">
        <x:v>2026-08-15</x:v>
      </x:c>
      <x:c r="G769" s="14" t="str">
        <x:v>Current NGF/GOLF.NL listing: 18 holes, par 71, 5819 metres. Combined from exact NGF-listed constituent nine-hole loops: 1ste negen (9 holes, par 35, 2801 m); 2de negen (9 holes, par 36, 3018 m) Listed as qualifying.</x:v>
      </x:c>
    </x:row>
    <x:row r="770">
      <x:c r="A770" s="56" t="str">
        <x:v>NL-0384</x:v>
      </x:c>
      <x:c r="B770" s="57" t="str">
        <x:v>Golfbaan Hitland — Main Course</x:v>
      </x:c>
      <x:c r="C770" s="57" t="str">
        <x:v>Coordinates/address</x:v>
      </x:c>
      <x:c r="D770" s="57" t="str">
        <x:v>https://api.pdok.nl/bzk/locatieserver/search/v3_1/free?q=Blaardorpseweg+1%2C+2911+BC+Nieuwerkerk+Aan+Den+Ijssel&amp;fq=type%3Aadres&amp;rows=10</x:v>
      </x:c>
      <x:c r="E770" s="57" t="str">
        <x:v>Dutch BAG address point via PDOK Locatieserver</x:v>
      </x:c>
      <x:c r="F770" s="57" t="str">
        <x:v>2026-08-15</x:v>
      </x:c>
      <x:c r="G770" s="14" t="str">
        <x:v>Exact postcode-matched address point: Blaardorpseweg 1, 2911BC Nieuwerkerk aan den IJssel.</x:v>
      </x:c>
    </x:row>
    <x:row r="771">
      <x:c r="A771" s="56" t="str">
        <x:v>NL-0385</x:v>
      </x:c>
      <x:c r="B771" s="57" t="str">
        <x:v>Golfbaan Hitland — Par-3 Course</x:v>
      </x:c>
      <x:c r="C771" s="57" t="str">
        <x:v>Course identity/specification</x:v>
      </x:c>
      <x:c r="D771" s="57" t="str">
        <x:v>https://www.golf.nl/de-baan-op/banenzoeker/overzicht</x:v>
      </x:c>
      <x:c r="E771" s="57" t="str">
        <x:v>Current national federation course register</x:v>
      </x:c>
      <x:c r="F771" s="57" t="str">
        <x:v>2026-08-15</x:v>
      </x:c>
      <x:c r="G771" s="14" t="str">
        <x:v>Current NGF/GOLF.NL listing: 9 holes, par 27, 852 metres. Listed as qualifying.</x:v>
      </x:c>
    </x:row>
    <x:row r="772">
      <x:c r="A772" s="56" t="str">
        <x:v>NL-0385</x:v>
      </x:c>
      <x:c r="B772" s="57" t="str">
        <x:v>Golfbaan Hitland — Par-3 Course</x:v>
      </x:c>
      <x:c r="C772" s="57" t="str">
        <x:v>Coordinates/address</x:v>
      </x:c>
      <x:c r="D772" s="57" t="str">
        <x:v>https://api.pdok.nl/bzk/locatieserver/search/v3_1/free?q=Blaardorpseweg+1%2C+2911+BC+Nieuwerkerk+Aan+Den+Ijssel&amp;fq=type%3Aadres&amp;rows=10</x:v>
      </x:c>
      <x:c r="E772" s="57" t="str">
        <x:v>Dutch BAG address point via PDOK Locatieserver</x:v>
      </x:c>
      <x:c r="F772" s="57" t="str">
        <x:v>2026-08-15</x:v>
      </x:c>
      <x:c r="G772" s="14" t="str">
        <x:v>Exact postcode-matched address point: Blaardorpseweg 1, 2911BC Nieuwerkerk aan den IJssel.</x:v>
      </x:c>
    </x:row>
    <x:row r="773">
      <x:c r="A773" s="56" t="str">
        <x:v>NL-0386</x:v>
      </x:c>
      <x:c r="B773" s="57" t="str">
        <x:v>Golfbaan Kralingen</x:v>
      </x:c>
      <x:c r="C773" s="57" t="str">
        <x:v>Course identity/specification</x:v>
      </x:c>
      <x:c r="D773" s="57" t="str">
        <x:v>https://www.golf.nl/de-baan-op/banenzoeker/overzicht</x:v>
      </x:c>
      <x:c r="E773" s="57" t="str">
        <x:v>Current national federation course register</x:v>
      </x:c>
      <x:c r="F773" s="57" t="str">
        <x:v>2026-08-15</x:v>
      </x:c>
      <x:c r="G773" s="14" t="str">
        <x:v>Current NGF/GOLF.NL listing: 9 holes, par 32, 2425 metres. Listed as qualifying.</x:v>
      </x:c>
    </x:row>
    <x:row r="774">
      <x:c r="A774" s="56" t="str">
        <x:v>NL-0386</x:v>
      </x:c>
      <x:c r="B774" s="57" t="str">
        <x:v>Golfbaan Kralingen</x:v>
      </x:c>
      <x:c r="C774" s="57" t="str">
        <x:v>Coordinates/address</x:v>
      </x:c>
      <x:c r="D774" s="57" t="str">
        <x:v>https://api.pdok.nl/bzk/locatieserver/search/v3_1/free?q=Kralingseweg+200%2C+3062+CG+Rotterdam&amp;fq=type%3Aadres&amp;rows=10</x:v>
      </x:c>
      <x:c r="E774" s="57" t="str">
        <x:v>Dutch BAG address point via PDOK Locatieserver</x:v>
      </x:c>
      <x:c r="F774" s="57" t="str">
        <x:v>2026-08-15</x:v>
      </x:c>
      <x:c r="G774" s="14" t="str">
        <x:v>Exact postcode-matched address point: Kralingseweg 200, 3062CG Rotterdam.</x:v>
      </x:c>
    </x:row>
    <x:row r="775">
      <x:c r="A775" s="56" t="str">
        <x:v>NL-0387</x:v>
      </x:c>
      <x:c r="B775" s="57" t="str">
        <x:v>Golfbaan Noordeloos</x:v>
      </x:c>
      <x:c r="C775" s="57" t="str">
        <x:v>Course identity/specification</x:v>
      </x:c>
      <x:c r="D775" s="57" t="str">
        <x:v>https://www.golf.nl/de-baan-op/banenzoeker/overzicht</x:v>
      </x:c>
      <x:c r="E775" s="57" t="str">
        <x:v>Current national federation course register</x:v>
      </x:c>
      <x:c r="F775" s="57" t="str">
        <x:v>2026-08-15</x:v>
      </x:c>
      <x:c r="G775" s="14" t="str">
        <x:v>Current NGF/GOLF.NL listing: 9 holes, par 27, 708 metres. Listed as qualifying.</x:v>
      </x:c>
    </x:row>
    <x:row r="776">
      <x:c r="A776" s="56" t="str">
        <x:v>NL-0387</x:v>
      </x:c>
      <x:c r="B776" s="57" t="str">
        <x:v>Golfbaan Noordeloos</x:v>
      </x:c>
      <x:c r="C776" s="57" t="str">
        <x:v>Coordinates/address</x:v>
      </x:c>
      <x:c r="D776" s="57" t="str">
        <x:v>https://api.pdok.nl/bzk/locatieserver/search/v3_1/free?q=Nieuwendijk+20%2C+4225+PE+Noordeloos&amp;fq=type%3Aadres&amp;rows=10</x:v>
      </x:c>
      <x:c r="E776" s="57" t="str">
        <x:v>Dutch BAG address point via PDOK Locatieserver</x:v>
      </x:c>
      <x:c r="F776" s="57" t="str">
        <x:v>2026-08-15</x:v>
      </x:c>
      <x:c r="G776" s="14" t="str">
        <x:v>Exact postcode-matched address point: Nieuwendijk 20-I, 4225PE Noordeloos.</x:v>
      </x:c>
    </x:row>
    <x:row r="777">
      <x:c r="A777" s="56" t="str">
        <x:v>NL-0388</x:v>
      </x:c>
      <x:c r="B777" s="57" t="str">
        <x:v>Golfbaan Schinkelshoek — Serie A Westland</x:v>
      </x:c>
      <x:c r="C777" s="57" t="str">
        <x:v>Course identity/specification</x:v>
      </x:c>
      <x:c r="D777" s="57" t="str">
        <x:v>https://www.golfbaanschinkelshoek.nl/golfbaan/baaninformatie/</x:v>
      </x:c>
      <x:c r="E777" s="57" t="str">
        <x:v>Current official/exact course source</x:v>
      </x:c>
      <x:c r="F777" s="57" t="str">
        <x:v>2026-08-15</x:v>
      </x:c>
      <x:c r="G777" s="14" t="str">
        <x:v>Current NGF/GOLF.NL listing: 9 holes, par 28, 816 metres. One physical nine-hole Westland loop is retained. Its conventional-ball qualifying configuration is par 28 and 816 metres; the club's light-ball format plays the same holes as par 36. Listed as qualifying.</x:v>
      </x:c>
    </x:row>
    <x:row r="778">
      <x:c r="A778" s="56" t="str">
        <x:v>NL-0388</x:v>
      </x:c>
      <x:c r="B778" s="57" t="str">
        <x:v>Golfbaan Schinkelshoek — Serie A Westland</x:v>
      </x:c>
      <x:c r="C778" s="57" t="str">
        <x:v>Coordinates/address</x:v>
      </x:c>
      <x:c r="D778" s="57" t="str">
        <x:v>https://api.pdok.nl/bzk/locatieserver/search/v3_1/free?q=Zuidbuurt+79%2C+3132+KA+Vlaardingen&amp;fq=type%3Aadres&amp;rows=10</x:v>
      </x:c>
      <x:c r="E778" s="57" t="str">
        <x:v>Dutch BAG address point via PDOK Locatieserver</x:v>
      </x:c>
      <x:c r="F778" s="57" t="str">
        <x:v>2026-08-15</x:v>
      </x:c>
      <x:c r="G778" s="14" t="str">
        <x:v>Exact postcode-matched address point: Zuidbuurt 79, 3132KA Vlaardingen.</x:v>
      </x:c>
    </x:row>
    <x:row r="779">
      <x:c r="A779" s="56" t="str">
        <x:v>NL-0389</x:v>
      </x:c>
      <x:c r="B779" s="57" t="str">
        <x:v>Golfbaan Schinkelshoek — Serie B Waterland</x:v>
      </x:c>
      <x:c r="C779" s="57" t="str">
        <x:v>Course identity/specification</x:v>
      </x:c>
      <x:c r="D779" s="57" t="str">
        <x:v>https://www.golfbaanschinkelshoek.nl/golfbaan/baaninformatie/</x:v>
      </x:c>
      <x:c r="E779" s="57" t="str">
        <x:v>Current official/exact course source</x:v>
      </x:c>
      <x:c r="F779" s="57" t="str">
        <x:v>2026-08-15</x:v>
      </x:c>
      <x:c r="G779" s="14" t="str">
        <x:v>Current NGF/GOLF.NL listing: 9 holes, par 36; no certain total length published. Official club page confirms each named nine-hole series is par 36 when played in the club's standard format. Listed as non-qualifying.</x:v>
      </x:c>
    </x:row>
    <x:row r="780">
      <x:c r="A780" s="56" t="str">
        <x:v>NL-0389</x:v>
      </x:c>
      <x:c r="B780" s="57" t="str">
        <x:v>Golfbaan Schinkelshoek — Serie B Waterland</x:v>
      </x:c>
      <x:c r="C780" s="57" t="str">
        <x:v>Coordinates/address</x:v>
      </x:c>
      <x:c r="D780" s="57" t="str">
        <x:v>https://api.pdok.nl/bzk/locatieserver/search/v3_1/free?q=Zuidbuurt+79%2C+3132+KA+Vlaardingen&amp;fq=type%3Aadres&amp;rows=10</x:v>
      </x:c>
      <x:c r="E780" s="57" t="str">
        <x:v>Dutch BAG address point via PDOK Locatieserver</x:v>
      </x:c>
      <x:c r="F780" s="57" t="str">
        <x:v>2026-08-15</x:v>
      </x:c>
      <x:c r="G780" s="14" t="str">
        <x:v>Exact postcode-matched address point: Zuidbuurt 79, 3132KA Vlaardingen.</x:v>
      </x:c>
    </x:row>
    <x:row r="781">
      <x:c r="A781" s="56" t="str">
        <x:v>NL-0390</x:v>
      </x:c>
      <x:c r="B781" s="57" t="str">
        <x:v>Golfbaan Schinkelshoek — Serie C Delfland</x:v>
      </x:c>
      <x:c r="C781" s="57" t="str">
        <x:v>Course identity/specification</x:v>
      </x:c>
      <x:c r="D781" s="57" t="str">
        <x:v>https://www.golfbaanschinkelshoek.nl/golfbaan/baaninformatie/</x:v>
      </x:c>
      <x:c r="E781" s="57" t="str">
        <x:v>Current official/exact course source</x:v>
      </x:c>
      <x:c r="F781" s="57" t="str">
        <x:v>2026-08-15</x:v>
      </x:c>
      <x:c r="G781" s="14" t="str">
        <x:v>Current NGF/GOLF.NL listing: 9 holes, par 36; no certain total length published. Official club page confirms each named nine-hole series is par 36 when played in the club's standard format. Listed as non-qualifying.</x:v>
      </x:c>
    </x:row>
    <x:row r="782">
      <x:c r="A782" s="56" t="str">
        <x:v>NL-0390</x:v>
      </x:c>
      <x:c r="B782" s="57" t="str">
        <x:v>Golfbaan Schinkelshoek — Serie C Delfland</x:v>
      </x:c>
      <x:c r="C782" s="57" t="str">
        <x:v>Coordinates/address</x:v>
      </x:c>
      <x:c r="D782" s="57" t="str">
        <x:v>https://api.pdok.nl/bzk/locatieserver/search/v3_1/free?q=Zuidbuurt+79%2C+3132+KA+Vlaardingen&amp;fq=type%3Aadres&amp;rows=10</x:v>
      </x:c>
      <x:c r="E782" s="57" t="str">
        <x:v>Dutch BAG address point via PDOK Locatieserver</x:v>
      </x:c>
      <x:c r="F782" s="57" t="str">
        <x:v>2026-08-15</x:v>
      </x:c>
      <x:c r="G782" s="14" t="str">
        <x:v>Exact postcode-matched address point: Zuidbuurt 79, 3132KA Vlaardingen.</x:v>
      </x:c>
    </x:row>
    <x:row r="783">
      <x:c r="A783" s="56" t="str">
        <x:v>NL-0391</x:v>
      </x:c>
      <x:c r="B783" s="57" t="str">
        <x:v>Golfbaan Tespelduyn</x:v>
      </x:c>
      <x:c r="C783" s="57" t="str">
        <x:v>Course identity/specification</x:v>
      </x:c>
      <x:c r="D783" s="57" t="str">
        <x:v>https://www.golf.nl/de-baan-op/banenzoeker/overzicht</x:v>
      </x:c>
      <x:c r="E783" s="57" t="str">
        <x:v>Current national federation course register</x:v>
      </x:c>
      <x:c r="F783" s="57" t="str">
        <x:v>2026-08-15</x:v>
      </x:c>
      <x:c r="G783" s="14" t="str">
        <x:v>Current NGF/GOLF.NL listing: 9 holes, par 32, 1835 metres. Listed as qualifying.</x:v>
      </x:c>
    </x:row>
    <x:row r="784">
      <x:c r="A784" s="56" t="str">
        <x:v>NL-0391</x:v>
      </x:c>
      <x:c r="B784" s="57" t="str">
        <x:v>Golfbaan Tespelduyn</x:v>
      </x:c>
      <x:c r="C784" s="57" t="str">
        <x:v>Coordinates/address</x:v>
      </x:c>
      <x:c r="D784" s="57" t="str">
        <x:v>https://api.pdok.nl/bzk/locatieserver/search/v3_1/free?q=Tespellaan+53%2C+2211+VT+Noordwijkerhout&amp;fq=type%3Aadres&amp;rows=10</x:v>
      </x:c>
      <x:c r="E784" s="57" t="str">
        <x:v>Dutch BAG address point via PDOK Locatieserver</x:v>
      </x:c>
      <x:c r="F784" s="57" t="str">
        <x:v>2026-08-15</x:v>
      </x:c>
      <x:c r="G784" s="14" t="str">
        <x:v>Exact postcode-matched address point: Tespellaan 53, 2211VT Noordwijkerhout.</x:v>
      </x:c>
    </x:row>
    <x:row r="785">
      <x:c r="A785" s="56" t="str">
        <x:v>NL-0392</x:v>
      </x:c>
      <x:c r="B785" s="57" t="str">
        <x:v>Golfcenter Seve Rotterdam</x:v>
      </x:c>
      <x:c r="C785" s="57" t="str">
        <x:v>Course identity/specification</x:v>
      </x:c>
      <x:c r="D785" s="57" t="str">
        <x:v>https://www.golf.nl/de-baan-op/banenzoeker/overzicht</x:v>
      </x:c>
      <x:c r="E785" s="57" t="str">
        <x:v>Current national federation course register</x:v>
      </x:c>
      <x:c r="F785" s="57" t="str">
        <x:v>2026-08-15</x:v>
      </x:c>
      <x:c r="G785" s="14" t="str">
        <x:v>Current NGF/GOLF.NL listing: 9 holes, par 27, 826 metres. Listed as qualifying.</x:v>
      </x:c>
    </x:row>
    <x:row r="786">
      <x:c r="A786" s="56" t="str">
        <x:v>NL-0392</x:v>
      </x:c>
      <x:c r="B786" s="57" t="str">
        <x:v>Golfcenter Seve Rotterdam</x:v>
      </x:c>
      <x:c r="C786" s="57" t="str">
        <x:v>Coordinates/address</x:v>
      </x:c>
      <x:c r="D786" s="57" t="str">
        <x:v>https://api.pdok.nl/bzk/locatieserver/search/v3_1/free?q=Kleiweg+480%2C+3045+PM+Rotterdam&amp;fq=type%3Aadres&amp;rows=10</x:v>
      </x:c>
      <x:c r="E786" s="57" t="str">
        <x:v>Dutch BAG address point via PDOK Locatieserver</x:v>
      </x:c>
      <x:c r="F786" s="57" t="str">
        <x:v>2026-08-15</x:v>
      </x:c>
      <x:c r="G786" s="14" t="str">
        <x:v>Exact postcode-matched address point: Kleiweg 480, 3045PM Rotterdam.</x:v>
      </x:c>
    </x:row>
    <x:row r="787">
      <x:c r="A787" s="56" t="str">
        <x:v>NL-0393</x:v>
      </x:c>
      <x:c r="B787" s="57" t="str">
        <x:v>Golfclub Broekpolder — Main Course</x:v>
      </x:c>
      <x:c r="C787" s="57" t="str">
        <x:v>Course identity/specification</x:v>
      </x:c>
      <x:c r="D787" s="57" t="str">
        <x:v>https://www.golf.nl/de-baan-op/banenzoeker/overzicht</x:v>
      </x:c>
      <x:c r="E787" s="57" t="str">
        <x:v>Current national federation course register</x:v>
      </x:c>
      <x:c r="F787" s="57" t="str">
        <x:v>2026-08-15</x:v>
      </x:c>
      <x:c r="G787" s="14" t="str">
        <x:v>Current NGF/GOLF.NL listing: 18 holes, par 72, 6301 metres. Combined from exact NGF-listed constituent nine-hole loops: 1ste negen (9 holes, par 36, 3174 m); 2de negen (9 holes, par 36, 3127 m) Listed as qualifying.</x:v>
      </x:c>
    </x:row>
    <x:row r="788">
      <x:c r="A788" s="56" t="str">
        <x:v>NL-0393</x:v>
      </x:c>
      <x:c r="B788" s="57" t="str">
        <x:v>Golfclub Broekpolder — Main Course</x:v>
      </x:c>
      <x:c r="C788" s="57" t="str">
        <x:v>Coordinates/address</x:v>
      </x:c>
      <x:c r="D788" s="57" t="str">
        <x:v>https://api.pdok.nl/bzk/locatieserver/search/v3_1/free?q=Watersportweg+100%2C+3138+HD+Vlaardingen&amp;fq=type%3Aadres&amp;rows=10</x:v>
      </x:c>
      <x:c r="E788" s="57" t="str">
        <x:v>Dutch BAG address point via PDOK Locatieserver</x:v>
      </x:c>
      <x:c r="F788" s="57" t="str">
        <x:v>2026-08-15</x:v>
      </x:c>
      <x:c r="G788" s="14" t="str">
        <x:v>Exact postcode-matched address point: Watersportweg 100, 3138HD Vlaardingen.</x:v>
      </x:c>
    </x:row>
    <x:row r="789">
      <x:c r="A789" s="56" t="str">
        <x:v>NL-0394</x:v>
      </x:c>
      <x:c r="B789" s="57" t="str">
        <x:v>Golfclub Capelle — Main Course</x:v>
      </x:c>
      <x:c r="C789" s="57" t="str">
        <x:v>Course identity/specification</x:v>
      </x:c>
      <x:c r="D789" s="57" t="str">
        <x:v>https://www.golf.nl/de-baan-op/banenzoeker/overzicht</x:v>
      </x:c>
      <x:c r="E789" s="57" t="str">
        <x:v>Current national federation course register</x:v>
      </x:c>
      <x:c r="F789" s="57" t="str">
        <x:v>2026-08-15</x:v>
      </x:c>
      <x:c r="G789" s="14" t="str">
        <x:v>Current NGF/GOLF.NL listing: 18 holes, par 69, 5155 metres. Combined from exact NGF-listed constituent nine-hole loops: 1ste negen (9 holes, par 35, 2743 m); 2de negen (9 holes, par 34, 2412 m) Listed as qualifying.</x:v>
      </x:c>
    </x:row>
    <x:row r="790">
      <x:c r="A790" s="56" t="str">
        <x:v>NL-0394</x:v>
      </x:c>
      <x:c r="B790" s="57" t="str">
        <x:v>Golfclub Capelle — Main Course</x:v>
      </x:c>
      <x:c r="C790" s="57" t="str">
        <x:v>Coordinates/address</x:v>
      </x:c>
      <x:c r="D790" s="57" t="str">
        <x:v>https://api.pdok.nl/bzk/locatieserver/search/v3_1/free?q=s+Gravenweg+311%2C+2905+LB+Capelle+Aan+Den+Ijssel&amp;fq=type%3Aadres&amp;rows=10</x:v>
      </x:c>
      <x:c r="E790" s="57" t="str">
        <x:v>Dutch BAG address point via PDOK Locatieserver</x:v>
      </x:c>
      <x:c r="F790" s="57" t="str">
        <x:v>2026-08-15</x:v>
      </x:c>
      <x:c r="G790" s="14" t="str">
        <x:v>Exact postcode-matched address point: 's-Gravenweg 311, 2905LB Capelle aan den IJssel.</x:v>
      </x:c>
    </x:row>
    <x:row r="791">
      <x:c r="A791" s="56" t="str">
        <x:v>NL-0395</x:v>
      </x:c>
      <x:c r="B791" s="57" t="str">
        <x:v>Golfclub Cromstrijen — Main Course</x:v>
      </x:c>
      <x:c r="C791" s="57" t="str">
        <x:v>Course identity/specification</x:v>
      </x:c>
      <x:c r="D791" s="57" t="str">
        <x:v>https://www.golf.nl/de-baan-op/banenzoeker/overzicht</x:v>
      </x:c>
      <x:c r="E791" s="57" t="str">
        <x:v>Current national federation course register</x:v>
      </x:c>
      <x:c r="F791" s="57" t="str">
        <x:v>2026-08-15</x:v>
      </x:c>
      <x:c r="G791" s="14" t="str">
        <x:v>Current NGF/GOLF.NL listing: 18 holes, par 72, 6137 metres. Combined from exact NGF-listed constituent nine-hole loops: 1ste negen (9 holes, par 37, 3327 m); 2de negen (9 holes, par 35, 2810 m) Listed as qualifying.</x:v>
      </x:c>
    </x:row>
    <x:row r="792">
      <x:c r="A792" s="56" t="str">
        <x:v>NL-0395</x:v>
      </x:c>
      <x:c r="B792" s="57" t="str">
        <x:v>Golfclub Cromstrijen — Main Course</x:v>
      </x:c>
      <x:c r="C792" s="57" t="str">
        <x:v>Coordinates/address</x:v>
      </x:c>
      <x:c r="D792" s="57" t="str">
        <x:v>https://api.pdok.nl/bzk/locatieserver/search/v3_1/free?q=Veerweg+26%2C+3281+LX+Numansdorp&amp;fq=type%3Aadres&amp;rows=10</x:v>
      </x:c>
      <x:c r="E792" s="57" t="str">
        <x:v>Dutch BAG address point via PDOK Locatieserver</x:v>
      </x:c>
      <x:c r="F792" s="57" t="str">
        <x:v>2026-08-15</x:v>
      </x:c>
      <x:c r="G792" s="14" t="str">
        <x:v>Exact postcode-matched address point: Veerweg 26, 3281LX Numansdorp.</x:v>
      </x:c>
    </x:row>
    <x:row r="793">
      <x:c r="A793" s="56" t="str">
        <x:v>NL-0396</x:v>
      </x:c>
      <x:c r="B793" s="57" t="str">
        <x:v>Golfclub Cromstrijen — Par-3/4 Course</x:v>
      </x:c>
      <x:c r="C793" s="57" t="str">
        <x:v>Course identity/specification</x:v>
      </x:c>
      <x:c r="D793" s="57" t="str">
        <x:v>https://www.golf.nl/de-baan-op/banenzoeker/overzicht</x:v>
      </x:c>
      <x:c r="E793" s="57" t="str">
        <x:v>Current national federation course register</x:v>
      </x:c>
      <x:c r="F793" s="57" t="str">
        <x:v>2026-08-15</x:v>
      </x:c>
      <x:c r="G793" s="14" t="str">
        <x:v>Current NGF/GOLF.NL listing: 9 holes, par 30, 1860 metres. Listed as qualifying.</x:v>
      </x:c>
    </x:row>
    <x:row r="794">
      <x:c r="A794" s="56" t="str">
        <x:v>NL-0396</x:v>
      </x:c>
      <x:c r="B794" s="57" t="str">
        <x:v>Golfclub Cromstrijen — Par-3/4 Course</x:v>
      </x:c>
      <x:c r="C794" s="57" t="str">
        <x:v>Coordinates/address</x:v>
      </x:c>
      <x:c r="D794" s="57" t="str">
        <x:v>https://api.pdok.nl/bzk/locatieserver/search/v3_1/free?q=Veerweg+26%2C+3281+LX+Numansdorp&amp;fq=type%3Aadres&amp;rows=10</x:v>
      </x:c>
      <x:c r="E794" s="57" t="str">
        <x:v>Dutch BAG address point via PDOK Locatieserver</x:v>
      </x:c>
      <x:c r="F794" s="57" t="str">
        <x:v>2026-08-15</x:v>
      </x:c>
      <x:c r="G794" s="14" t="str">
        <x:v>Exact postcode-matched address point: Veerweg 26, 3281LX Numansdorp.</x:v>
      </x:c>
    </x:row>
    <x:row r="795">
      <x:c r="A795" s="56" t="str">
        <x:v>NL-0397</x:v>
      </x:c>
      <x:c r="B795" s="57" t="str">
        <x:v>Golfclub De Kieviten</x:v>
      </x:c>
      <x:c r="C795" s="57" t="str">
        <x:v>Course identity/specification</x:v>
      </x:c>
      <x:c r="D795" s="57" t="str">
        <x:v>https://www.golf.nl/de-baan-op/banenzoeker/overzicht</x:v>
      </x:c>
      <x:c r="E795" s="57" t="str">
        <x:v>Current national federation course register</x:v>
      </x:c>
      <x:c r="F795" s="57" t="str">
        <x:v>2026-08-15</x:v>
      </x:c>
      <x:c r="G795" s="14" t="str">
        <x:v>Current NGF/GOLF.NL listing: 9 holes, par 29, 1420 metres. Listed as qualifying.</x:v>
      </x:c>
    </x:row>
    <x:row r="796">
      <x:c r="A796" s="56" t="str">
        <x:v>NL-0397</x:v>
      </x:c>
      <x:c r="B796" s="57" t="str">
        <x:v>Golfclub De Kieviten</x:v>
      </x:c>
      <x:c r="C796" s="57" t="str">
        <x:v>Coordinates/address</x:v>
      </x:c>
      <x:c r="D796" s="57" t="str">
        <x:v>https://api.pdok.nl/bzk/locatieserver/search/v3_1/free?q=Dr.+Mansveltkade+11%2C+2242+TZ+Wassenaar&amp;fq=type%3Aadres&amp;rows=10</x:v>
      </x:c>
      <x:c r="E796" s="57" t="str">
        <x:v>Dutch BAG address point via PDOK Locatieserver</x:v>
      </x:c>
      <x:c r="F796" s="57" t="str">
        <x:v>2026-08-15</x:v>
      </x:c>
      <x:c r="G796" s="14" t="str">
        <x:v>Exact postcode-matched address point: Dr. Mansveltkade 11, 2242TZ Wassenaar.</x:v>
      </x:c>
    </x:row>
    <x:row r="797">
      <x:c r="A797" s="56" t="str">
        <x:v>NL-0398</x:v>
      </x:c>
      <x:c r="B797" s="57" t="str">
        <x:v>Golfclub Kagerzoom</x:v>
      </x:c>
      <x:c r="C797" s="57" t="str">
        <x:v>Course identity/specification</x:v>
      </x:c>
      <x:c r="D797" s="57" t="str">
        <x:v>https://www.golf.nl/de-baan-op/banenzoeker/overzicht</x:v>
      </x:c>
      <x:c r="E797" s="57" t="str">
        <x:v>Current national federation course register</x:v>
      </x:c>
      <x:c r="F797" s="57" t="str">
        <x:v>2026-08-15</x:v>
      </x:c>
      <x:c r="G797" s="14" t="str">
        <x:v>Current NGF/GOLF.NL listing: 9 holes, par 35, 2870 metres. Listed as qualifying.</x:v>
      </x:c>
    </x:row>
    <x:row r="798">
      <x:c r="A798" s="56" t="str">
        <x:v>NL-0398</x:v>
      </x:c>
      <x:c r="B798" s="57" t="str">
        <x:v>Golfclub Kagerzoom</x:v>
      </x:c>
      <x:c r="C798" s="57" t="str">
        <x:v>Coordinates/address</x:v>
      </x:c>
      <x:c r="D798" s="57" t="str">
        <x:v>https://api.pdok.nl/bzk/locatieserver/search/v3_1/free?q=Veerpolder+20%2C+2361+KV+Warmond&amp;fq=type%3Aadres&amp;rows=10</x:v>
      </x:c>
      <x:c r="E798" s="57" t="str">
        <x:v>Dutch BAG address point via PDOK Locatieserver</x:v>
      </x:c>
      <x:c r="F798" s="57" t="str">
        <x:v>2026-08-15</x:v>
      </x:c>
      <x:c r="G798" s="14" t="str">
        <x:v>Exact postcode-matched address point: Veerpolder 20a, 2361KV Warmond.</x:v>
      </x:c>
    </x:row>
    <x:row r="799">
      <x:c r="A799" s="56" t="str">
        <x:v>NL-0399</x:v>
      </x:c>
      <x:c r="B799" s="57" t="str">
        <x:v>Golfclub Kleiburg — Main Course</x:v>
      </x:c>
      <x:c r="C799" s="57" t="str">
        <x:v>Course identity/specification</x:v>
      </x:c>
      <x:c r="D799" s="57" t="str">
        <x:v>https://www.golf.nl/de-baan-op/banenzoeker/overzicht</x:v>
      </x:c>
      <x:c r="E799" s="57" t="str">
        <x:v>Current national federation course register</x:v>
      </x:c>
      <x:c r="F799" s="57" t="str">
        <x:v>2026-08-15</x:v>
      </x:c>
      <x:c r="G799" s="14" t="str">
        <x:v>Current NGF/GOLF.NL listing: 18 holes, par 72, 5900 metres. Combined from exact NGF-listed constituent nine-hole loops: 1ste negen (9 holes, par 36, 2943 m); 2de negen (9 holes, par 36, 2957 m) Listed as qualifying.</x:v>
      </x:c>
    </x:row>
    <x:row r="800">
      <x:c r="A800" s="56" t="str">
        <x:v>NL-0399</x:v>
      </x:c>
      <x:c r="B800" s="57" t="str">
        <x:v>Golfclub Kleiburg — Main Course</x:v>
      </x:c>
      <x:c r="C800" s="57" t="str">
        <x:v>Coordinates/address</x:v>
      </x:c>
      <x:c r="D800" s="57" t="str">
        <x:v>https://api.pdok.nl/bzk/locatieserver/search/v3_1/free?q=Krabbeweg+9%2C+3231+NB+Brielle&amp;fq=type%3Aadres&amp;rows=10</x:v>
      </x:c>
      <x:c r="E800" s="57" t="str">
        <x:v>Dutch BAG address point via PDOK Locatieserver</x:v>
      </x:c>
      <x:c r="F800" s="57" t="str">
        <x:v>2026-08-15</x:v>
      </x:c>
      <x:c r="G800" s="14" t="str">
        <x:v>Exact postcode-matched address point: Krabbeweg 9b, 3231NB Brielle.</x:v>
      </x:c>
    </x:row>
    <x:row r="801">
      <x:c r="A801" s="56" t="str">
        <x:v>NL-0400</x:v>
      </x:c>
      <x:c r="B801" s="57" t="str">
        <x:v>Golfclub Ter Specke</x:v>
      </x:c>
      <x:c r="C801" s="57" t="str">
        <x:v>Course identity/specification</x:v>
      </x:c>
      <x:c r="D801" s="57" t="str">
        <x:v>https://www.golf.nl/de-baan-op/banenzoeker/overzicht</x:v>
      </x:c>
      <x:c r="E801" s="57" t="str">
        <x:v>Current national federation course register</x:v>
      </x:c>
      <x:c r="F801" s="57" t="str">
        <x:v>2026-08-15</x:v>
      </x:c>
      <x:c r="G801" s="14" t="str">
        <x:v>Current NGF/GOLF.NL listing: 9 holes, par 27, 1153 metres. Listed as qualifying.</x:v>
      </x:c>
    </x:row>
    <x:row r="802">
      <x:c r="A802" s="56" t="str">
        <x:v>NL-0400</x:v>
      </x:c>
      <x:c r="B802" s="57" t="str">
        <x:v>Golfclub Ter Specke</x:v>
      </x:c>
      <x:c r="C802" s="57" t="str">
        <x:v>Coordinates/address</x:v>
      </x:c>
      <x:c r="D802" s="57" t="str">
        <x:v>https://api.pdok.nl/bzk/locatieserver/search/v3_1/free?q=Spekkelaan+1%2C+2161+GH+Lisse&amp;fq=type%3Aadres&amp;rows=10</x:v>
      </x:c>
      <x:c r="E802" s="57" t="str">
        <x:v>Dutch BAG address point via PDOK Locatieserver</x:v>
      </x:c>
      <x:c r="F802" s="57" t="str">
        <x:v>2026-08-15</x:v>
      </x:c>
      <x:c r="G802" s="14" t="str">
        <x:v>Exact postcode-matched address point: Spekkelaan 1A, 2161GH Lisse.</x:v>
      </x:c>
    </x:row>
    <x:row r="803">
      <x:c r="A803" s="56" t="str">
        <x:v>NL-0401</x:v>
      </x:c>
      <x:c r="B803" s="57" t="str">
        <x:v>Golfclub Westland</x:v>
      </x:c>
      <x:c r="C803" s="57" t="str">
        <x:v>Course identity/specification</x:v>
      </x:c>
      <x:c r="D803" s="57" t="str">
        <x:v>https://www.golf.nl/de-baan-op/banenzoeker/overzicht</x:v>
      </x:c>
      <x:c r="E803" s="57" t="str">
        <x:v>Current national federation course register</x:v>
      </x:c>
      <x:c r="F803" s="57" t="str">
        <x:v>2026-08-15</x:v>
      </x:c>
      <x:c r="G803" s="14" t="str">
        <x:v>Current NGF/GOLF.NL listing: 9 holes, par 27, 788 metres. Listed as qualifying.</x:v>
      </x:c>
    </x:row>
    <x:row r="804">
      <x:c r="A804" s="56" t="str">
        <x:v>NL-0401</x:v>
      </x:c>
      <x:c r="B804" s="57" t="str">
        <x:v>Golfclub Westland</x:v>
      </x:c>
      <x:c r="C804" s="57" t="str">
        <x:v>Coordinates/address</x:v>
      </x:c>
      <x:c r="D804" s="57" t="str">
        <x:v>https://api.pdok.nl/bzk/locatieserver/search/v3_1/free?q=Koningin+Julianaweg+154%2C+2691+GH+%27S-Gravenzande&amp;fq=type%3Aadres&amp;rows=10</x:v>
      </x:c>
      <x:c r="E804" s="57" t="str">
        <x:v>Dutch BAG address point via PDOK Locatieserver</x:v>
      </x:c>
      <x:c r="F804" s="57" t="str">
        <x:v>2026-08-15</x:v>
      </x:c>
      <x:c r="G804" s="14" t="str">
        <x:v>Exact postcode-matched address point: Koningin Julianaweg 154A, 2691GH 's-Gravenzande.</x:v>
      </x:c>
    </x:row>
    <x:row r="805">
      <x:c r="A805" s="56" t="str">
        <x:v>NL-0402</x:v>
      </x:c>
      <x:c r="B805" s="57" t="str">
        <x:v>Golfclub Zeegersloot — Griend</x:v>
      </x:c>
      <x:c r="C805" s="57" t="str">
        <x:v>Course identity/specification</x:v>
      </x:c>
      <x:c r="D805" s="57" t="str">
        <x:v>https://www.golf.nl/de-baan-op/banenzoeker/overzicht</x:v>
      </x:c>
      <x:c r="E805" s="57" t="str">
        <x:v>Current national federation course register</x:v>
      </x:c>
      <x:c r="F805" s="57" t="str">
        <x:v>2026-08-15</x:v>
      </x:c>
      <x:c r="G805" s="14" t="str">
        <x:v>Current NGF/GOLF.NL listing: 9 holes, par 36, 3017 metres. Listed as qualifying.</x:v>
      </x:c>
    </x:row>
    <x:row r="806">
      <x:c r="A806" s="56" t="str">
        <x:v>NL-0402</x:v>
      </x:c>
      <x:c r="B806" s="57" t="str">
        <x:v>Golfclub Zeegersloot — Griend</x:v>
      </x:c>
      <x:c r="C806" s="57" t="str">
        <x:v>Coordinates/address</x:v>
      </x:c>
      <x:c r="D806" s="57" t="str">
        <x:v>https://api.pdok.nl/bzk/locatieserver/search/v3_1/free?q=Kromme+Aarweg+5%2C+2403+NB+Alphen+Aan+Den+Rijn&amp;fq=type%3Aadres&amp;rows=10</x:v>
      </x:c>
      <x:c r="E806" s="57" t="str">
        <x:v>Dutch BAG address point via PDOK Locatieserver</x:v>
      </x:c>
      <x:c r="F806" s="57" t="str">
        <x:v>2026-08-15</x:v>
      </x:c>
      <x:c r="G806" s="14" t="str">
        <x:v>Exact postcode-matched address point: Kromme Aarweg 5, 2403NB Alphen aan den Rijn.</x:v>
      </x:c>
    </x:row>
    <x:row r="807">
      <x:c r="A807" s="56" t="str">
        <x:v>NL-0403</x:v>
      </x:c>
      <x:c r="B807" s="57" t="str">
        <x:v>Golfclub Zeegersloot — Heuvel</x:v>
      </x:c>
      <x:c r="C807" s="57" t="str">
        <x:v>Course identity/specification</x:v>
      </x:c>
      <x:c r="D807" s="57" t="str">
        <x:v>https://www.golf.nl/de-baan-op/banenzoeker/overzicht</x:v>
      </x:c>
      <x:c r="E807" s="57" t="str">
        <x:v>Current national federation course register</x:v>
      </x:c>
      <x:c r="F807" s="57" t="str">
        <x:v>2026-08-15</x:v>
      </x:c>
      <x:c r="G807" s="14" t="str">
        <x:v>Current NGF/GOLF.NL listing: 9 holes, par 35, 2763 metres. Listed as qualifying.</x:v>
      </x:c>
    </x:row>
    <x:row r="808">
      <x:c r="A808" s="56" t="str">
        <x:v>NL-0403</x:v>
      </x:c>
      <x:c r="B808" s="57" t="str">
        <x:v>Golfclub Zeegersloot — Heuvel</x:v>
      </x:c>
      <x:c r="C808" s="57" t="str">
        <x:v>Coordinates/address</x:v>
      </x:c>
      <x:c r="D808" s="57" t="str">
        <x:v>https://api.pdok.nl/bzk/locatieserver/search/v3_1/free?q=Kromme+Aarweg+5%2C+2403+NB+Alphen+Aan+Den+Rijn&amp;fq=type%3Aadres&amp;rows=10</x:v>
      </x:c>
      <x:c r="E808" s="57" t="str">
        <x:v>Dutch BAG address point via PDOK Locatieserver</x:v>
      </x:c>
      <x:c r="F808" s="57" t="str">
        <x:v>2026-08-15</x:v>
      </x:c>
      <x:c r="G808" s="14" t="str">
        <x:v>Exact postcode-matched address point: Kromme Aarweg 5, 2403NB Alphen aan den Rijn.</x:v>
      </x:c>
    </x:row>
    <x:row r="809">
      <x:c r="A809" s="56" t="str">
        <x:v>NL-0404</x:v>
      </x:c>
      <x:c r="B809" s="57" t="str">
        <x:v>Golfclub Zeegersloot — Parkbaan</x:v>
      </x:c>
      <x:c r="C809" s="57" t="str">
        <x:v>Course identity/specification</x:v>
      </x:c>
      <x:c r="D809" s="57" t="str">
        <x:v>https://www.golf.nl/de-baan-op/banenzoeker/overzicht</x:v>
      </x:c>
      <x:c r="E809" s="57" t="str">
        <x:v>Current national federation course register</x:v>
      </x:c>
      <x:c r="F809" s="57" t="str">
        <x:v>2026-08-15</x:v>
      </x:c>
      <x:c r="G809" s="14" t="str">
        <x:v>Current NGF/GOLF.NL listing: 9 holes, par 27, 1252 metres. Listed as qualifying.</x:v>
      </x:c>
    </x:row>
    <x:row r="810">
      <x:c r="A810" s="56" t="str">
        <x:v>NL-0404</x:v>
      </x:c>
      <x:c r="B810" s="57" t="str">
        <x:v>Golfclub Zeegersloot — Parkbaan</x:v>
      </x:c>
      <x:c r="C810" s="57" t="str">
        <x:v>Coordinates/address</x:v>
      </x:c>
      <x:c r="D810" s="57" t="str">
        <x:v>https://api.pdok.nl/bzk/locatieserver/search/v3_1/free?q=Kromme+Aarweg+5%2C+2403+NB+Alphen+Aan+Den+Rijn&amp;fq=type%3Aadres&amp;rows=10</x:v>
      </x:c>
      <x:c r="E810" s="57" t="str">
        <x:v>Dutch BAG address point via PDOK Locatieserver</x:v>
      </x:c>
      <x:c r="F810" s="57" t="str">
        <x:v>2026-08-15</x:v>
      </x:c>
      <x:c r="G810" s="14" t="str">
        <x:v>Exact postcode-matched address point: Kromme Aarweg 5, 2403NB Alphen aan den Rijn.</x:v>
      </x:c>
    </x:row>
    <x:row r="811">
      <x:c r="A811" s="56" t="str">
        <x:v>NL-0405</x:v>
      </x:c>
      <x:c r="B811" s="57" t="str">
        <x:v>Golfpark De Star — Par 3/4 baan</x:v>
      </x:c>
      <x:c r="C811" s="57" t="str">
        <x:v>Course identity/specification</x:v>
      </x:c>
      <x:c r="D811" s="57" t="str">
        <x:v>https://www.golf.nl/de-baan-op/banenzoeker/overzicht</x:v>
      </x:c>
      <x:c r="E811" s="57" t="str">
        <x:v>Current national federation course register</x:v>
      </x:c>
      <x:c r="F811" s="57" t="str">
        <x:v>2026-08-15</x:v>
      </x:c>
      <x:c r="G811" s="14" t="str">
        <x:v>Current NGF/GOLF.NL listing: 9 holes, par 29, 1291 metres. Listed as qualifying.</x:v>
      </x:c>
    </x:row>
    <x:row r="812">
      <x:c r="A812" s="56" t="str">
        <x:v>NL-0405</x:v>
      </x:c>
      <x:c r="B812" s="57" t="str">
        <x:v>Golfpark De Star — Par 3/4 baan</x:v>
      </x:c>
      <x:c r="C812" s="57" t="str">
        <x:v>Coordinates/address</x:v>
      </x:c>
      <x:c r="D812" s="57" t="str">
        <x:v>https://api.pdok.nl/bzk/locatieserver/search/v3_1/free?q=De+Star+51%2C+2266+NA+Leidschendam&amp;fq=type%3Aadres&amp;rows=10</x:v>
      </x:c>
      <x:c r="E812" s="57" t="str">
        <x:v>Dutch BAG address point via PDOK Locatieserver</x:v>
      </x:c>
      <x:c r="F812" s="57" t="str">
        <x:v>2026-08-15</x:v>
      </x:c>
      <x:c r="G812" s="14" t="str">
        <x:v>Exact postcode-matched address point: de Star 51A, 2266NA Leidschendam.</x:v>
      </x:c>
    </x:row>
    <x:row r="813">
      <x:c r="A813" s="56" t="str">
        <x:v>NL-0406</x:v>
      </x:c>
      <x:c r="B813" s="57" t="str">
        <x:v>Golfpark De Star — Shortgolf baan</x:v>
      </x:c>
      <x:c r="C813" s="57" t="str">
        <x:v>Course identity/specification</x:v>
      </x:c>
      <x:c r="D813" s="57" t="str">
        <x:v>https://www.golf.nl/de-baan-op/banenzoeker/overzicht</x:v>
      </x:c>
      <x:c r="E813" s="57" t="str">
        <x:v>Current national federation course register</x:v>
      </x:c>
      <x:c r="F813" s="57" t="str">
        <x:v>2026-08-15</x:v>
      </x:c>
      <x:c r="G813" s="14" t="str">
        <x:v>Current NGF/GOLF.NL listing: 9 holes, par 27, 450 metres. Listed as non-qualifying.</x:v>
      </x:c>
    </x:row>
    <x:row r="814">
      <x:c r="A814" s="56" t="str">
        <x:v>NL-0406</x:v>
      </x:c>
      <x:c r="B814" s="57" t="str">
        <x:v>Golfpark De Star — Shortgolf baan</x:v>
      </x:c>
      <x:c r="C814" s="57" t="str">
        <x:v>Coordinates/address</x:v>
      </x:c>
      <x:c r="D814" s="57" t="str">
        <x:v>https://api.pdok.nl/bzk/locatieserver/search/v3_1/free?q=De+Star+51%2C+2266+NA+Leidschendam&amp;fq=type%3Aadres&amp;rows=10</x:v>
      </x:c>
      <x:c r="E814" s="57" t="str">
        <x:v>Dutch BAG address point via PDOK Locatieserver</x:v>
      </x:c>
      <x:c r="F814" s="57" t="str">
        <x:v>2026-08-15</x:v>
      </x:c>
      <x:c r="G814" s="14" t="str">
        <x:v>Exact postcode-matched address point: de Star 51A, 2266NA Leidschendam.</x:v>
      </x:c>
    </x:row>
    <x:row r="815">
      <x:c r="A815" s="56" t="str">
        <x:v>NL-0407</x:v>
      </x:c>
      <x:c r="B815" s="57" t="str">
        <x:v>Golfpark Rotterdam — Korte baan</x:v>
      </x:c>
      <x:c r="C815" s="57" t="str">
        <x:v>Course identity/specification</x:v>
      </x:c>
      <x:c r="D815" s="57" t="str">
        <x:v>https://www.golf.nl/de-baan-op/banenzoeker/overzicht</x:v>
      </x:c>
      <x:c r="E815" s="57" t="str">
        <x:v>Current national federation course register</x:v>
      </x:c>
      <x:c r="F815" s="57" t="str">
        <x:v>2026-08-15</x:v>
      </x:c>
      <x:c r="G815" s="14" t="str">
        <x:v>Current NGF/GOLF.NL listing: 9 holes, par 28, 1116 metres. Listed as qualifying.</x:v>
      </x:c>
    </x:row>
    <x:row r="816">
      <x:c r="A816" s="56" t="str">
        <x:v>NL-0407</x:v>
      </x:c>
      <x:c r="B816" s="57" t="str">
        <x:v>Golfpark Rotterdam — Korte baan</x:v>
      </x:c>
      <x:c r="C816" s="57" t="str">
        <x:v>Coordinates/address</x:v>
      </x:c>
      <x:c r="D816" s="57" t="str">
        <x:v>https://api.pdok.nl/bzk/locatieserver/search/v3_1/free?q=Vareseweg+93%2C+3047+AT+Rotterdam&amp;fq=type%3Aadres&amp;rows=10</x:v>
      </x:c>
      <x:c r="E816" s="57" t="str">
        <x:v>Dutch BAG address point via PDOK Locatieserver</x:v>
      </x:c>
      <x:c r="F816" s="57" t="str">
        <x:v>2026-08-15</x:v>
      </x:c>
      <x:c r="G816" s="14" t="str">
        <x:v>Exact postcode-matched address point: Vareseweg 93, 3047AT Rotterdam.</x:v>
      </x:c>
    </x:row>
    <x:row r="817">
      <x:c r="A817" s="56" t="str">
        <x:v>NL-0408</x:v>
      </x:c>
      <x:c r="B817" s="57" t="str">
        <x:v>Golfpark Rotterdam — Tijdelijke lus</x:v>
      </x:c>
      <x:c r="C817" s="57" t="str">
        <x:v>Course identity/specification</x:v>
      </x:c>
      <x:c r="D817" s="57" t="str">
        <x:v>https://www.golf.nl/de-baan-op/banenzoeker/overzicht</x:v>
      </x:c>
      <x:c r="E817" s="57" t="str">
        <x:v>Current national federation course register</x:v>
      </x:c>
      <x:c r="F817" s="57" t="str">
        <x:v>2026-08-15</x:v>
      </x:c>
      <x:c r="G817" s="14" t="str">
        <x:v>Current NGF/GOLF.NL listing: 9 holes, par 36, 2871 metres. Listed as non-qualifying.</x:v>
      </x:c>
    </x:row>
    <x:row r="818">
      <x:c r="A818" s="56" t="str">
        <x:v>NL-0408</x:v>
      </x:c>
      <x:c r="B818" s="57" t="str">
        <x:v>Golfpark Rotterdam — Tijdelijke lus</x:v>
      </x:c>
      <x:c r="C818" s="57" t="str">
        <x:v>Coordinates/address</x:v>
      </x:c>
      <x:c r="D818" s="57" t="str">
        <x:v>https://api.pdok.nl/bzk/locatieserver/search/v3_1/free?q=Vareseweg+93%2C+3047+AT+Rotterdam&amp;fq=type%3Aadres&amp;rows=10</x:v>
      </x:c>
      <x:c r="E818" s="57" t="str">
        <x:v>Dutch BAG address point via PDOK Locatieserver</x:v>
      </x:c>
      <x:c r="F818" s="57" t="str">
        <x:v>2026-08-15</x:v>
      </x:c>
      <x:c r="G818" s="14" t="str">
        <x:v>Exact postcode-matched address point: Vareseweg 93, 3047AT Rotterdam.</x:v>
      </x:c>
    </x:row>
    <x:row r="819">
      <x:c r="A819" s="56" t="str">
        <x:v>NL-0409</x:v>
      </x:c>
      <x:c r="B819" s="57" t="str">
        <x:v>Golfpark Westerpark — Blauw</x:v>
      </x:c>
      <x:c r="C819" s="57" t="str">
        <x:v>Course identity/specification</x:v>
      </x:c>
      <x:c r="D819" s="57" t="str">
        <x:v>https://www.golf.nl/de-baan-op/banenzoeker/overzicht</x:v>
      </x:c>
      <x:c r="E819" s="57" t="str">
        <x:v>Current national federation course register</x:v>
      </x:c>
      <x:c r="F819" s="57" t="str">
        <x:v>2026-08-15</x:v>
      </x:c>
      <x:c r="G819" s="14" t="str">
        <x:v>Current NGF/GOLF.NL listing: 9 holes, par 36, 3126 metres. Listed as qualifying.</x:v>
      </x:c>
    </x:row>
    <x:row r="820">
      <x:c r="A820" s="56" t="str">
        <x:v>NL-0409</x:v>
      </x:c>
      <x:c r="B820" s="57" t="str">
        <x:v>Golfpark Westerpark — Blauw</x:v>
      </x:c>
      <x:c r="C820" s="57" t="str">
        <x:v>Coordinates/address</x:v>
      </x:c>
      <x:c r="D820" s="57" t="str">
        <x:v>https://api.pdok.nl/bzk/locatieserver/search/v3_1/free?q=Heuvelweg+3%2C+2716+DZ+Zoetermeer&amp;fq=type%3Aadres&amp;rows=10</x:v>
      </x:c>
      <x:c r="E820" s="57" t="str">
        <x:v>Dutch BAG address point via PDOK Locatieserver</x:v>
      </x:c>
      <x:c r="F820" s="57" t="str">
        <x:v>2026-08-15</x:v>
      </x:c>
      <x:c r="G820" s="14" t="str">
        <x:v>Exact postcode-matched address point: Heuvelweg 3, 2716DZ Zoetermeer.</x:v>
      </x:c>
    </x:row>
    <x:row r="821">
      <x:c r="A821" s="56" t="str">
        <x:v>NL-0410</x:v>
      </x:c>
      <x:c r="B821" s="57" t="str">
        <x:v>Golfpark Westerpark — Geel</x:v>
      </x:c>
      <x:c r="C821" s="57" t="str">
        <x:v>Course identity/specification</x:v>
      </x:c>
      <x:c r="D821" s="57" t="str">
        <x:v>https://www.golf.nl/de-baan-op/banenzoeker/overzicht</x:v>
      </x:c>
      <x:c r="E821" s="57" t="str">
        <x:v>Current national federation course register</x:v>
      </x:c>
      <x:c r="F821" s="57" t="str">
        <x:v>2026-08-15</x:v>
      </x:c>
      <x:c r="G821" s="14" t="str">
        <x:v>Current NGF/GOLF.NL listing: 9 holes, par 35, 2860 metres. Listed as qualifying.</x:v>
      </x:c>
    </x:row>
    <x:row r="822">
      <x:c r="A822" s="56" t="str">
        <x:v>NL-0410</x:v>
      </x:c>
      <x:c r="B822" s="57" t="str">
        <x:v>Golfpark Westerpark — Geel</x:v>
      </x:c>
      <x:c r="C822" s="57" t="str">
        <x:v>Coordinates/address</x:v>
      </x:c>
      <x:c r="D822" s="57" t="str">
        <x:v>https://api.pdok.nl/bzk/locatieserver/search/v3_1/free?q=Heuvelweg+3%2C+2716+DZ+Zoetermeer&amp;fq=type%3Aadres&amp;rows=10</x:v>
      </x:c>
      <x:c r="E822" s="57" t="str">
        <x:v>Dutch BAG address point via PDOK Locatieserver</x:v>
      </x:c>
      <x:c r="F822" s="57" t="str">
        <x:v>2026-08-15</x:v>
      </x:c>
      <x:c r="G822" s="14" t="str">
        <x:v>Exact postcode-matched address point: Heuvelweg 3, 2716DZ Zoetermeer.</x:v>
      </x:c>
    </x:row>
    <x:row r="823">
      <x:c r="A823" s="56" t="str">
        <x:v>NL-0411</x:v>
      </x:c>
      <x:c r="B823" s="57" t="str">
        <x:v>Haagsche Countryclub Groen-Geel — Groen</x:v>
      </x:c>
      <x:c r="C823" s="57" t="str">
        <x:v>Course identity/specification</x:v>
      </x:c>
      <x:c r="D823" s="57" t="str">
        <x:v>https://www.golf.nl/de-baan-op/banenzoeker/overzicht</x:v>
      </x:c>
      <x:c r="E823" s="57" t="str">
        <x:v>Current national federation course register</x:v>
      </x:c>
      <x:c r="F823" s="57" t="str">
        <x:v>2026-08-15</x:v>
      </x:c>
      <x:c r="G823" s="14" t="str">
        <x:v>Current NGF/GOLF.NL listing: 9 holes, par 31, 1747 metres. Listed as qualifying.</x:v>
      </x:c>
    </x:row>
    <x:row r="824">
      <x:c r="A824" s="56" t="str">
        <x:v>NL-0411</x:v>
      </x:c>
      <x:c r="B824" s="57" t="str">
        <x:v>Haagsche Countryclub Groen-Geel — Groen</x:v>
      </x:c>
      <x:c r="C824" s="57" t="str">
        <x:v>Coordinates/address</x:v>
      </x:c>
      <x:c r="D824" s="57" t="str">
        <x:v>https://api.pdok.nl/bzk/locatieserver/search/v3_1/free?q=Buurtweg+122%2C+2244+AJ+Wassenaar&amp;fq=type%3Aadres&amp;rows=10</x:v>
      </x:c>
      <x:c r="E824" s="57" t="str">
        <x:v>Dutch BAG address point via PDOK Locatieserver</x:v>
      </x:c>
      <x:c r="F824" s="57" t="str">
        <x:v>2026-08-15</x:v>
      </x:c>
      <x:c r="G824" s="14" t="str">
        <x:v>Exact postcode-matched address point: Buurtweg 122, 2244AJ Wassenaar.</x:v>
      </x:c>
    </x:row>
    <x:row r="825">
      <x:c r="A825" s="56" t="str">
        <x:v>NL-0412</x:v>
      </x:c>
      <x:c r="B825" s="57" t="str">
        <x:v>Haagse Golfvereniging Leeuwenbergh — Main Course</x:v>
      </x:c>
      <x:c r="C825" s="57" t="str">
        <x:v>Course identity/specification</x:v>
      </x:c>
      <x:c r="D825" s="57" t="str">
        <x:v>https://www.golf.nl/de-baan-op/banenzoeker/overzicht</x:v>
      </x:c>
      <x:c r="E825" s="57" t="str">
        <x:v>Current national federation course register</x:v>
      </x:c>
      <x:c r="F825" s="57" t="str">
        <x:v>2026-08-15</x:v>
      </x:c>
      <x:c r="G825" s="14" t="str">
        <x:v>Current NGF/GOLF.NL listing: 18 holes, par 71, 5800 metres. Combined from exact NGF-listed constituent nine-hole loops: 1ste negen (9 holes, par 36, 3125 m); 2de negen (9 holes, par 35, 2675 m) Listed as qualifying.</x:v>
      </x:c>
    </x:row>
    <x:row r="826">
      <x:c r="A826" s="56" t="str">
        <x:v>NL-0412</x:v>
      </x:c>
      <x:c r="B826" s="57" t="str">
        <x:v>Haagse Golfvereniging Leeuwenbergh — Main Course</x:v>
      </x:c>
      <x:c r="C826" s="57" t="str">
        <x:v>Coordinates/address</x:v>
      </x:c>
      <x:c r="D826" s="57" t="str">
        <x:v>https://api.pdok.nl/bzk/locatieserver/search/v3_1/free?q=Elzenlaan+31%2C+2495+AZ+Den+Haag&amp;fq=type%3Aadres&amp;rows=10</x:v>
      </x:c>
      <x:c r="E826" s="57" t="str">
        <x:v>Dutch BAG address point via PDOK Locatieserver</x:v>
      </x:c>
      <x:c r="F826" s="57" t="str">
        <x:v>2026-08-15</x:v>
      </x:c>
      <x:c r="G826" s="14" t="str">
        <x:v>Exact postcode-matched address point: Elzenlaan 31, 2495AZ 's-Gravenhage.</x:v>
      </x:c>
    </x:row>
    <x:row r="827">
      <x:c r="A827" s="56" t="str">
        <x:v>NL-0413</x:v>
      </x:c>
      <x:c r="B827" s="57" t="str">
        <x:v>Koninklijke Haagsche Golf &amp; Country Club — Main Course</x:v>
      </x:c>
      <x:c r="C827" s="57" t="str">
        <x:v>Course identity/specification</x:v>
      </x:c>
      <x:c r="D827" s="57" t="str">
        <x:v>https://www.golf.nl/de-baan-op/banenzoeker/overzicht</x:v>
      </x:c>
      <x:c r="E827" s="57" t="str">
        <x:v>Current national federation course register</x:v>
      </x:c>
      <x:c r="F827" s="57" t="str">
        <x:v>2026-08-15</x:v>
      </x:c>
      <x:c r="G827" s="14" t="str">
        <x:v>Current NGF/GOLF.NL listing: 18 holes, par 72, 6177 metres. Combined from exact NGF-listed constituent nine-hole loops: 1ste negen (9 holes, par 36, 3139 m); 2de negen (9 holes, par 36, 3038 m) Listed as qualifying.</x:v>
      </x:c>
    </x:row>
    <x:row r="828">
      <x:c r="A828" s="56" t="str">
        <x:v>NL-0413</x:v>
      </x:c>
      <x:c r="B828" s="57" t="str">
        <x:v>Koninklijke Haagsche Golf &amp; Country Club — Main Course</x:v>
      </x:c>
      <x:c r="C828" s="57" t="str">
        <x:v>Coordinates/address</x:v>
      </x:c>
      <x:c r="D828" s="57" t="str">
        <x:v>https://api.pdok.nl/bzk/locatieserver/search/v3_1/free?q=Groot+Haesebroekseweg+22%2C+2243+EC+Wassenaar&amp;fq=type%3Aadres&amp;rows=10</x:v>
      </x:c>
      <x:c r="E828" s="57" t="str">
        <x:v>Dutch BAG address point via PDOK Locatieserver</x:v>
      </x:c>
      <x:c r="F828" s="57" t="str">
        <x:v>2026-08-15</x:v>
      </x:c>
      <x:c r="G828" s="14" t="str">
        <x:v>Exact postcode-matched address point: Groot Haesebroekseweg 22A, 2243EC Wassenaar.</x:v>
      </x:c>
    </x:row>
    <x:row r="829">
      <x:c r="A829" s="56" t="str">
        <x:v>NL-0414</x:v>
      </x:c>
      <x:c r="B829" s="57" t="str">
        <x:v>Noordwijkse Golfclub — Main Course</x:v>
      </x:c>
      <x:c r="C829" s="57" t="str">
        <x:v>Course identity/specification</x:v>
      </x:c>
      <x:c r="D829" s="57" t="str">
        <x:v>https://www.golf.nl/de-baan-op/banenzoeker/overzicht</x:v>
      </x:c>
      <x:c r="E829" s="57" t="str">
        <x:v>Current national federation course register</x:v>
      </x:c>
      <x:c r="F829" s="57" t="str">
        <x:v>2026-08-15</x:v>
      </x:c>
      <x:c r="G829" s="14" t="str">
        <x:v>Current NGF/GOLF.NL listing: 18 holes, par 72, 6359 metres. Combined from exact NGF-listed constituent nine-hole loops: 1ste negen (9 holes, par 36, 3232 m); 2de negen (9 holes, par 36, 3127 m) Listed as qualifying.</x:v>
      </x:c>
    </x:row>
    <x:row r="830">
      <x:c r="A830" s="56" t="str">
        <x:v>NL-0414</x:v>
      </x:c>
      <x:c r="B830" s="57" t="str">
        <x:v>Noordwijkse Golfclub — Main Course</x:v>
      </x:c>
      <x:c r="C830" s="57" t="str">
        <x:v>Coordinates/address</x:v>
      </x:c>
      <x:c r="D830" s="57" t="str">
        <x:v>https://api.pdok.nl/bzk/locatieserver/search/v3_1/free?q=Randweg+25%2C+2204+AL+Noordwijk&amp;fq=type%3Aadres&amp;rows=10</x:v>
      </x:c>
      <x:c r="E830" s="57" t="str">
        <x:v>Dutch BAG address point via PDOK Locatieserver</x:v>
      </x:c>
      <x:c r="F830" s="57" t="str">
        <x:v>2026-08-15</x:v>
      </x:c>
      <x:c r="G830" s="14" t="str">
        <x:v>Exact postcode-matched address point: Randweg 25, 2204AL Noordwijk.</x:v>
      </x:c>
    </x:row>
    <x:row r="831">
      <x:c r="A831" s="56" t="str">
        <x:v>NL-0415</x:v>
      </x:c>
      <x:c r="B831" s="57" t="str">
        <x:v>Oegstgeester Golfclub — Standaardbaan</x:v>
      </x:c>
      <x:c r="C831" s="57" t="str">
        <x:v>Course identity/specification</x:v>
      </x:c>
      <x:c r="D831" s="57" t="str">
        <x:v>https://www.golf.nl/de-baan-op/banenzoeker/overzicht</x:v>
      </x:c>
      <x:c r="E831" s="57" t="str">
        <x:v>Current national federation course register</x:v>
      </x:c>
      <x:c r="F831" s="57" t="str">
        <x:v>2026-08-15</x:v>
      </x:c>
      <x:c r="G831" s="14" t="str">
        <x:v>Current NGF/GOLF.NL listing: 9 holes, par 30, 1408 metres. Listed as qualifying.</x:v>
      </x:c>
    </x:row>
    <x:row r="832">
      <x:c r="A832" s="56" t="str">
        <x:v>NL-0415</x:v>
      </x:c>
      <x:c r="B832" s="57" t="str">
        <x:v>Oegstgeester Golfclub — Standaardbaan</x:v>
      </x:c>
      <x:c r="C832" s="57" t="str">
        <x:v>Coordinates/address</x:v>
      </x:c>
      <x:c r="D832" s="57" t="str">
        <x:v>https://api.pdok.nl/bzk/locatieserver/search/v3_1/free?q=Van+Houdringelaan+15%2C+2341+BN+Oegstgeest&amp;fq=type%3Aadres&amp;rows=10</x:v>
      </x:c>
      <x:c r="E832" s="57" t="str">
        <x:v>Dutch BAG address point via PDOK Locatieserver</x:v>
      </x:c>
      <x:c r="F832" s="57" t="str">
        <x:v>2026-08-15</x:v>
      </x:c>
      <x:c r="G832" s="14" t="str">
        <x:v>Exact postcode-matched address point: van Houdringelaan 15A, 2341BN Oegstgeest.</x:v>
      </x:c>
    </x:row>
    <x:row r="833">
      <x:c r="A833" s="56" t="str">
        <x:v>NL-0416</x:v>
      </x:c>
      <x:c r="B833" s="57" t="str">
        <x:v>Rhoon Golfcenter — Main Course</x:v>
      </x:c>
      <x:c r="C833" s="57" t="str">
        <x:v>Course identity/specification</x:v>
      </x:c>
      <x:c r="D833" s="57" t="str">
        <x:v>https://www.golf.nl/de-baan-op/banenzoeker/overzicht</x:v>
      </x:c>
      <x:c r="E833" s="57" t="str">
        <x:v>Current national federation course register</x:v>
      </x:c>
      <x:c r="F833" s="57" t="str">
        <x:v>2026-08-15</x:v>
      </x:c>
      <x:c r="G833" s="14" t="str">
        <x:v>Current NGF/GOLF.NL listing: 18 holes, par 71, 5748 metres. Combined from exact NGF-listed constituent nine-hole loops: 1ste negen (9 holes, par 36, 2904 m); 2de negen (9 holes, par 35, 2844 m) Listed as qualifying.</x:v>
      </x:c>
    </x:row>
    <x:row r="834">
      <x:c r="A834" s="56" t="str">
        <x:v>NL-0416</x:v>
      </x:c>
      <x:c r="B834" s="57" t="str">
        <x:v>Rhoon Golfcenter — Main Course</x:v>
      </x:c>
      <x:c r="C834" s="57" t="str">
        <x:v>Coordinates/address</x:v>
      </x:c>
      <x:c r="D834" s="57" t="str">
        <x:v>https://api.pdok.nl/bzk/locatieserver/search/v3_1/free?q=Veerweg+2A%2C+3161+EX+Rhoon&amp;fq=type%3Aadres&amp;rows=10</x:v>
      </x:c>
      <x:c r="E834" s="57" t="str">
        <x:v>Dutch BAG address point via PDOK Locatieserver</x:v>
      </x:c>
      <x:c r="F834" s="57" t="str">
        <x:v>2026-08-15</x:v>
      </x:c>
      <x:c r="G834" s="14" t="str">
        <x:v>Exact postcode-matched address point: Veerweg 2a, 3161EX Rhoon.</x:v>
      </x:c>
    </x:row>
    <x:row r="835">
      <x:c r="A835" s="56" t="str">
        <x:v>NL-0417</x:v>
      </x:c>
      <x:c r="B835" s="57" t="str">
        <x:v>Rijswijkse Golfclub — Main Course</x:v>
      </x:c>
      <x:c r="C835" s="57" t="str">
        <x:v>Course identity/specification</x:v>
      </x:c>
      <x:c r="D835" s="57" t="str">
        <x:v>https://www.golf.nl/de-baan-op/banenzoeker/overzicht</x:v>
      </x:c>
      <x:c r="E835" s="57" t="str">
        <x:v>Current national federation course register</x:v>
      </x:c>
      <x:c r="F835" s="57" t="str">
        <x:v>2026-08-15</x:v>
      </x:c>
      <x:c r="G835" s="14" t="str">
        <x:v>Current NGF/GOLF.NL listing: 18 holes, par 71, 6002 metres. Combined from exact NGF-listed constituent nine-hole loops: 1ste negen (9 holes, par 35, 2867 m); 2de negen (9 holes, par 36, 3135 m) Listed as qualifying.</x:v>
      </x:c>
    </x:row>
    <x:row r="836">
      <x:c r="A836" s="56" t="str">
        <x:v>NL-0417</x:v>
      </x:c>
      <x:c r="B836" s="57" t="str">
        <x:v>Rijswijkse Golfclub — Main Course</x:v>
      </x:c>
      <x:c r="C836" s="57" t="str">
        <x:v>Coordinates/address</x:v>
      </x:c>
      <x:c r="D836" s="57" t="str">
        <x:v>https://api.pdok.nl/bzk/locatieserver/search/v3_1/free?q=Delftweg+59%2C+2289+AL+Rijswijk&amp;fq=type%3Aadres&amp;rows=10</x:v>
      </x:c>
      <x:c r="E836" s="57" t="str">
        <x:v>Dutch BAG address point via PDOK Locatieserver</x:v>
      </x:c>
      <x:c r="F836" s="57" t="str">
        <x:v>2026-08-15</x:v>
      </x:c>
      <x:c r="G836" s="14" t="str">
        <x:v>Exact postcode-matched address point: Delftweg 59, 2289AL Rijswijk.</x:v>
      </x:c>
    </x:row>
    <x:row r="837">
      <x:c r="A837" s="56" t="str">
        <x:v>NL-0418</x:v>
      </x:c>
      <x:c r="B837" s="57" t="str">
        <x:v>Wassenaarse Golf Groendael</x:v>
      </x:c>
      <x:c r="C837" s="57" t="str">
        <x:v>Course identity/specification</x:v>
      </x:c>
      <x:c r="D837" s="57" t="str">
        <x:v>https://www.golf.nl/de-baan-op/banenzoeker/overzicht</x:v>
      </x:c>
      <x:c r="E837" s="57" t="str">
        <x:v>Current national federation course register</x:v>
      </x:c>
      <x:c r="F837" s="57" t="str">
        <x:v>2026-08-15</x:v>
      </x:c>
      <x:c r="G837" s="14" t="str">
        <x:v>Current NGF/GOLF.NL listing: 9 holes, par 35, 2645 metres. Listed as qualifying.</x:v>
      </x:c>
    </x:row>
    <x:row r="838">
      <x:c r="A838" s="56" t="str">
        <x:v>NL-0418</x:v>
      </x:c>
      <x:c r="B838" s="57" t="str">
        <x:v>Wassenaarse Golf Groendael</x:v>
      </x:c>
      <x:c r="C838" s="57" t="str">
        <x:v>Coordinates/address</x:v>
      </x:c>
      <x:c r="D838" s="57" t="str">
        <x:v>https://api.pdok.nl/bzk/locatieserver/search/v3_1/free?q=Groenendaal+3%2C+2244+BK+Wassenaar&amp;fq=type%3Aadres&amp;rows=10</x:v>
      </x:c>
      <x:c r="E838" s="57" t="str">
        <x:v>Dutch BAG address point via PDOK Locatieserver</x:v>
      </x:c>
      <x:c r="F838" s="57" t="str">
        <x:v>2026-08-15</x:v>
      </x:c>
      <x:c r="G838" s="14" t="str">
        <x:v>Exact postcode-matched address point: Groenendaal 3, 2244BK Wassenaar.</x:v>
      </x:c>
    </x:row>
    <x:row r="839">
      <x:c r="A839" s="56" t="str">
        <x:v>NL-0419</x:v>
      </x:c>
      <x:c r="B839" s="57" t="str">
        <x:v>Wassenaarse Golfclub Rozenstein — Main Course</x:v>
      </x:c>
      <x:c r="C839" s="57" t="str">
        <x:v>Course identity/specification</x:v>
      </x:c>
      <x:c r="D839" s="57" t="str">
        <x:v>https://www.golf.nl/de-baan-op/banenzoeker/overzicht</x:v>
      </x:c>
      <x:c r="E839" s="57" t="str">
        <x:v>Current national federation course register</x:v>
      </x:c>
      <x:c r="F839" s="57" t="str">
        <x:v>2026-08-15</x:v>
      </x:c>
      <x:c r="G839" s="14" t="str">
        <x:v>Current NGF/GOLF.NL listing: 18 holes, par 71, 5566 metres. Combined from exact NGF-listed constituent nine-hole loops: 1ste negen (9 holes, par 36, 2938 m); 2de negen (9 holes, par 35, 2628 m) Listed as qualifying.</x:v>
      </x:c>
    </x:row>
    <x:row r="840">
      <x:c r="A840" s="58" t="str">
        <x:v>NL-0419</x:v>
      </x:c>
      <x:c r="B840" s="59" t="str">
        <x:v>Wassenaarse Golfclub Rozenstein — Main Course</x:v>
      </x:c>
      <x:c r="C840" s="59" t="str">
        <x:v>Coordinates/address</x:v>
      </x:c>
      <x:c r="D840" s="59" t="str">
        <x:v>https://api.pdok.nl/bzk/locatieserver/search/v3_1/free?q=Dr.+Mansveltkade+15%2C+2242+TZ+Wassenaar&amp;fq=type%3Aadres&amp;rows=10</x:v>
      </x:c>
      <x:c r="E840" s="59" t="str">
        <x:v>Dutch BAG address point via PDOK Locatieserver</x:v>
      </x:c>
      <x:c r="F840" s="59" t="str">
        <x:v>2026-08-15</x:v>
      </x:c>
      <x:c r="G840" s="16" t="str">
        <x:v>Exact postcode-matched address point: Dr. Mansveltkade 15, 2242TZ Wassenaar.</x:v>
      </x:c>
    </x:row>
  </x:sheetData>
  <x:mergeCells>
    <x:mergeCell ref="A1:G1"/>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40" hidden="0" customWidth="1"/>
    <x:col min="2" max="2" width="78" hidden="0" customWidth="1"/>
    <x:col min="3" max="3" width="90" hidden="0" customWidth="1"/>
  </x:cols>
  <x:sheetData>
    <x:row r="1">
      <x:c r="A1" s="4" t="str">
        <x:v>SOURCES AND ATTRIBUTION</x:v>
      </x:c>
      <x:c r="B1" s="4"/>
      <x:c r="C1" s="4"/>
    </x:row>
    <x:row r="2">
      <x:c r="A2" s="25" t="str">
        <x:v>Source group</x:v>
      </x:c>
      <x:c r="B2" s="26" t="str">
        <x:v>Use</x:v>
      </x:c>
      <x:c r="C2" s="27" t="str">
        <x:v>Policy / URL</x:v>
      </x:c>
    </x:row>
    <x:row r="3">
      <x:c r="A3" s="53" t="str">
        <x:v>GOLF.NL / Koninklijke Nederlandse Golf Federatie</x:v>
      </x:c>
      <x:c r="B3" s="54" t="str">
        <x:v>National inventory, playing status, layout type, holes, par, metric length, address, phone and linked facility website</x:v>
      </x:c>
      <x:c r="C3" s="55" t="str">
        <x:v>https://www.golf.nl/de-baan-op/banenzoeker/overzicht</x:v>
      </x:c>
    </x:row>
    <x:row r="4">
      <x:c r="A4" s="56" t="str">
        <x:v>PDOK Locatieserver / BAG</x:v>
      </x:c>
      <x:c r="B4" s="57" t="str">
        <x:v>Exact postcode-matched Dutch address points and municipality names</x:v>
      </x:c>
      <x:c r="C4" s="14" t="str">
        <x:v>Individual query URLs retained in Source_Records; https://www.pdok.nl/</x:v>
      </x:c>
    </x:row>
    <x:row r="5">
      <x:c r="A5" s="56" t="str">
        <x:v>Current official facility contact pages</x:v>
      </x:c>
      <x:c r="B5" s="57" t="str">
        <x:v>Resolution of six postcode typos in the national overview</x:v>
      </x:c>
      <x:c r="C5" s="14" t="str">
        <x:v>Individual official URLs retained in Source_Records and notes</x:v>
      </x:c>
    </x:row>
    <x:row r="6">
      <x:c r="A6" s="56" t="str">
        <x:v>Current exact course pages/scorecards</x:v>
      </x:c>
      <x:c r="B6" s="57" t="str">
        <x:v>Resolution of two implausible par values and Schinkelshoek omissions</x:v>
      </x:c>
      <x:c r="C6" s="14" t="str">
        <x:v>Individual URLs retained per affected record</x:v>
      </x:c>
    </x:row>
    <x:row r="7">
      <x:c r="A7" s="56" t="str">
        <x:v>Source precedence</x:v>
      </x:c>
      <x:c r="B7" s="57" t="str">
        <x:v>Current official/federation source first; exact scorecard second; BAG for geocoding</x:v>
      </x:c>
      <x:c r="C7" s="14" t="str">
        <x:v>2026-08-15</x:v>
      </x:c>
    </x:row>
    <x:row r="8">
      <x:c r="A8" s="56" t="str">
        <x:v>Uncertainty rule</x:v>
      </x:c>
      <x:c r="B8" s="57" t="str">
        <x:v>Unsupported values remain blank; no synthetic coordinates, par totals or course lengths were created</x:v>
      </x:c>
      <x:c r="C8" s="14" t="str">
        <x:v>2026-08-15</x:v>
      </x:c>
    </x:row>
    <x:row r="9">
      <x:c r="A9" s="56" t="str">
        <x:v>Coordinate policy</x:v>
      </x:c>
      <x:c r="B9" s="57" t="str">
        <x:v>Address points are used consistently for map markers; separate layouts at one facility share the verified facility point</x:v>
      </x:c>
      <x:c r="C9" s="14" t="str">
        <x:v>2026-08-15</x:v>
      </x:c>
    </x:row>
    <x:row r="10">
      <x:c r="A10" s="58" t="str">
        <x:v>Open data note</x:v>
      </x:c>
      <x:c r="B10" s="59" t="str">
        <x:v>BAG-derived points are obtained through the Dutch government PDOK Locatieserver</x:v>
      </x:c>
      <x:c r="C10" s="16" t="str">
        <x:v>https://www.pdok.nl/</x:v>
      </x:c>
    </x:row>
  </x:sheetData>
  <x:mergeCells>
    <x:mergeCell ref="A1:C1"/>
  </x:mergeCells>
  <x:pageMargins left="0.7" right="0.7" top="0.75" bottom="0.75" header="0.3" footer="0.3"/>
</x:worksheet>
</file>