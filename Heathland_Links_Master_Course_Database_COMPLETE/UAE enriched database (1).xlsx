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b1e184946e49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496361787b44e27"/>
    <x:sheet xmlns:r="http://schemas.openxmlformats.org/officeDocument/2006/relationships" name="Course_Master" sheetId="2" r:id="R675f897019ac49a7"/>
    <x:sheet xmlns:r="http://schemas.openxmlformats.org/officeDocument/2006/relationships" name="Developer_Import" sheetId="3" r:id="R2fa9b1b2ec724367"/>
    <x:sheet xmlns:r="http://schemas.openxmlformats.org/officeDocument/2006/relationships" name="Data_Dictionary" sheetId="4" r:id="R479a2216d9244870"/>
    <x:sheet xmlns:r="http://schemas.openxmlformats.org/officeDocument/2006/relationships" name="Coverage_QA" sheetId="5" r:id="Rd801ebaf7db44fbd"/>
    <x:sheet xmlns:r="http://schemas.openxmlformats.org/officeDocument/2006/relationships" name="Research_Status" sheetId="6" r:id="Rabf91e452c9d4f0d"/>
    <x:sheet xmlns:r="http://schemas.openxmlformats.org/officeDocument/2006/relationships" name="Reconciliation_Log" sheetId="7" r:id="R128c0c637423497e"/>
    <x:sheet xmlns:r="http://schemas.openxmlformats.org/officeDocument/2006/relationships" name="Source_Records" sheetId="8" r:id="R37ec1686bc2e45a2"/>
    <x:sheet xmlns:r="http://schemas.openxmlformats.org/officeDocument/2006/relationships" name="Sources_Attribution" sheetId="9" r:id="R9fa541a7445344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4C3C"/>
      <x:name val="Carlito"/>
    </x:font>
    <x:font>
      <x:b/>
      <x:sz val="11"/>
      <x:color rgb="FFFFFFFF"/>
      <x:name val="Carlito"/>
    </x:font>
    <x:font>
      <x:sz val="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4C3C"/>
      </x:patternFill>
    </x:fill>
    <x:fill>
      <x:patternFill patternType="solid">
        <x:fgColor rgb="FFD9EEF4"/>
      </x:patternFill>
    </x:fill>
    <x:fill>
      <x:patternFill patternType="solid">
        <x:fgColor rgb="FFF4F8F6"/>
      </x:patternFill>
    </x:fill>
    <x:fill>
      <x:patternFill patternType="solid">
        <x:fgColor rgb="FFFFF2CC"/>
      </x:patternFill>
    </x:fill>
  </x:fills>
  <x:borders count="16">
    <x:border/>
    <x:border>
      <x:right style="thin">
        <x:color rgb="FFD9E2DF"/>
      </x:right>
      <x:bottom style="thin">
        <x:color rgb="FFD9E2DF"/>
      </x:bottom>
    </x:border>
    <x:border>
      <x:left style="thin">
        <x:color rgb="FFD9E2DF"/>
      </x:left>
      <x:bottom style="thin">
        <x:color rgb="FFD9E2DF"/>
      </x:bottom>
    </x:border>
    <x:border>
      <x:right style="thin">
        <x:color rgb="FFD9E2DF"/>
      </x:right>
      <x:top style="thin">
        <x:color rgb="FFD9E2DF"/>
      </x:top>
      <x:bottom style="thin">
        <x:color rgb="FFD9E2DF"/>
      </x:bottom>
    </x:border>
    <x:border>
      <x:left style="thin">
        <x:color rgb="FFD9E2DF"/>
      </x:left>
      <x:top style="thin">
        <x:color rgb="FFD9E2DF"/>
      </x:top>
      <x:bottom style="thin">
        <x:color rgb="FFD9E2DF"/>
      </x:bottom>
    </x:border>
    <x:border>
      <x:right style="thin">
        <x:color rgb="FFD9E2DF"/>
      </x:right>
      <x:top style="thin">
        <x:color rgb="FFD9E2DF"/>
      </x:top>
    </x:border>
    <x:border>
      <x:left style="thin">
        <x:color rgb="FFD9E2DF"/>
      </x:left>
      <x:top style="thin">
        <x:color rgb="FFD9E2DF"/>
      </x:top>
    </x:border>
    <x:border>
      <x:left style="thin">
        <x:color rgb="FF174C3C"/>
      </x:left>
      <x:top style="thin">
        <x:color rgb="FF174C3C"/>
      </x:top>
      <x:bottom style="thin">
        <x:color rgb="FF174C3C"/>
      </x:bottom>
    </x:border>
    <x:border>
      <x:top style="thin">
        <x:color rgb="FF174C3C"/>
      </x:top>
      <x:bottom style="thin">
        <x:color rgb="FF174C3C"/>
      </x:bottom>
    </x:border>
    <x:border>
      <x:right style="thin">
        <x:color rgb="FF174C3C"/>
      </x:right>
      <x:top style="thin">
        <x:color rgb="FF174C3C"/>
      </x:top>
      <x:bottom style="thin">
        <x:color rgb="FF174C3C"/>
      </x:bottom>
    </x:border>
    <x:border>
      <x:left style="thin">
        <x:color rgb="FFD9E2DF"/>
      </x:left>
      <x:right style="thin">
        <x:color rgb="FFD9E2DF"/>
      </x:right>
      <x:bottom style="thin">
        <x:color rgb="FFD9E2DF"/>
      </x:bottom>
    </x:border>
    <x:border>
      <x:left style="thin">
        <x:color rgb="FFD9E2DF"/>
      </x:left>
      <x:right style="thin">
        <x:color rgb="FFD9E2DF"/>
      </x:right>
      <x:top style="thin">
        <x:color rgb="FFD9E2DF"/>
      </x:top>
      <x:bottom style="thin">
        <x:color rgb="FFD9E2DF"/>
      </x:bottom>
    </x:border>
    <x:border>
      <x:left style="thin">
        <x:color rgb="FFD9E2DF"/>
      </x:left>
      <x:right style="thin">
        <x:color rgb="FFD9E2DF"/>
      </x:right>
      <x:top style="thin">
        <x:color rgb="FFD9E2DF"/>
      </x:top>
    </x:border>
    <x:border>
      <x:left style="medium">
        <x:color rgb="FF174C3C"/>
      </x:left>
      <x:top style="medium">
        <x:color rgb="FF174C3C"/>
      </x:top>
      <x:bottom style="medium">
        <x:color rgb="FF174C3C"/>
      </x:bottom>
    </x:border>
    <x:border>
      <x:top style="medium">
        <x:color rgb="FF174C3C"/>
      </x:top>
      <x:bottom style="medium">
        <x:color rgb="FF174C3C"/>
      </x:bottom>
    </x:border>
    <x:border>
      <x:right style="medium">
        <x:color rgb="FF174C3C"/>
      </x:right>
      <x:top style="medium">
        <x:color rgb="FF174C3C"/>
      </x:top>
      <x:bottom style="medium">
        <x:color rgb="FF174C3C"/>
      </x:bottom>
    </x:border>
  </x:borders>
  <x:cellStyleXfs count="1">
    <x:xf numFmtId="0" fontId="0" fillId="0" borderId="0"/>
  </x:cellStyleXfs>
  <x:cellXfs count="10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/>
    <x:xf numFmtId="0" fontId="3" fillId="2" borderId="7" xfId="0" applyNumberFormat="1" applyFont="1" applyFill="1" applyBorder="1"/>
    <x:xf numFmtId="0" fontId="3" fillId="2" borderId="8" xfId="0" applyNumberFormat="1" applyFont="1" applyFill="1" applyBorder="1"/>
    <x:xf numFmtId="0" fontId="3" fillId="2" borderId="9" xfId="0" applyNumberFormat="1" applyFont="1" applyFill="1" applyBorder="1"/>
    <x:xf numFmtId="0" fontId="3" fillId="2" borderId="7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vertical="center" wrapText="1"/>
    </x:xf>
    <x:xf numFmtId="0" fontId="3" fillId="2" borderId="8" xfId="0" applyNumberFormat="1" applyFont="1" applyFill="1" applyBorder="1" applyAlignment="1">
      <x:alignment vertical="center" wrapText="1"/>
    </x:xf>
    <x:xf numFmtId="0" fontId="3" fillId="2" borderId="9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0" xfId="0" applyNumberFormat="1" applyFont="1" applyFill="1" applyBorder="1" applyAlignment="1">
      <x:alignment vertical="top"/>
    </x:xf>
    <x:xf numFmtId="201" fontId="4" fillId="0" borderId="0" xfId="0" applyNumberFormat="1" applyFont="1" applyFill="1" applyBorder="1" applyAlignment="1">
      <x:alignment vertical="top"/>
    </x:xf>
    <x:xf numFmtId="200" fontId="4" fillId="0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10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11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12" xfId="0" applyNumberFormat="1" applyFont="1" applyFill="1" applyBorder="1"/>
    <x:xf numFmtId="0" fontId="0" fillId="4" borderId="6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0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11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12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4" borderId="10" xfId="0" applyNumberFormat="1" applyFont="1" applyFill="1" applyBorder="1" applyAlignment="1">
      <x:alignment vertical="top" wrapText="1"/>
    </x:xf>
    <x:xf numFmtId="0" fontId="0" fillId="4" borderId="2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0" fontId="0" fillId="4" borderId="11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12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1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1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1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1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1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13" xfId="0" applyNumberFormat="1" applyFont="1" applyFill="1" applyBorder="1"/>
    <x:xf numFmtId="0" fontId="2" fillId="3" borderId="14" xfId="0" applyNumberFormat="1" applyFont="1" applyFill="1" applyBorder="1"/>
    <x:xf numFmtId="0" fontId="2" fillId="3" borderId="1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15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10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11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12" xfId="0" applyNumberFormat="1" applyFont="1" applyFill="1" applyBorder="1"/>
    <x:xf numFmtId="0" fontId="0" fillId="5" borderId="6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0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12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10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12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ad1a966acf488f" /><Relationship Type="http://schemas.openxmlformats.org/officeDocument/2006/relationships/theme" Target="/xl/theme/theme1.xml" Id="R110cb19f3c664805" /><Relationship Type="http://schemas.microsoft.com/office/2022/11/relationships/FeaturePropertyBag" Target="/xl/featurePropertyBag/featurePropertyBag.xml" Id="R51fbcdb49a8d4a99" /><Relationship Type="http://schemas.openxmlformats.org/officeDocument/2006/relationships/sharedStrings" Target="/xl/sharedStrings.xml" Id="R650ab0752e9849a8" /><Relationship Type="http://schemas.openxmlformats.org/officeDocument/2006/relationships/worksheet" Target="/xl/worksheets/sheet1.xml" Id="Re496361787b44e27" /><Relationship Type="http://schemas.openxmlformats.org/officeDocument/2006/relationships/worksheet" Target="/xl/worksheets/sheet2.xml" Id="R675f897019ac49a7" /><Relationship Type="http://schemas.openxmlformats.org/officeDocument/2006/relationships/worksheet" Target="/xl/worksheets/sheet3.xml" Id="R2fa9b1b2ec724367" /><Relationship Type="http://schemas.openxmlformats.org/officeDocument/2006/relationships/worksheet" Target="/xl/worksheets/sheet4.xml" Id="R479a2216d9244870" /><Relationship Type="http://schemas.openxmlformats.org/officeDocument/2006/relationships/worksheet" Target="/xl/worksheets/sheet5.xml" Id="Rd801ebaf7db44fbd" /><Relationship Type="http://schemas.openxmlformats.org/officeDocument/2006/relationships/worksheet" Target="/xl/worksheets/sheet6.xml" Id="Rabf91e452c9d4f0d" /><Relationship Type="http://schemas.openxmlformats.org/officeDocument/2006/relationships/worksheet" Target="/xl/worksheets/sheet7.xml" Id="R128c0c637423497e" /><Relationship Type="http://schemas.openxmlformats.org/officeDocument/2006/relationships/worksheet" Target="/xl/worksheets/sheet8.xml" Id="R37ec1686bc2e45a2" /><Relationship Type="http://schemas.openxmlformats.org/officeDocument/2006/relationships/worksheet" Target="/xl/worksheets/sheet9.xml" Id="R9fa541a74453443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UAECourseMaster" displayName="UAECourseMaster" ref="A1:AM34" headerRowCount="1" totalsRowCount="0" totalsRowShown="0">
  <x:tableColumns count="39">
    <x:tableColumn id="1" name="hl_club_id"/>
    <x:tableColumn id="2" name="hl_course_id"/>
    <x:tableColumn id="3" name="display_name"/>
    <x:tableColumn id="4" name="club_name"/>
    <x:tableColumn id="5" name="course_name"/>
    <x:tableColumn id="6" name="country"/>
    <x:tableColumn id="7" name="region"/>
    <x:tableColumn id="8" name="county"/>
    <x:tableColumn id="9" name="town_city"/>
    <x:tableColumn id="10" name="postal_code"/>
    <x:tableColumn id="11" name="latitude"/>
    <x:tableColumn id="12" name="longitude"/>
    <x:tableColumn id="13" name="coordinate_system"/>
    <x:tableColumn id="14" name="coordinate_source"/>
    <x:tableColumn id="15" name="coordinate_verified_at"/>
    <x:tableColumn id="16" name="length_yards"/>
    <x:tableColumn id="17" name="length_metres"/>
    <x:tableColumn id="18" name="holes"/>
    <x:tableColumn id="19" name="par"/>
    <x:tableColumn id="20" name="course_type"/>
    <x:tableColumn id="21" name="architect_original"/>
    <x:tableColumn id="22" name="architect_redesign"/>
    <x:tableColumn id="23" name="year_opened"/>
    <x:tableColumn id="24" name="official_website_url"/>
    <x:tableColumn id="25" name="map_ready"/>
    <x:tableColumn id="26" name="show_on_map"/>
    <x:tableColumn id="27" name="map_display_reason"/>
    <x:tableColumn id="28" name="course_status"/>
    <x:tableColumn id="29" name="access_type"/>
    <x:tableColumn id="30" name="is_claimed"/>
    <x:tableColumn id="31" name="ranking_source"/>
    <x:tableColumn id="32" name="ranking_year"/>
    <x:tableColumn id="33" name="ranking_position"/>
    <x:tableColumn id="34" name="major_collection"/>
    <x:tableColumn id="35" name="featured_partner"/>
    <x:tableColumn id="36" name="verification_status"/>
    <x:tableColumn id="37" name="verification_source_url"/>
    <x:tableColumn id="38" name="last_verified_at"/>
    <x:tableColumn id="3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AEDeveloperImport" displayName="UAEDeveloperImport" ref="A1:V34" headerRowCount="1" totalsRowCount="0" totalsRowShown="0">
  <x:tableColumns count="22">
    <x:tableColumn id="1" name="hl_course_id"/>
    <x:tableColumn id="2" name="display_name"/>
    <x:tableColumn id="3" name="club_name"/>
    <x:tableColumn id="4" name="course_name"/>
    <x:tableColumn id="5" name="country"/>
    <x:tableColumn id="6" name="region"/>
    <x:tableColumn id="7" name="county"/>
    <x:tableColumn id="8" name="town_city"/>
    <x:tableColumn id="9" name="postal_code"/>
    <x:tableColumn id="10" name="latitude"/>
    <x:tableColumn id="11" name="longitude"/>
    <x:tableColumn id="12" name="holes"/>
    <x:tableColumn id="13" name="par"/>
    <x:tableColumn id="14" name="length_yards"/>
    <x:tableColumn id="15" name="length_metres"/>
    <x:tableColumn id="16" name="course_type"/>
    <x:tableColumn id="17" name="access_type"/>
    <x:tableColumn id="18" name="course_status"/>
    <x:tableColumn id="19" name="official_website_url"/>
    <x:tableColumn id="20" name="map_ready"/>
    <x:tableColumn id="21" name="show_on_map"/>
    <x:tableColumn id="22" name="verification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80b656168124f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0d087d8992d4f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00" hidden="0" customWidth="1"/>
  </x:cols>
  <x:sheetData>
    <x:row r="1" ht="42" customHeight="1">
      <x:c r="A1" s="11" t="str">
        <x:v>HEATHLAND LINKS — UNITED ARAB EMIRATES MASTER COURSE DATABASE — ENRICHED / MAP-READY / QC</x:v>
      </x:c>
      <x:c r="B1" s="12"/>
    </x:row>
    <x:row r="2" ht="34" customHeight="1">
      <x:c r="A2" s="13" t="str">
        <x:v>Scope</x:v>
      </x:c>
      <x:c r="B2" s="14" t="str">
        <x:v>National inventory of current physical, playable outdoor golf layouts in the United Arab Emirates. One row per distinct named layout; multi-course facilities share a club ID and have unique course IDs.</x:v>
      </x:c>
    </x:row>
    <x:row r="3" ht="34" customHeight="1">
      <x:c r="A3" s="13" t="str">
        <x:v>Active layouts</x:v>
      </x:c>
      <x:c r="B3" s="14" t="n">
        <x:v>33</x:v>
      </x:c>
    </x:row>
    <x:row r="4" ht="34" customHeight="1">
      <x:c r="A4" s="13" t="str">
        <x:v>Facilities</x:v>
      </x:c>
      <x:c r="B4" s="14" t="n">
        <x:v>22</x:v>
      </x:c>
    </x:row>
    <x:row r="5" ht="34" customHeight="1">
      <x:c r="A5" s="13" t="str">
        <x:v>Emirates represented</x:v>
      </x:c>
      <x:c r="B5" s="14" t="str">
        <x:v>Abu Dhabi, Ajman, Dubai, Sharjah and Ras Al Khaimah. No qualifying active outdoor layouts were verified in Fujairah or Umm Al Quwain.</x:v>
      </x:c>
    </x:row>
    <x:row r="6" ht="34" customHeight="1">
      <x:c r="A6" s="13" t="str">
        <x:v>Map-ready</x:v>
      </x:c>
      <x:c r="B6" s="14" t="str">
        <x:v>33 records have a WGS84 point. One point (Al Dhannah) is transparently identified as a verified course parking/access point because no authoritative course centroid was available; all others use named golf-course or facility features.</x:v>
      </x:c>
    </x:row>
    <x:row r="7" ht="34" customHeight="1">
      <x:c r="A7" s="13" t="str">
        <x:v>Specifications</x:v>
      </x:c>
      <x:c r="B7" s="14" t="str">
        <x:v>Hole count and par are populated for every retained layout; course length is populated only when a reliable exact total was found.</x:v>
      </x:c>
    </x:row>
    <x:row r="8" ht="34" customHeight="1">
      <x:c r="A8" s="13" t="str">
        <x:v>Postal codes</x:v>
      </x:c>
      <x:c r="B8" s="14" t="str">
        <x:v>Left blank. The UAE does not use a conventional nationwide street postal-code system; PO Box numbers were not placed in this field.</x:v>
      </x:c>
    </x:row>
    <x:row r="9" ht="34" customHeight="1">
      <x:c r="A9" s="13" t="str">
        <x:v>Length policy</x:v>
      </x:c>
      <x:c r="B9" s="14" t="str">
        <x:v>Longest clearly published course/tee total is stored in yards. Metres are formula-derived using 1 yard = 0.9144 metres.</x:v>
      </x:c>
    </x:row>
    <x:row r="10" ht="34" customHeight="1">
      <x:c r="A10" s="13" t="str">
        <x:v>Map policy</x:v>
      </x:c>
      <x:c r="B10" s="14" t="str">
        <x:v>map_ready requires an identity, an in-country coordinate pair and a non-closed status. Missing par/length does not itself prevent display.</x:v>
      </x:c>
    </x:row>
    <x:row r="11" ht="34" customHeight="1">
      <x:c r="A11" s="13" t="str">
        <x:v>Exclusions</x:v>
      </x:c>
      <x:c r="B11" s="14" t="str">
        <x:v>Closed courses, indoor/simulator venues, driving ranges, training-only facilities, social clubs, and never-opened proposals are excluded from Course_Master and documented in Reconciliation_Log.</x:v>
      </x:c>
    </x:row>
    <x:row r="12" ht="34" customHeight="1">
      <x:c r="A12" s="13" t="str">
        <x:v>Verification policy</x:v>
      </x:c>
      <x:c r="B12" s="14" t="str">
        <x:v>No uncertain value was invented. Conflicting or unsupported values were left blank or explained in notes.</x:v>
      </x:c>
    </x:row>
    <x:row r="13" ht="34" customHeight="1">
      <x:c r="A13" s="13" t="str">
        <x:v>Evidence</x:v>
      </x:c>
      <x:c r="B13" s="14" t="str">
        <x:v>Every course has specification and coordinate evidence in Source_Records. Sources_Attribution describes the source hierarchy.</x:v>
      </x:c>
    </x:row>
    <x:row r="14" ht="34" customHeight="1">
      <x:c r="A14" s="15" t="str">
        <x:v>QA / verification date</x:v>
      </x:c>
      <x:c r="B14" s="16" t="str">
        <x:v>2026-08-15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3" max="13" width="16" hidden="0" customWidth="1"/>
    <x:col min="15" max="15" width="16" hidden="0" customWidth="1"/>
    <x:col min="18" max="18" width="16" hidden="0" customWidth="1"/>
    <x:col min="19" max="19" width="16" hidden="0" customWidth="1"/>
    <x:col min="23" max="23" width="16" hidden="0" customWidth="1"/>
    <x:col min="28" max="28" width="16" hidden="0" customWidth="1"/>
    <x:col min="29" max="29" width="16" hidden="0" customWidth="1"/>
    <x:col min="30" max="30" width="16" hidden="0" customWidth="1"/>
    <x:col min="32" max="32" width="16" hidden="0" customWidth="1"/>
    <x:col min="33" max="33" width="16" hidden="0" customWidth="1"/>
    <x:col min="36" max="36" width="16" hidden="0" customWidth="1"/>
    <x:col min="38" max="38" width="16" hidden="0" customWidth="1"/>
    <x:col min="3" max="3" width="31" hidden="0" customWidth="1"/>
    <x:col min="4" max="4" width="31" hidden="0" customWidth="1"/>
    <x:col min="5" max="5" width="31" hidden="0" customWidth="1"/>
    <x:col min="20" max="20" width="31" hidden="0" customWidth="1"/>
    <x:col min="21" max="21" width="31" hidden="0" customWidth="1"/>
    <x:col min="22" max="22" width="31" hidden="0" customWidth="1"/>
    <x:col min="24" max="24" width="31" hidden="0" customWidth="1"/>
    <x:col min="27" max="27" width="31" hidden="0" customWidth="1"/>
    <x:col min="31" max="31" width="31" hidden="0" customWidth="1"/>
    <x:col min="35" max="35" width="31" hidden="0" customWidth="1"/>
    <x:col min="37" max="37" width="31" hidden="0" customWidth="1"/>
    <x:col min="39" max="39" width="58" hidden="0" customWidth="1"/>
  </x:cols>
  <x:sheetData>
    <x:row r="1">
      <x:c r="A1" s="25" t="str">
        <x:v>hl_club_id</x:v>
      </x:c>
      <x:c r="B1" s="26" t="str">
        <x:v>hl_course_id</x:v>
      </x:c>
      <x:c r="C1" s="26" t="str">
        <x:v>display_name</x:v>
      </x:c>
      <x:c r="D1" s="26" t="str">
        <x:v>club_name</x:v>
      </x:c>
      <x:c r="E1" s="26" t="str">
        <x:v>course_name</x:v>
      </x:c>
      <x:c r="F1" s="26" t="str">
        <x:v>country</x:v>
      </x:c>
      <x:c r="G1" s="26" t="str">
        <x:v>region</x:v>
      </x:c>
      <x:c r="H1" s="26" t="str">
        <x:v>county</x:v>
      </x:c>
      <x:c r="I1" s="26" t="str">
        <x:v>town_city</x:v>
      </x:c>
      <x:c r="J1" s="26" t="str">
        <x:v>postal_code</x:v>
      </x:c>
      <x:c r="K1" s="26" t="str">
        <x:v>latitude</x:v>
      </x:c>
      <x:c r="L1" s="26" t="str">
        <x:v>longitude</x:v>
      </x:c>
      <x:c r="M1" s="26" t="str">
        <x:v>coordinate_system</x:v>
      </x:c>
      <x:c r="N1" s="26" t="str">
        <x:v>coordinate_source</x:v>
      </x:c>
      <x:c r="O1" s="26" t="str">
        <x:v>coordinate_verified_at</x:v>
      </x:c>
      <x:c r="P1" s="26" t="str">
        <x:v>length_yards</x:v>
      </x:c>
      <x:c r="Q1" s="26" t="str">
        <x:v>length_metres</x:v>
      </x:c>
      <x:c r="R1" s="26" t="str">
        <x:v>holes</x:v>
      </x:c>
      <x:c r="S1" s="26" t="str">
        <x:v>par</x:v>
      </x:c>
      <x:c r="T1" s="26" t="str">
        <x:v>course_type</x:v>
      </x:c>
      <x:c r="U1" s="26" t="str">
        <x:v>architect_original</x:v>
      </x:c>
      <x:c r="V1" s="26" t="str">
        <x:v>architect_redesign</x:v>
      </x:c>
      <x:c r="W1" s="26" t="str">
        <x:v>year_opened</x:v>
      </x:c>
      <x:c r="X1" s="26" t="str">
        <x:v>official_website_url</x:v>
      </x:c>
      <x:c r="Y1" s="26" t="str">
        <x:v>map_ready</x:v>
      </x:c>
      <x:c r="Z1" s="26" t="str">
        <x:v>show_on_map</x:v>
      </x:c>
      <x:c r="AA1" s="26" t="str">
        <x:v>map_display_reason</x:v>
      </x:c>
      <x:c r="AB1" s="26" t="str">
        <x:v>course_status</x:v>
      </x:c>
      <x:c r="AC1" s="26" t="str">
        <x:v>access_type</x:v>
      </x:c>
      <x:c r="AD1" s="26" t="str">
        <x:v>is_claimed</x:v>
      </x:c>
      <x:c r="AE1" s="26" t="str">
        <x:v>ranking_source</x:v>
      </x:c>
      <x:c r="AF1" s="26" t="str">
        <x:v>ranking_year</x:v>
      </x:c>
      <x:c r="AG1" s="26" t="str">
        <x:v>ranking_position</x:v>
      </x:c>
      <x:c r="AH1" s="26" t="str">
        <x:v>major_collection</x:v>
      </x:c>
      <x:c r="AI1" s="26" t="str">
        <x:v>featured_partner</x:v>
      </x:c>
      <x:c r="AJ1" s="26" t="str">
        <x:v>verification_status</x:v>
      </x:c>
      <x:c r="AK1" s="26" t="str">
        <x:v>verification_source_url</x:v>
      </x:c>
      <x:c r="AL1" s="26" t="str">
        <x:v>last_verified_at</x:v>
      </x:c>
      <x:c r="AM1" s="27" t="str">
        <x:v>notes</x:v>
      </x:c>
    </x:row>
    <x:row r="2">
      <x:c r="A2" s="30" t="str">
        <x:v>AE-C0001</x:v>
      </x:c>
      <x:c r="B2" s="30" t="str">
        <x:v>AE-0001</x:v>
      </x:c>
      <x:c r="C2" s="30" t="str">
        <x:v>Abu Dhabi Golf Club — National Course</x:v>
      </x:c>
      <x:c r="D2" s="30" t="str">
        <x:v>Abu Dhabi Golf Club</x:v>
      </x:c>
      <x:c r="E2" s="30" t="str">
        <x:v>National Course</x:v>
      </x:c>
      <x:c r="F2" s="30" t="str">
        <x:v>United Arab Emirates</x:v>
      </x:c>
      <x:c r="G2" s="30" t="str">
        <x:v>Abu Dhabi</x:v>
      </x:c>
      <x:c r="H2" s="30" t="str">
        <x:v>Khalifa City</x:v>
      </x:c>
      <x:c r="I2" s="30" t="str">
        <x:v>Abu Dhabi</x:v>
      </x:c>
      <x:c r="J2" s="30"/>
      <x:c r="K2" s="32" t="n">
        <x:v>24.420424</x:v>
      </x:c>
      <x:c r="L2" s="32" t="n">
        <x:v>54.526922</x:v>
      </x:c>
      <x:c r="M2" s="30" t="str">
        <x:v>WGS84 / EPSG:4326</x:v>
      </x:c>
      <x:c r="N2" s="30" t="str">
        <x:v>Verified golf course/facility feature</x:v>
      </x:c>
      <x:c r="O2" s="30" t="str">
        <x:v>2026-08-15</x:v>
      </x:c>
      <x:c r="P2" s="33" t="n">
        <x:v>7600</x:v>
      </x:c>
      <x:c r="Q2" s="33" t="n">
        <x:f>IF(P2="","",ROUND(P2*0.9144,0))</x:f>
        <x:v>6949</x:v>
      </x:c>
      <x:c r="R2" s="33" t="n">
        <x:v>18</x:v>
      </x:c>
      <x:c r="S2" s="33" t="n">
        <x:v>72</x:v>
      </x:c>
      <x:c r="T2" s="30" t="str">
        <x:v>Parkland</x:v>
      </x:c>
      <x:c r="U2" s="30" t="str">
        <x:v>Peter Harradine</x:v>
      </x:c>
      <x:c r="V2" s="30"/>
      <x:c r="W2" s="30" t="n">
        <x:v>2000</x:v>
      </x:c>
      <x:c r="X2" s="30" t="str">
        <x:v>https://www.abudhabigolfclub.abudhabi/</x:v>
      </x:c>
      <x:c r="Y2" s="30" t="b">
        <x:f>IF(AND(C2&lt;&gt;"",ISNUMBER(K2),ISNUMBER(L2),K2&gt;=22.5,K2&lt;=26.5,L2&gt;=51,L2&lt;=56.5,AB2&lt;&gt;"Closed"),TRUE,FALSE)</x:f>
        <x:v>1</x:v>
      </x:c>
      <x:c r="Z2" s="30" t="b">
        <x:f>Y2</x:f>
        <x:v>1</x:v>
      </x:c>
      <x:c r="AA2" s="30" t="str">
        <x:f>IF(Y2,"verified_coordinate_and_open",IF(AB2="Closed","closed",IF(OR(K2="",L2=""),"missing_coordinates","coordinate_or_identity_check")))</x:f>
        <x:v>verified_coordinate_and_open</x:v>
      </x:c>
      <x:c r="AB2" s="30" t="str">
        <x:v>Open</x:v>
      </x:c>
      <x:c r="AC2" s="30" t="str">
        <x:v>Public / visitor booking</x:v>
      </x:c>
      <x:c r="AD2" s="31" t="b">
        <x:v>0</x:v>
      </x:c>
      <x:c r="AE2" s="30"/>
      <x:c r="AF2" s="30"/>
      <x:c r="AG2" s="30"/>
      <x:c r="AH2" s="31" t="b">
        <x:v>0</x:v>
      </x:c>
      <x:c r="AI2" s="31" t="b">
        <x:v>0</x:v>
      </x:c>
      <x:c r="AJ2" s="30" t="str">
        <x:v>Verified — official/current exact source</x:v>
      </x:c>
      <x:c r="AK2" s="30" t="str">
        <x:v>https://www.abudhabigolfclub.abudhabi/golf/the-national-course/</x:v>
      </x:c>
      <x:c r="AL2" s="30" t="str">
        <x:v>2026-08-15</x:v>
      </x:c>
      <x:c r="AM2" s="30" t="str">
        <x:v>Current official club course specification; longest published tee.</x:v>
      </x:c>
    </x:row>
    <x:row r="3">
      <x:c r="A3" s="30" t="str">
        <x:v>AE-C0001</x:v>
      </x:c>
      <x:c r="B3" s="30" t="str">
        <x:v>AE-0002</x:v>
      </x:c>
      <x:c r="C3" s="30" t="str">
        <x:v>Abu Dhabi Golf Club — Garden Course</x:v>
      </x:c>
      <x:c r="D3" s="30" t="str">
        <x:v>Abu Dhabi Golf Club</x:v>
      </x:c>
      <x:c r="E3" s="30" t="str">
        <x:v>Garden Course</x:v>
      </x:c>
      <x:c r="F3" s="30" t="str">
        <x:v>United Arab Emirates</x:v>
      </x:c>
      <x:c r="G3" s="30" t="str">
        <x:v>Abu Dhabi</x:v>
      </x:c>
      <x:c r="H3" s="30" t="str">
        <x:v>Khalifa City</x:v>
      </x:c>
      <x:c r="I3" s="30" t="str">
        <x:v>Abu Dhabi</x:v>
      </x:c>
      <x:c r="J3" s="30"/>
      <x:c r="K3" s="32" t="n">
        <x:v>24.420424</x:v>
      </x:c>
      <x:c r="L3" s="32" t="n">
        <x:v>54.526922</x:v>
      </x:c>
      <x:c r="M3" s="30" t="str">
        <x:v>WGS84 / EPSG:4326</x:v>
      </x:c>
      <x:c r="N3" s="30" t="str">
        <x:v>Verified golf course/facility feature</x:v>
      </x:c>
      <x:c r="O3" s="30" t="str">
        <x:v>2026-08-15</x:v>
      </x:c>
      <x:c r="P3" s="33" t="n">
        <x:v>3341</x:v>
      </x:c>
      <x:c r="Q3" s="33" t="n">
        <x:f>IF(P3="","",ROUND(P3*0.9144,0))</x:f>
        <x:v>3055</x:v>
      </x:c>
      <x:c r="R3" s="33" t="n">
        <x:v>9</x:v>
      </x:c>
      <x:c r="S3" s="33" t="n">
        <x:v>36</x:v>
      </x:c>
      <x:c r="T3" s="30" t="str">
        <x:v>Parkland / floodlit</x:v>
      </x:c>
      <x:c r="U3" s="30" t="str">
        <x:v>Peter Harradine</x:v>
      </x:c>
      <x:c r="V3" s="30"/>
      <x:c r="W3" s="30" t="n">
        <x:v>2000</x:v>
      </x:c>
      <x:c r="X3" s="30" t="str">
        <x:v>https://www.abudhabigolfclub.abudhabi/</x:v>
      </x:c>
      <x:c r="Y3" s="30" t="b">
        <x:f>IF(AND(C3&lt;&gt;"",ISNUMBER(K3),ISNUMBER(L3),K3&gt;=22.5,K3&lt;=26.5,L3&gt;=51,L3&lt;=56.5,AB3&lt;&gt;"Closed"),TRUE,FALSE)</x:f>
        <x:v>1</x:v>
      </x:c>
      <x:c r="Z3" s="30" t="b">
        <x:f>Y3</x:f>
        <x:v>1</x:v>
      </x:c>
      <x:c r="AA3" s="30" t="str">
        <x:f>IF(Y3,"verified_coordinate_and_open",IF(AB3="Closed","closed",IF(OR(K3="",L3=""),"missing_coordinates","coordinate_or_identity_check")))</x:f>
        <x:v>verified_coordinate_and_open</x:v>
      </x:c>
      <x:c r="AB3" s="30" t="str">
        <x:v>Open</x:v>
      </x:c>
      <x:c r="AC3" s="30" t="str">
        <x:v>Public / visitor booking</x:v>
      </x:c>
      <x:c r="AD3" s="31" t="b">
        <x:v>0</x:v>
      </x:c>
      <x:c r="AE3" s="30"/>
      <x:c r="AF3" s="30"/>
      <x:c r="AG3" s="30"/>
      <x:c r="AH3" s="31" t="b">
        <x:v>0</x:v>
      </x:c>
      <x:c r="AI3" s="31" t="b">
        <x:v>0</x:v>
      </x:c>
      <x:c r="AJ3" s="30" t="str">
        <x:v>Verified — official/current exact source</x:v>
      </x:c>
      <x:c r="AK3" s="30" t="str">
        <x:v>https://gulfnews.com/sport/golf-in-uae/local/where-to-play-golf-in-the-uae-your-ultimate-golf-course-guide-1.1692349350727</x:v>
      </x:c>
      <x:c r="AL3" s="30" t="str">
        <x:v>2026-08-15</x:v>
      </x:c>
      <x:c r="AM3" s="30" t="str">
        <x:v>Current playable nine-hole layout. The official club site currently foregrounds the National Course; independent current booking/directory evidence confirms the Garden Course.</x:v>
      </x:c>
    </x:row>
    <x:row r="4">
      <x:c r="A4" s="30" t="str">
        <x:v>AE-C0002</x:v>
      </x:c>
      <x:c r="B4" s="30" t="str">
        <x:v>AE-0003</x:v>
      </x:c>
      <x:c r="C4" s="30" t="str">
        <x:v>Abu Dhabi City Golf Club</x:v>
      </x:c>
      <x:c r="D4" s="30" t="str">
        <x:v>Abu Dhabi City Golf Club</x:v>
      </x:c>
      <x:c r="E4" s="30" t="str">
        <x:v>City Course</x:v>
      </x:c>
      <x:c r="F4" s="30" t="str">
        <x:v>United Arab Emirates</x:v>
      </x:c>
      <x:c r="G4" s="30" t="str">
        <x:v>Abu Dhabi</x:v>
      </x:c>
      <x:c r="H4" s="30" t="str">
        <x:v>Al Mushrif</x:v>
      </x:c>
      <x:c r="I4" s="30" t="str">
        <x:v>Abu Dhabi</x:v>
      </x:c>
      <x:c r="J4" s="30"/>
      <x:c r="K4" s="32" t="n">
        <x:v>24.4432779</x:v>
      </x:c>
      <x:c r="L4" s="32" t="n">
        <x:v>54.3819826</x:v>
      </x:c>
      <x:c r="M4" s="30" t="str">
        <x:v>WGS84 / EPSG:4326</x:v>
      </x:c>
      <x:c r="N4" s="30" t="str">
        <x:v>Verified golf course/facility feature</x:v>
      </x:c>
      <x:c r="O4" s="30" t="str">
        <x:v>2026-08-15</x:v>
      </x:c>
      <x:c r="P4" s="33" t="n">
        <x:v>3199</x:v>
      </x:c>
      <x:c r="Q4" s="33" t="n">
        <x:f>IF(P4="","",ROUND(P4*0.9144,0))</x:f>
        <x:v>2925</x:v>
      </x:c>
      <x:c r="R4" s="33" t="n">
        <x:v>9</x:v>
      </x:c>
      <x:c r="S4" s="33" t="n">
        <x:v>35</x:v>
      </x:c>
      <x:c r="T4" s="30" t="str">
        <x:v>Parkland / floodlit</x:v>
      </x:c>
      <x:c r="U4" s="30" t="str">
        <x:v>Ian Scott Taylor</x:v>
      </x:c>
      <x:c r="V4" s="30"/>
      <x:c r="W4" s="30" t="n">
        <x:v>1998</x:v>
      </x:c>
      <x:c r="X4" s="30" t="str">
        <x:v>https://adcitygolf.com/</x:v>
      </x:c>
      <x:c r="Y4" s="30" t="b">
        <x:f>IF(AND(C4&lt;&gt;"",ISNUMBER(K4),ISNUMBER(L4),K4&gt;=22.5,K4&lt;=26.5,L4&gt;=51,L4&lt;=56.5,AB4&lt;&gt;"Closed"),TRUE,FALSE)</x:f>
        <x:v>1</x:v>
      </x:c>
      <x:c r="Z4" s="30" t="b">
        <x:f>Y4</x:f>
        <x:v>1</x:v>
      </x:c>
      <x:c r="AA4" s="30" t="str">
        <x:f>IF(Y4,"verified_coordinate_and_open",IF(AB4="Closed","closed",IF(OR(K4="",L4=""),"missing_coordinates","coordinate_or_identity_check")))</x:f>
        <x:v>verified_coordinate_and_open</x:v>
      </x:c>
      <x:c r="AB4" s="30" t="str">
        <x:v>Open</x:v>
      </x:c>
      <x:c r="AC4" s="30" t="str">
        <x:v>Public / visitor booking</x:v>
      </x:c>
      <x:c r="AD4" s="31" t="b">
        <x:v>0</x:v>
      </x:c>
      <x:c r="AE4" s="30"/>
      <x:c r="AF4" s="30"/>
      <x:c r="AG4" s="30"/>
      <x:c r="AH4" s="31" t="b">
        <x:v>0</x:v>
      </x:c>
      <x:c r="AI4" s="31" t="b">
        <x:v>0</x:v>
      </x:c>
      <x:c r="AJ4" s="30" t="str">
        <x:v>Verified — official/current exact source</x:v>
      </x:c>
      <x:c r="AK4" s="30" t="str">
        <x:v>https://golfscape.com/abu-dhabi-golf-courses/abu-dhabi-city-golf-club</x:v>
      </x:c>
      <x:c r="AL4" s="30" t="str">
        <x:v>2026-08-15</x:v>
      </x:c>
      <x:c r="AM4" s="30" t="str">
        <x:v>Physical nine-hole layout. Original sand facility dates to 1976; the grass course opened in 1998.</x:v>
      </x:c>
    </x:row>
    <x:row r="5">
      <x:c r="A5" s="30" t="str">
        <x:v>AE-C0003</x:v>
      </x:c>
      <x:c r="B5" s="30" t="str">
        <x:v>AE-0004</x:v>
      </x:c>
      <x:c r="C5" s="30" t="str">
        <x:v>Al Ain Equestrian, Shooting &amp; Golf Club — Championship Course</x:v>
      </x:c>
      <x:c r="D5" s="30" t="str">
        <x:v>Al Ain Equestrian, Shooting &amp; Golf Club</x:v>
      </x:c>
      <x:c r="E5" s="30" t="str">
        <x:v>Championship Course</x:v>
      </x:c>
      <x:c r="F5" s="30" t="str">
        <x:v>United Arab Emirates</x:v>
      </x:c>
      <x:c r="G5" s="30" t="str">
        <x:v>Abu Dhabi</x:v>
      </x:c>
      <x:c r="H5" s="30" t="str">
        <x:v>Al Maqam</x:v>
      </x:c>
      <x:c r="I5" s="30" t="str">
        <x:v>Al Ain</x:v>
      </x:c>
      <x:c r="J5" s="30"/>
      <x:c r="K5" s="32" t="n">
        <x:v>24.18142</x:v>
      </x:c>
      <x:c r="L5" s="32" t="n">
        <x:v>55.65449</x:v>
      </x:c>
      <x:c r="M5" s="30" t="str">
        <x:v>WGS84 / EPSG:4326</x:v>
      </x:c>
      <x:c r="N5" s="30" t="str">
        <x:v>Verified golf course/facility feature</x:v>
      </x:c>
      <x:c r="O5" s="30" t="str">
        <x:v>2026-08-15</x:v>
      </x:c>
      <x:c r="P5" s="33" t="n">
        <x:v>6764</x:v>
      </x:c>
      <x:c r="Q5" s="33" t="n">
        <x:f>IF(P5="","",ROUND(P5*0.9144,0))</x:f>
        <x:v>6185</x:v>
      </x:c>
      <x:c r="R5" s="33" t="n">
        <x:v>18</x:v>
      </x:c>
      <x:c r="S5" s="33" t="n">
        <x:v>70</x:v>
      </x:c>
      <x:c r="T5" s="30" t="str">
        <x:v>Desert parkland</x:v>
      </x:c>
      <x:c r="U5" s="30" t="str">
        <x:v>Peter Harradine</x:v>
      </x:c>
      <x:c r="V5" s="30" t="str">
        <x:v>Peter Forrester</x:v>
      </x:c>
      <x:c r="W5" s="30" t="n">
        <x:v>2007</x:v>
      </x:c>
      <x:c r="X5" s="30" t="str">
        <x:v>https://www.aesgc.ae/</x:v>
      </x:c>
      <x:c r="Y5" s="30" t="b">
        <x:f>IF(AND(C5&lt;&gt;"",ISNUMBER(K5),ISNUMBER(L5),K5&gt;=22.5,K5&lt;=26.5,L5&gt;=51,L5&lt;=56.5,AB5&lt;&gt;"Closed"),TRUE,FALSE)</x:f>
        <x:v>1</x:v>
      </x:c>
      <x:c r="Z5" s="30" t="b">
        <x:f>Y5</x:f>
        <x:v>1</x:v>
      </x:c>
      <x:c r="AA5" s="30" t="str">
        <x:f>IF(Y5,"verified_coordinate_and_open",IF(AB5="Closed","closed",IF(OR(K5="",L5=""),"missing_coordinates","coordinate_or_identity_check")))</x:f>
        <x:v>verified_coordinate_and_open</x:v>
      </x:c>
      <x:c r="AB5" s="30" t="str">
        <x:v>Open</x:v>
      </x:c>
      <x:c r="AC5" s="30" t="str">
        <x:v>Public / visitor booking</x:v>
      </x:c>
      <x:c r="AD5" s="31" t="b">
        <x:v>0</x:v>
      </x:c>
      <x:c r="AE5" s="30"/>
      <x:c r="AF5" s="30"/>
      <x:c r="AG5" s="30"/>
      <x:c r="AH5" s="31" t="b">
        <x:v>0</x:v>
      </x:c>
      <x:c r="AI5" s="31" t="b">
        <x:v>0</x:v>
      </x:c>
      <x:c r="AJ5" s="30" t="str">
        <x:v>Verified — official/current exact source</x:v>
      </x:c>
      <x:c r="AK5" s="30" t="str">
        <x:v>https://www.1golf.eu/en/club/al-ain-equestrian-shooting-golf-club/</x:v>
      </x:c>
      <x:c r="AL5" s="30" t="str">
        <x:v>2026-08-15</x:v>
      </x:c>
      <x:c r="AM5" s="30" t="str">
        <x:v>Current scorecard used. Some promotional sources describe a par-71/72 configuration; the cited current scorecard totals par 70.</x:v>
      </x:c>
    </x:row>
    <x:row r="6">
      <x:c r="A6" s="30" t="str">
        <x:v>AE-C0003</x:v>
      </x:c>
      <x:c r="B6" s="30" t="str">
        <x:v>AE-0005</x:v>
      </x:c>
      <x:c r="C6" s="30" t="str">
        <x:v>Al Ain Equestrian, Shooting &amp; Golf Club — Academy Course</x:v>
      </x:c>
      <x:c r="D6" s="30" t="str">
        <x:v>Al Ain Equestrian, Shooting &amp; Golf Club</x:v>
      </x:c>
      <x:c r="E6" s="30" t="str">
        <x:v>Academy Course</x:v>
      </x:c>
      <x:c r="F6" s="30" t="str">
        <x:v>United Arab Emirates</x:v>
      </x:c>
      <x:c r="G6" s="30" t="str">
        <x:v>Abu Dhabi</x:v>
      </x:c>
      <x:c r="H6" s="30" t="str">
        <x:v>Al Maqam</x:v>
      </x:c>
      <x:c r="I6" s="30" t="str">
        <x:v>Al Ain</x:v>
      </x:c>
      <x:c r="J6" s="30"/>
      <x:c r="K6" s="32" t="n">
        <x:v>24.18142</x:v>
      </x:c>
      <x:c r="L6" s="32" t="n">
        <x:v>55.65449</x:v>
      </x:c>
      <x:c r="M6" s="30" t="str">
        <x:v>WGS84 / EPSG:4326</x:v>
      </x:c>
      <x:c r="N6" s="30" t="str">
        <x:v>Verified golf course/facility feature</x:v>
      </x:c>
      <x:c r="O6" s="30" t="str">
        <x:v>2026-08-15</x:v>
      </x:c>
      <x:c r="P6" s="33"/>
      <x:c r="Q6" s="33" t="str">
        <x:f>IF(P6="","",ROUND(P6*0.9144,0))</x:f>
      </x:c>
      <x:c r="R6" s="33" t="n">
        <x:v>9</x:v>
      </x:c>
      <x:c r="S6" s="33" t="n">
        <x:v>27</x:v>
      </x:c>
      <x:c r="T6" s="30" t="str">
        <x:v>Par-3 / floodlit</x:v>
      </x:c>
      <x:c r="U6" s="30"/>
      <x:c r="V6" s="30"/>
      <x:c r="W6" s="30"/>
      <x:c r="X6" s="30" t="str">
        <x:v>https://www.aesgc.ae/</x:v>
      </x:c>
      <x:c r="Y6" s="30" t="b">
        <x:f>IF(AND(C6&lt;&gt;"",ISNUMBER(K6),ISNUMBER(L6),K6&gt;=22.5,K6&lt;=26.5,L6&gt;=51,L6&lt;=56.5,AB6&lt;&gt;"Closed"),TRUE,FALSE)</x:f>
        <x:v>1</x:v>
      </x:c>
      <x:c r="Z6" s="30" t="b">
        <x:f>Y6</x:f>
        <x:v>1</x:v>
      </x:c>
      <x:c r="AA6" s="30" t="str">
        <x:f>IF(Y6,"verified_coordinate_and_open",IF(AB6="Closed","closed",IF(OR(K6="",L6=""),"missing_coordinates","coordinate_or_identity_check")))</x:f>
        <x:v>verified_coordinate_and_open</x:v>
      </x:c>
      <x:c r="AB6" s="30" t="str">
        <x:v>Open</x:v>
      </x:c>
      <x:c r="AC6" s="30" t="str">
        <x:v>Public / visitor booking</x:v>
      </x:c>
      <x:c r="AD6" s="31" t="b">
        <x:v>0</x:v>
      </x:c>
      <x:c r="AE6" s="30"/>
      <x:c r="AF6" s="30"/>
      <x:c r="AG6" s="30"/>
      <x:c r="AH6" s="31" t="b">
        <x:v>0</x:v>
      </x:c>
      <x:c r="AI6" s="31" t="b">
        <x:v>0</x:v>
      </x:c>
      <x:c r="AJ6" s="30" t="str">
        <x:v>Verified — official/current exact source</x:v>
      </x:c>
      <x:c r="AK6" s="30" t="str">
        <x:v>https://adsc.gov.ae/clubs-and-federations/al-ain-equestrian-shooting-golf-club/</x:v>
      </x:c>
      <x:c r="AL6" s="30" t="str">
        <x:v>2026-08-15</x:v>
      </x:c>
      <x:c r="AM6" s="30" t="str">
        <x:v>Official Abu Dhabi Sports Council listing confirms a separate nine-hole academy course; no certain total yardage located.</x:v>
      </x:c>
    </x:row>
    <x:row r="7">
      <x:c r="A7" s="30" t="str">
        <x:v>AE-C0004</x:v>
      </x:c>
      <x:c r="B7" s="30" t="str">
        <x:v>AE-0006</x:v>
      </x:c>
      <x:c r="C7" s="30" t="str">
        <x:v>Al Ghazal Golf Club</x:v>
      </x:c>
      <x:c r="D7" s="30" t="str">
        <x:v>Al Ghazal Golf Club</x:v>
      </x:c>
      <x:c r="E7" s="30" t="str">
        <x:v>Al Ghazal Course</x:v>
      </x:c>
      <x:c r="F7" s="30" t="str">
        <x:v>United Arab Emirates</x:v>
      </x:c>
      <x:c r="G7" s="30" t="str">
        <x:v>Abu Dhabi</x:v>
      </x:c>
      <x:c r="H7" s="30" t="str">
        <x:v>Zayed International Airport</x:v>
      </x:c>
      <x:c r="I7" s="30" t="str">
        <x:v>Abu Dhabi</x:v>
      </x:c>
      <x:c r="J7" s="30"/>
      <x:c r="K7" s="32" t="n">
        <x:v>24.419184</x:v>
      </x:c>
      <x:c r="L7" s="32" t="n">
        <x:v>54.645234</x:v>
      </x:c>
      <x:c r="M7" s="30" t="str">
        <x:v>WGS84 / EPSG:4326</x:v>
      </x:c>
      <x:c r="N7" s="30" t="str">
        <x:v>Verified golf course/facility feature</x:v>
      </x:c>
      <x:c r="O7" s="30" t="str">
        <x:v>2026-08-15</x:v>
      </x:c>
      <x:c r="P7" s="33" t="n">
        <x:v>6711</x:v>
      </x:c>
      <x:c r="Q7" s="33" t="n">
        <x:f>IF(P7="","",ROUND(P7*0.9144,0))</x:f>
        <x:v>6137</x:v>
      </x:c>
      <x:c r="R7" s="33" t="n">
        <x:v>18</x:v>
      </x:c>
      <x:c r="S7" s="33" t="n">
        <x:v>71</x:v>
      </x:c>
      <x:c r="T7" s="30" t="str">
        <x:v>Sand course</x:v>
      </x:c>
      <x:c r="U7" s="30"/>
      <x:c r="V7" s="30"/>
      <x:c r="W7" s="30" t="n">
        <x:v>1997</x:v>
      </x:c>
      <x:c r="X7" s="30" t="str">
        <x:v>https://alghazalgolfclub.ae/</x:v>
      </x:c>
      <x:c r="Y7" s="30" t="b">
        <x:f>IF(AND(C7&lt;&gt;"",ISNUMBER(K7),ISNUMBER(L7),K7&gt;=22.5,K7&lt;=26.5,L7&gt;=51,L7&lt;=56.5,AB7&lt;&gt;"Closed"),TRUE,FALSE)</x:f>
        <x:v>1</x:v>
      </x:c>
      <x:c r="Z7" s="30" t="b">
        <x:f>Y7</x:f>
        <x:v>1</x:v>
      </x:c>
      <x:c r="AA7" s="30" t="str">
        <x:f>IF(Y7,"verified_coordinate_and_open",IF(AB7="Closed","closed",IF(OR(K7="",L7=""),"missing_coordinates","coordinate_or_identity_check")))</x:f>
        <x:v>verified_coordinate_and_open</x:v>
      </x:c>
      <x:c r="AB7" s="30" t="str">
        <x:v>Open</x:v>
      </x:c>
      <x:c r="AC7" s="30" t="str">
        <x:v>Public / visitor booking</x:v>
      </x:c>
      <x:c r="AD7" s="31" t="b">
        <x:v>0</x:v>
      </x:c>
      <x:c r="AE7" s="30"/>
      <x:c r="AF7" s="30"/>
      <x:c r="AG7" s="30"/>
      <x:c r="AH7" s="31" t="b">
        <x:v>0</x:v>
      </x:c>
      <x:c r="AI7" s="31" t="b">
        <x:v>0</x:v>
      </x:c>
      <x:c r="AJ7" s="30" t="str">
        <x:v>Verified — official/current exact source</x:v>
      </x:c>
      <x:c r="AK7" s="30" t="str">
        <x:v>https://alghazalgolfclub.ae/</x:v>
      </x:c>
      <x:c r="AL7" s="30" t="str">
        <x:v>2026-08-15</x:v>
      </x:c>
      <x:c r="AM7" s="30" t="str">
        <x:v>Official club specification; sand fairways and compacted-sand 'browns'.</x:v>
      </x:c>
    </x:row>
    <x:row r="8">
      <x:c r="A8" s="30" t="str">
        <x:v>AE-C0005</x:v>
      </x:c>
      <x:c r="B8" s="30" t="str">
        <x:v>AE-0007</x:v>
      </x:c>
      <x:c r="C8" s="30" t="str">
        <x:v>Al Dhannah Golf Club</x:v>
      </x:c>
      <x:c r="D8" s="30" t="str">
        <x:v>Al Dhannah Golf Club</x:v>
      </x:c>
      <x:c r="E8" s="30" t="str">
        <x:v>Al Dhannah Course</x:v>
      </x:c>
      <x:c r="F8" s="30" t="str">
        <x:v>United Arab Emirates</x:v>
      </x:c>
      <x:c r="G8" s="30" t="str">
        <x:v>Abu Dhabi</x:v>
      </x:c>
      <x:c r="H8" s="30" t="str">
        <x:v>Al Dhafra Region</x:v>
      </x:c>
      <x:c r="I8" s="30" t="str">
        <x:v>Al Dhannah</x:v>
      </x:c>
      <x:c r="J8" s="30"/>
      <x:c r="K8" s="32" t="n">
        <x:v>24.076031</x:v>
      </x:c>
      <x:c r="L8" s="32" t="n">
        <x:v>52.640045</x:v>
      </x:c>
      <x:c r="M8" s="30" t="str">
        <x:v>WGS84 / EPSG:4326</x:v>
      </x:c>
      <x:c r="N8" s="30" t="str">
        <x:v>Verified course parking/access point</x:v>
      </x:c>
      <x:c r="O8" s="30" t="str">
        <x:v>2026-08-15</x:v>
      </x:c>
      <x:c r="P8" s="33" t="n">
        <x:v>3454</x:v>
      </x:c>
      <x:c r="Q8" s="33" t="n">
        <x:f>IF(P8="","",ROUND(P8*0.9144,0))</x:f>
        <x:v>3158</x:v>
      </x:c>
      <x:c r="R8" s="33" t="n">
        <x:v>9</x:v>
      </x:c>
      <x:c r="S8" s="33" t="n">
        <x:v>36</x:v>
      </x:c>
      <x:c r="T8" s="30" t="str">
        <x:v>Parkland / floodlit</x:v>
      </x:c>
      <x:c r="U8" s="30" t="str">
        <x:v>Jon Hunt (International Design Group)</x:v>
      </x:c>
      <x:c r="V8" s="30"/>
      <x:c r="W8" s="30" t="n">
        <x:v>2021</x:v>
      </x:c>
      <x:c r="X8" s="30" t="str">
        <x:v>https://aldhannahgolfclub.ae/</x:v>
      </x:c>
      <x:c r="Y8" s="30" t="b">
        <x:f>IF(AND(C8&lt;&gt;"",ISNUMBER(K8),ISNUMBER(L8),K8&gt;=22.5,K8&lt;=26.5,L8&gt;=51,L8&lt;=56.5,AB8&lt;&gt;"Closed"),TRUE,FALSE)</x:f>
        <x:v>1</x:v>
      </x:c>
      <x:c r="Z8" s="30" t="b">
        <x:f>Y8</x:f>
        <x:v>1</x:v>
      </x:c>
      <x:c r="AA8" s="30" t="str">
        <x:f>IF(Y8,"verified_coordinate_and_open",IF(AB8="Closed","closed",IF(OR(K8="",L8=""),"missing_coordinates","coordinate_or_identity_check")))</x:f>
        <x:v>verified_coordinate_and_open</x:v>
      </x:c>
      <x:c r="AB8" s="30" t="str">
        <x:v>Open</x:v>
      </x:c>
      <x:c r="AC8" s="30" t="str">
        <x:v>Public / visitor booking</x:v>
      </x:c>
      <x:c r="AD8" s="31" t="b">
        <x:v>0</x:v>
      </x:c>
      <x:c r="AE8" s="30"/>
      <x:c r="AF8" s="30"/>
      <x:c r="AG8" s="30"/>
      <x:c r="AH8" s="31" t="b">
        <x:v>0</x:v>
      </x:c>
      <x:c r="AI8" s="31" t="b">
        <x:v>0</x:v>
      </x:c>
      <x:c r="AJ8" s="30" t="str">
        <x:v>Verified specs; course access-point coordinate</x:v>
      </x:c>
      <x:c r="AK8" s="30" t="str">
        <x:v>https://aldhannahgolfclub.ae/course-details/</x:v>
      </x:c>
      <x:c r="AL8" s="30" t="str">
        <x:v>2026-08-15</x:v>
      </x:c>
      <x:c r="AM8" s="30" t="str">
        <x:v>Official club confirms holes, par, architect and November 2021 opening; published inauguration report confirms 3,454 yards. Coordinates use the named Golf Course Parking/access point mapped at the course; no unsupported course centroid was invented.</x:v>
      </x:c>
    </x:row>
    <x:row r="9">
      <x:c r="A9" s="30" t="str">
        <x:v>AE-C0006</x:v>
      </x:c>
      <x:c r="B9" s="30" t="str">
        <x:v>AE-0008</x:v>
      </x:c>
      <x:c r="C9" s="30" t="str">
        <x:v>Saadiyat Beach Golf Club</x:v>
      </x:c>
      <x:c r="D9" s="30" t="str">
        <x:v>Saadiyat Beach Golf Club</x:v>
      </x:c>
      <x:c r="E9" s="30" t="str">
        <x:v>Saadiyat Beach Course</x:v>
      </x:c>
      <x:c r="F9" s="30" t="str">
        <x:v>United Arab Emirates</x:v>
      </x:c>
      <x:c r="G9" s="30" t="str">
        <x:v>Abu Dhabi</x:v>
      </x:c>
      <x:c r="H9" s="30" t="str">
        <x:v>Saadiyat Island</x:v>
      </x:c>
      <x:c r="I9" s="30" t="str">
        <x:v>Abu Dhabi</x:v>
      </x:c>
      <x:c r="J9" s="30"/>
      <x:c r="K9" s="32" t="n">
        <x:v>24.539531</x:v>
      </x:c>
      <x:c r="L9" s="32" t="n">
        <x:v>54.435517</x:v>
      </x:c>
      <x:c r="M9" s="30" t="str">
        <x:v>WGS84 / EPSG:4326</x:v>
      </x:c>
      <x:c r="N9" s="30" t="str">
        <x:v>Verified golf course/facility feature</x:v>
      </x:c>
      <x:c r="O9" s="30" t="str">
        <x:v>2026-08-15</x:v>
      </x:c>
      <x:c r="P9" s="33" t="n">
        <x:v>7806</x:v>
      </x:c>
      <x:c r="Q9" s="33" t="n">
        <x:f>IF(P9="","",ROUND(P9*0.9144,0))</x:f>
        <x:v>7138</x:v>
      </x:c>
      <x:c r="R9" s="33" t="n">
        <x:v>18</x:v>
      </x:c>
      <x:c r="S9" s="33" t="n">
        <x:v>72</x:v>
      </x:c>
      <x:c r="T9" s="30" t="str">
        <x:v>Coastal parkland</x:v>
      </x:c>
      <x:c r="U9" s="30" t="str">
        <x:v>Gary Player</x:v>
      </x:c>
      <x:c r="V9" s="30" t="str">
        <x:v>Nicklaus Design and Gary Player Design</x:v>
      </x:c>
      <x:c r="W9" s="30" t="n">
        <x:v>2010</x:v>
      </x:c>
      <x:c r="X9" s="30" t="str">
        <x:v>https://www.viyagolf.com/saadiyat/</x:v>
      </x:c>
      <x:c r="Y9" s="30" t="b">
        <x:f>IF(AND(C9&lt;&gt;"",ISNUMBER(K9),ISNUMBER(L9),K9&gt;=22.5,K9&lt;=26.5,L9&gt;=51,L9&lt;=56.5,AB9&lt;&gt;"Closed"),TRUE,FALSE)</x:f>
        <x:v>1</x:v>
      </x:c>
      <x:c r="Z9" s="30" t="b">
        <x:f>Y9</x:f>
        <x:v>1</x:v>
      </x:c>
      <x:c r="AA9" s="30" t="str">
        <x:f>IF(Y9,"verified_coordinate_and_open",IF(AB9="Closed","closed",IF(OR(K9="",L9=""),"missing_coordinates","coordinate_or_identity_check")))</x:f>
        <x:v>verified_coordinate_and_open</x:v>
      </x:c>
      <x:c r="AB9" s="30" t="str">
        <x:v>Open</x:v>
      </x:c>
      <x:c r="AC9" s="30" t="str">
        <x:v>Public / visitor booking</x:v>
      </x:c>
      <x:c r="AD9" s="31" t="b">
        <x:v>0</x:v>
      </x:c>
      <x:c r="AE9" s="30"/>
      <x:c r="AF9" s="30"/>
      <x:c r="AG9" s="30"/>
      <x:c r="AH9" s="31" t="b">
        <x:v>0</x:v>
      </x:c>
      <x:c r="AI9" s="31" t="b">
        <x:v>0</x:v>
      </x:c>
      <x:c r="AJ9" s="30" t="str">
        <x:v>Verified — official/current exact source</x:v>
      </x:c>
      <x:c r="AK9" s="30" t="str">
        <x:v>https://www.where2golf.com/uae/saadiyat-beach-golf-club/</x:v>
      </x:c>
      <x:c r="AL9" s="30" t="str">
        <x:v>2026-08-15</x:v>
      </x:c>
      <x:c r="AM9" s="30" t="str">
        <x:v>Back-tee specification from current course directory; redesign attribution recorded only where publicly confirmed.</x:v>
      </x:c>
    </x:row>
    <x:row r="10">
      <x:c r="A10" s="30" t="str">
        <x:v>AE-C0007</x:v>
      </x:c>
      <x:c r="B10" s="30" t="str">
        <x:v>AE-0009</x:v>
      </x:c>
      <x:c r="C10" s="30" t="str">
        <x:v>Yas Links Abu Dhabi — Yas Links Course</x:v>
      </x:c>
      <x:c r="D10" s="30" t="str">
        <x:v>Yas Links Abu Dhabi</x:v>
      </x:c>
      <x:c r="E10" s="30" t="str">
        <x:v>Yas Links Course</x:v>
      </x:c>
      <x:c r="F10" s="30" t="str">
        <x:v>United Arab Emirates</x:v>
      </x:c>
      <x:c r="G10" s="30" t="str">
        <x:v>Abu Dhabi</x:v>
      </x:c>
      <x:c r="H10" s="30" t="str">
        <x:v>Yas Island</x:v>
      </x:c>
      <x:c r="I10" s="30" t="str">
        <x:v>Abu Dhabi</x:v>
      </x:c>
      <x:c r="J10" s="30"/>
      <x:c r="K10" s="32" t="n">
        <x:v>24.478468</x:v>
      </x:c>
      <x:c r="L10" s="32" t="n">
        <x:v>54.600602</x:v>
      </x:c>
      <x:c r="M10" s="30" t="str">
        <x:v>WGS84 / EPSG:4326</x:v>
      </x:c>
      <x:c r="N10" s="30" t="str">
        <x:v>Verified golf course/facility feature</x:v>
      </x:c>
      <x:c r="O10" s="30" t="str">
        <x:v>2026-08-15</x:v>
      </x:c>
      <x:c r="P10" s="33" t="n">
        <x:v>7461</x:v>
      </x:c>
      <x:c r="Q10" s="33" t="n">
        <x:f>IF(P10="","",ROUND(P10*0.9144,0))</x:f>
        <x:v>6822</x:v>
      </x:c>
      <x:c r="R10" s="33" t="n">
        <x:v>18</x:v>
      </x:c>
      <x:c r="S10" s="33" t="n">
        <x:v>72</x:v>
      </x:c>
      <x:c r="T10" s="30" t="str">
        <x:v>Links-style</x:v>
      </x:c>
      <x:c r="U10" s="30" t="str">
        <x:v>Kyle Phillips</x:v>
      </x:c>
      <x:c r="V10" s="30"/>
      <x:c r="W10" s="30" t="n">
        <x:v>2010</x:v>
      </x:c>
      <x:c r="X10" s="30" t="str">
        <x:v>https://www.viyagolf.com/yaslinks/</x:v>
      </x:c>
      <x:c r="Y10" s="30" t="b">
        <x:f>IF(AND(C10&lt;&gt;"",ISNUMBER(K10),ISNUMBER(L10),K10&gt;=22.5,K10&lt;=26.5,L10&gt;=51,L10&lt;=56.5,AB10&lt;&gt;"Closed"),TRUE,FALSE)</x:f>
        <x:v>1</x:v>
      </x:c>
      <x:c r="Z10" s="30" t="b">
        <x:f>Y10</x:f>
        <x:v>1</x:v>
      </x:c>
      <x:c r="AA10" s="30" t="str">
        <x:f>IF(Y10,"verified_coordinate_and_open",IF(AB10="Closed","closed",IF(OR(K10="",L10=""),"missing_coordinates","coordinate_or_identity_check")))</x:f>
        <x:v>verified_coordinate_and_open</x:v>
      </x:c>
      <x:c r="AB10" s="30" t="str">
        <x:v>Open</x:v>
      </x:c>
      <x:c r="AC10" s="30" t="str">
        <x:v>Public / visitor booking</x:v>
      </x:c>
      <x:c r="AD10" s="31" t="b">
        <x:v>0</x:v>
      </x:c>
      <x:c r="AE10" s="30"/>
      <x:c r="AF10" s="30"/>
      <x:c r="AG10" s="30"/>
      <x:c r="AH10" s="31" t="b">
        <x:v>0</x:v>
      </x:c>
      <x:c r="AI10" s="31" t="b">
        <x:v>0</x:v>
      </x:c>
      <x:c r="AJ10" s="30" t="str">
        <x:v>Verified — official/current exact source</x:v>
      </x:c>
      <x:c r="AK10" s="30" t="str">
        <x:v>https://www.viyagolf.com/yaslinks/golf/courses/</x:v>
      </x:c>
      <x:c r="AL10" s="30" t="str">
        <x:v>2026-08-15</x:v>
      </x:c>
      <x:c r="AM10" s="30" t="str">
        <x:v>Current official Viya specification.</x:v>
      </x:c>
    </x:row>
    <x:row r="11">
      <x:c r="A11" s="30" t="str">
        <x:v>AE-C0007</x:v>
      </x:c>
      <x:c r="B11" s="30" t="str">
        <x:v>AE-0010</x:v>
      </x:c>
      <x:c r="C11" s="30" t="str">
        <x:v>Yas Links Abu Dhabi — Par 3 Academy Course</x:v>
      </x:c>
      <x:c r="D11" s="30" t="str">
        <x:v>Yas Links Abu Dhabi</x:v>
      </x:c>
      <x:c r="E11" s="30" t="str">
        <x:v>Par 3 Academy Course</x:v>
      </x:c>
      <x:c r="F11" s="30" t="str">
        <x:v>United Arab Emirates</x:v>
      </x:c>
      <x:c r="G11" s="30" t="str">
        <x:v>Abu Dhabi</x:v>
      </x:c>
      <x:c r="H11" s="30" t="str">
        <x:v>Yas Island</x:v>
      </x:c>
      <x:c r="I11" s="30" t="str">
        <x:v>Abu Dhabi</x:v>
      </x:c>
      <x:c r="J11" s="30"/>
      <x:c r="K11" s="32" t="n">
        <x:v>24.478468</x:v>
      </x:c>
      <x:c r="L11" s="32" t="n">
        <x:v>54.600602</x:v>
      </x:c>
      <x:c r="M11" s="30" t="str">
        <x:v>WGS84 / EPSG:4326</x:v>
      </x:c>
      <x:c r="N11" s="30" t="str">
        <x:v>Verified golf course/facility feature</x:v>
      </x:c>
      <x:c r="O11" s="30" t="str">
        <x:v>2026-08-15</x:v>
      </x:c>
      <x:c r="P11" s="33" t="n">
        <x:v>1239</x:v>
      </x:c>
      <x:c r="Q11" s="33" t="n">
        <x:f>IF(P11="","",ROUND(P11*0.9144,0))</x:f>
        <x:v>1133</x:v>
      </x:c>
      <x:c r="R11" s="33" t="n">
        <x:v>9</x:v>
      </x:c>
      <x:c r="S11" s="33" t="n">
        <x:v>27</x:v>
      </x:c>
      <x:c r="T11" s="30" t="str">
        <x:v>Par-3 / floodlit</x:v>
      </x:c>
      <x:c r="U11" s="30" t="str">
        <x:v>Kyle Phillips</x:v>
      </x:c>
      <x:c r="V11" s="30"/>
      <x:c r="W11" s="30" t="n">
        <x:v>2010</x:v>
      </x:c>
      <x:c r="X11" s="30" t="str">
        <x:v>https://www.viyagolf.com/yaslinks/</x:v>
      </x:c>
      <x:c r="Y11" s="30" t="b">
        <x:f>IF(AND(C11&lt;&gt;"",ISNUMBER(K11),ISNUMBER(L11),K11&gt;=22.5,K11&lt;=26.5,L11&gt;=51,L11&lt;=56.5,AB11&lt;&gt;"Closed"),TRUE,FALSE)</x:f>
        <x:v>1</x:v>
      </x:c>
      <x:c r="Z11" s="30" t="b">
        <x:f>Y11</x:f>
        <x:v>1</x:v>
      </x:c>
      <x:c r="AA11" s="30" t="str">
        <x:f>IF(Y11,"verified_coordinate_and_open",IF(AB11="Closed","closed",IF(OR(K11="",L11=""),"missing_coordinates","coordinate_or_identity_check")))</x:f>
        <x:v>verified_coordinate_and_open</x:v>
      </x:c>
      <x:c r="AB11" s="30" t="str">
        <x:v>Open</x:v>
      </x:c>
      <x:c r="AC11" s="30" t="str">
        <x:v>Public / visitor booking</x:v>
      </x:c>
      <x:c r="AD11" s="31" t="b">
        <x:v>0</x:v>
      </x:c>
      <x:c r="AE11" s="30"/>
      <x:c r="AF11" s="30"/>
      <x:c r="AG11" s="30"/>
      <x:c r="AH11" s="31" t="b">
        <x:v>0</x:v>
      </x:c>
      <x:c r="AI11" s="31" t="b">
        <x:v>0</x:v>
      </x:c>
      <x:c r="AJ11" s="30" t="str">
        <x:v>Verified — official/current exact source</x:v>
      </x:c>
      <x:c r="AK11" s="30" t="str">
        <x:v>https://www.viyagolf.com/yaslinks/par-3-course/</x:v>
      </x:c>
      <x:c r="AL11" s="30" t="str">
        <x:v>2026-08-15</x:v>
      </x:c>
      <x:c r="AM11" s="30" t="str">
        <x:v>Separate bookable academy layout; official Viya specification.</x:v>
      </x:c>
    </x:row>
    <x:row r="12">
      <x:c r="A12" s="30" t="str">
        <x:v>AE-C0008</x:v>
      </x:c>
      <x:c r="B12" s="30" t="str">
        <x:v>AE-0011</x:v>
      </x:c>
      <x:c r="C12" s="30" t="str">
        <x:v>Yas Acres Golf &amp; Country Club</x:v>
      </x:c>
      <x:c r="D12" s="30" t="str">
        <x:v>Yas Acres Golf &amp; Country Club</x:v>
      </x:c>
      <x:c r="E12" s="30" t="str">
        <x:v>Yas Acres Golf Course</x:v>
      </x:c>
      <x:c r="F12" s="30" t="str">
        <x:v>United Arab Emirates</x:v>
      </x:c>
      <x:c r="G12" s="30" t="str">
        <x:v>Abu Dhabi</x:v>
      </x:c>
      <x:c r="H12" s="30" t="str">
        <x:v>Yas Island</x:v>
      </x:c>
      <x:c r="I12" s="30" t="str">
        <x:v>Abu Dhabi</x:v>
      </x:c>
      <x:c r="J12" s="30"/>
      <x:c r="K12" s="32" t="n">
        <x:v>24.496823</x:v>
      </x:c>
      <x:c r="L12" s="32" t="n">
        <x:v>54.613534</x:v>
      </x:c>
      <x:c r="M12" s="30" t="str">
        <x:v>WGS84 / EPSG:4326</x:v>
      </x:c>
      <x:c r="N12" s="30" t="str">
        <x:v>Verified named golf club feature</x:v>
      </x:c>
      <x:c r="O12" s="30" t="str">
        <x:v>2026-08-15</x:v>
      </x:c>
      <x:c r="P12" s="33" t="n">
        <x:v>3700</x:v>
      </x:c>
      <x:c r="Q12" s="33" t="n">
        <x:f>IF(P12="","",ROUND(P12*0.9144,0))</x:f>
        <x:v>3383</x:v>
      </x:c>
      <x:c r="R12" s="33" t="n">
        <x:v>9</x:v>
      </x:c>
      <x:c r="S12" s="33" t="n">
        <x:v>36</x:v>
      </x:c>
      <x:c r="T12" s="30" t="str">
        <x:v>Parkland / floodlit</x:v>
      </x:c>
      <x:c r="U12" s="30" t="str">
        <x:v>Fry/Straka</x:v>
      </x:c>
      <x:c r="V12" s="30"/>
      <x:c r="W12" s="30" t="n">
        <x:v>2021</x:v>
      </x:c>
      <x:c r="X12" s="30" t="str">
        <x:v>https://www.viyagolf.com/yasacres/</x:v>
      </x:c>
      <x:c r="Y12" s="30" t="b">
        <x:f>IF(AND(C12&lt;&gt;"",ISNUMBER(K12),ISNUMBER(L12),K12&gt;=22.5,K12&lt;=26.5,L12&gt;=51,L12&lt;=56.5,AB12&lt;&gt;"Closed"),TRUE,FALSE)</x:f>
        <x:v>1</x:v>
      </x:c>
      <x:c r="Z12" s="30" t="b">
        <x:f>Y12</x:f>
        <x:v>1</x:v>
      </x:c>
      <x:c r="AA12" s="30" t="str">
        <x:f>IF(Y12,"verified_coordinate_and_open",IF(AB12="Closed","closed",IF(OR(K12="",L12=""),"missing_coordinates","coordinate_or_identity_check")))</x:f>
        <x:v>verified_coordinate_and_open</x:v>
      </x:c>
      <x:c r="AB12" s="30" t="str">
        <x:v>Open</x:v>
      </x:c>
      <x:c r="AC12" s="30" t="str">
        <x:v>Public / visitor booking</x:v>
      </x:c>
      <x:c r="AD12" s="31" t="b">
        <x:v>0</x:v>
      </x:c>
      <x:c r="AE12" s="30"/>
      <x:c r="AF12" s="30"/>
      <x:c r="AG12" s="30"/>
      <x:c r="AH12" s="31" t="b">
        <x:v>0</x:v>
      </x:c>
      <x:c r="AI12" s="31" t="b">
        <x:v>0</x:v>
      </x:c>
      <x:c r="AJ12" s="30" t="str">
        <x:v>Verified — official/current exact source</x:v>
      </x:c>
      <x:c r="AK12" s="30" t="str">
        <x:v>https://www.viyagolf.com/yasacres/about-us/</x:v>
      </x:c>
      <x:c r="AL12" s="30" t="str">
        <x:v>2026-08-15</x:v>
      </x:c>
      <x:c r="AM12" s="30" t="str">
        <x:v>Current official Viya specification. Coordinates use the exact named Yas Acres Golf &amp; Country Club listing.</x:v>
      </x:c>
    </x:row>
    <x:row r="13">
      <x:c r="A13" s="30" t="str">
        <x:v>AE-C0009</x:v>
      </x:c>
      <x:c r="B13" s="30" t="str">
        <x:v>AE-0012</x:v>
      </x:c>
      <x:c r="C13" s="30" t="str">
        <x:v>Al Zorah Golf &amp; Yacht Club</x:v>
      </x:c>
      <x:c r="D13" s="30" t="str">
        <x:v>Al Zorah Golf &amp; Yacht Club</x:v>
      </x:c>
      <x:c r="E13" s="30" t="str">
        <x:v>Al Zorah Course</x:v>
      </x:c>
      <x:c r="F13" s="30" t="str">
        <x:v>United Arab Emirates</x:v>
      </x:c>
      <x:c r="G13" s="30" t="str">
        <x:v>Ajman</x:v>
      </x:c>
      <x:c r="H13" s="30" t="str">
        <x:v>Al Zorah</x:v>
      </x:c>
      <x:c r="I13" s="30" t="str">
        <x:v>Ajman</x:v>
      </x:c>
      <x:c r="J13" s="30"/>
      <x:c r="K13" s="32" t="n">
        <x:v>25.428113</x:v>
      </x:c>
      <x:c r="L13" s="32" t="n">
        <x:v>55.497047</x:v>
      </x:c>
      <x:c r="M13" s="30" t="str">
        <x:v>WGS84 / EPSG:4326</x:v>
      </x:c>
      <x:c r="N13" s="30" t="str">
        <x:v>Verified golf course/facility feature</x:v>
      </x:c>
      <x:c r="O13" s="30" t="str">
        <x:v>2026-08-15</x:v>
      </x:c>
      <x:c r="P13" s="33" t="n">
        <x:v>7169</x:v>
      </x:c>
      <x:c r="Q13" s="33" t="n">
        <x:f>IF(P13="","",ROUND(P13*0.9144,0))</x:f>
        <x:v>6555</x:v>
      </x:c>
      <x:c r="R13" s="33" t="n">
        <x:v>18</x:v>
      </x:c>
      <x:c r="S13" s="33" t="n">
        <x:v>72</x:v>
      </x:c>
      <x:c r="T13" s="30" t="str">
        <x:v>Coastal parkland</x:v>
      </x:c>
      <x:c r="U13" s="30" t="str">
        <x:v>Nicklaus Design</x:v>
      </x:c>
      <x:c r="V13" s="30"/>
      <x:c r="W13" s="30" t="n">
        <x:v>2015</x:v>
      </x:c>
      <x:c r="X13" s="30" t="str">
        <x:v>https://www.alzorahgolfclub.ae/</x:v>
      </x:c>
      <x:c r="Y13" s="30" t="b">
        <x:f>IF(AND(C13&lt;&gt;"",ISNUMBER(K13),ISNUMBER(L13),K13&gt;=22.5,K13&lt;=26.5,L13&gt;=51,L13&lt;=56.5,AB13&lt;&gt;"Closed"),TRUE,FALSE)</x:f>
        <x:v>1</x:v>
      </x:c>
      <x:c r="Z13" s="30" t="b">
        <x:f>Y13</x:f>
        <x:v>1</x:v>
      </x:c>
      <x:c r="AA13" s="30" t="str">
        <x:f>IF(Y13,"verified_coordinate_and_open",IF(AB13="Closed","closed",IF(OR(K13="",L13=""),"missing_coordinates","coordinate_or_identity_check")))</x:f>
        <x:v>verified_coordinate_and_open</x:v>
      </x:c>
      <x:c r="AB13" s="30" t="str">
        <x:v>Open</x:v>
      </x:c>
      <x:c r="AC13" s="30" t="str">
        <x:v>Public / visitor booking</x:v>
      </x:c>
      <x:c r="AD13" s="31" t="b">
        <x:v>0</x:v>
      </x:c>
      <x:c r="AE13" s="30"/>
      <x:c r="AF13" s="30"/>
      <x:c r="AG13" s="30"/>
      <x:c r="AH13" s="31" t="b">
        <x:v>0</x:v>
      </x:c>
      <x:c r="AI13" s="31" t="b">
        <x:v>0</x:v>
      </x:c>
      <x:c r="AJ13" s="30" t="str">
        <x:v>Verified — official/current exact source</x:v>
      </x:c>
      <x:c r="AK13" s="30" t="str">
        <x:v>https://www.alzorahgolfclub.ae/</x:v>
      </x:c>
      <x:c r="AL13" s="30" t="str">
        <x:v>2026-08-15</x:v>
      </x:c>
      <x:c r="AM13" s="30" t="str">
        <x:v>Official club and current course-directory values cross-checked.</x:v>
      </x:c>
    </x:row>
    <x:row r="14">
      <x:c r="A14" s="30" t="str">
        <x:v>AE-C0010</x:v>
      </x:c>
      <x:c r="B14" s="30" t="str">
        <x:v>AE-0013</x:v>
      </x:c>
      <x:c r="C14" s="30" t="str">
        <x:v>Arabian Ranches Golf Club — Championship Course</x:v>
      </x:c>
      <x:c r="D14" s="30" t="str">
        <x:v>Arabian Ranches Golf Club</x:v>
      </x:c>
      <x:c r="E14" s="30" t="str">
        <x:v>Championship Course</x:v>
      </x:c>
      <x:c r="F14" s="30" t="str">
        <x:v>United Arab Emirates</x:v>
      </x:c>
      <x:c r="G14" s="30" t="str">
        <x:v>Dubai</x:v>
      </x:c>
      <x:c r="H14" s="30" t="str">
        <x:v>Arabian Ranches</x:v>
      </x:c>
      <x:c r="I14" s="30" t="str">
        <x:v>Dubai</x:v>
      </x:c>
      <x:c r="J14" s="30"/>
      <x:c r="K14" s="32" t="n">
        <x:v>25.051605</x:v>
      </x:c>
      <x:c r="L14" s="32" t="n">
        <x:v>55.268467</x:v>
      </x:c>
      <x:c r="M14" s="30" t="str">
        <x:v>WGS84 / EPSG:4326</x:v>
      </x:c>
      <x:c r="N14" s="30" t="str">
        <x:v>Verified golf course/facility feature</x:v>
      </x:c>
      <x:c r="O14" s="30" t="str">
        <x:v>2026-08-15</x:v>
      </x:c>
      <x:c r="P14" s="33" t="n">
        <x:v>7691</x:v>
      </x:c>
      <x:c r="Q14" s="33" t="n">
        <x:f>IF(P14="","",ROUND(P14*0.9144,0))</x:f>
        <x:v>7033</x:v>
      </x:c>
      <x:c r="R14" s="33" t="n">
        <x:v>18</x:v>
      </x:c>
      <x:c r="S14" s="33" t="n">
        <x:v>72</x:v>
      </x:c>
      <x:c r="T14" s="30" t="str">
        <x:v>Desert</x:v>
      </x:c>
      <x:c r="U14" s="30" t="str">
        <x:v>Ian Baker-Finch and Nicklaus Design</x:v>
      </x:c>
      <x:c r="V14" s="30"/>
      <x:c r="W14" s="30" t="n">
        <x:v>2003</x:v>
      </x:c>
      <x:c r="X14" s="30" t="str">
        <x:v>https://www.arabianranchesgolfclub.com/</x:v>
      </x:c>
      <x:c r="Y14" s="30" t="b">
        <x:f>IF(AND(C14&lt;&gt;"",ISNUMBER(K14),ISNUMBER(L14),K14&gt;=22.5,K14&lt;=26.5,L14&gt;=51,L14&lt;=56.5,AB14&lt;&gt;"Closed"),TRUE,FALSE)</x:f>
        <x:v>1</x:v>
      </x:c>
      <x:c r="Z14" s="30" t="b">
        <x:f>Y14</x:f>
        <x:v>1</x:v>
      </x:c>
      <x:c r="AA14" s="30" t="str">
        <x:f>IF(Y14,"verified_coordinate_and_open",IF(AB14="Closed","closed",IF(OR(K14="",L14=""),"missing_coordinates","coordinate_or_identity_check")))</x:f>
        <x:v>verified_coordinate_and_open</x:v>
      </x:c>
      <x:c r="AB14" s="30" t="str">
        <x:v>Open</x:v>
      </x:c>
      <x:c r="AC14" s="30" t="str">
        <x:v>Public / visitor booking</x:v>
      </x:c>
      <x:c r="AD14" s="31" t="b">
        <x:v>0</x:v>
      </x:c>
      <x:c r="AE14" s="30"/>
      <x:c r="AF14" s="30"/>
      <x:c r="AG14" s="30"/>
      <x:c r="AH14" s="31" t="b">
        <x:v>0</x:v>
      </x:c>
      <x:c r="AI14" s="31" t="b">
        <x:v>0</x:v>
      </x:c>
      <x:c r="AJ14" s="30" t="str">
        <x:v>Verified — official/current exact source</x:v>
      </x:c>
      <x:c r="AK14" s="30" t="str">
        <x:v>https://www.where2golf.com/uae/arabian-ranches-golf-club/</x:v>
      </x:c>
      <x:c r="AL14" s="30" t="str">
        <x:v>2026-08-15</x:v>
      </x:c>
      <x:c r="AM14" s="30" t="str">
        <x:v>Current back-tee course-directory specification; design attribution confirmed by official club.</x:v>
      </x:c>
    </x:row>
    <x:row r="15">
      <x:c r="A15" s="30" t="str">
        <x:v>AE-C0010</x:v>
      </x:c>
      <x:c r="B15" s="30" t="str">
        <x:v>AE-0014</x:v>
      </x:c>
      <x:c r="C15" s="30" t="str">
        <x:v>Arabian Ranches Golf Club — Par 3 Course</x:v>
      </x:c>
      <x:c r="D15" s="30" t="str">
        <x:v>Arabian Ranches Golf Club</x:v>
      </x:c>
      <x:c r="E15" s="30" t="str">
        <x:v>Par 3 Course</x:v>
      </x:c>
      <x:c r="F15" s="30" t="str">
        <x:v>United Arab Emirates</x:v>
      </x:c>
      <x:c r="G15" s="30" t="str">
        <x:v>Dubai</x:v>
      </x:c>
      <x:c r="H15" s="30" t="str">
        <x:v>Arabian Ranches</x:v>
      </x:c>
      <x:c r="I15" s="30" t="str">
        <x:v>Dubai</x:v>
      </x:c>
      <x:c r="J15" s="30"/>
      <x:c r="K15" s="32" t="n">
        <x:v>25.051605</x:v>
      </x:c>
      <x:c r="L15" s="32" t="n">
        <x:v>55.268467</x:v>
      </x:c>
      <x:c r="M15" s="30" t="str">
        <x:v>WGS84 / EPSG:4326</x:v>
      </x:c>
      <x:c r="N15" s="30" t="str">
        <x:v>Verified golf course/facility feature</x:v>
      </x:c>
      <x:c r="O15" s="30" t="str">
        <x:v>2026-08-15</x:v>
      </x:c>
      <x:c r="P15" s="33" t="n">
        <x:v>696</x:v>
      </x:c>
      <x:c r="Q15" s="33" t="n">
        <x:f>IF(P15="","",ROUND(P15*0.9144,0))</x:f>
        <x:v>636</x:v>
      </x:c>
      <x:c r="R15" s="33" t="n">
        <x:v>9</x:v>
      </x:c>
      <x:c r="S15" s="33" t="n">
        <x:v>27</x:v>
      </x:c>
      <x:c r="T15" s="30" t="str">
        <x:v>Par-3</x:v>
      </x:c>
      <x:c r="U15" s="30"/>
      <x:c r="V15" s="30"/>
      <x:c r="W15" s="30"/>
      <x:c r="X15" s="30" t="str">
        <x:v>https://www.arabianranchesgolfclub.com/</x:v>
      </x:c>
      <x:c r="Y15" s="30" t="b">
        <x:f>IF(AND(C15&lt;&gt;"",ISNUMBER(K15),ISNUMBER(L15),K15&gt;=22.5,K15&lt;=26.5,L15&gt;=51,L15&lt;=56.5,AB15&lt;&gt;"Closed"),TRUE,FALSE)</x:f>
        <x:v>1</x:v>
      </x:c>
      <x:c r="Z15" s="30" t="b">
        <x:f>Y15</x:f>
        <x:v>1</x:v>
      </x:c>
      <x:c r="AA15" s="30" t="str">
        <x:f>IF(Y15,"verified_coordinate_and_open",IF(AB15="Closed","closed",IF(OR(K15="",L15=""),"missing_coordinates","coordinate_or_identity_check")))</x:f>
        <x:v>verified_coordinate_and_open</x:v>
      </x:c>
      <x:c r="AB15" s="30" t="str">
        <x:v>Open</x:v>
      </x:c>
      <x:c r="AC15" s="30" t="str">
        <x:v>Public / visitor booking</x:v>
      </x:c>
      <x:c r="AD15" s="31" t="b">
        <x:v>0</x:v>
      </x:c>
      <x:c r="AE15" s="30"/>
      <x:c r="AF15" s="30"/>
      <x:c r="AG15" s="30"/>
      <x:c r="AH15" s="31" t="b">
        <x:v>0</x:v>
      </x:c>
      <x:c r="AI15" s="31" t="b">
        <x:v>0</x:v>
      </x:c>
      <x:c r="AJ15" s="30" t="str">
        <x:v>Verified — official/current exact source</x:v>
      </x:c>
      <x:c r="AK15" s="30" t="str">
        <x:v>https://www.hole19golf.com/courses/arabian-ranches-golf-club-par-3</x:v>
      </x:c>
      <x:c r="AL15" s="30" t="str">
        <x:v>2026-08-15</x:v>
      </x:c>
      <x:c r="AM15" s="30" t="str">
        <x:v>Separate current short course; exact scorecard total used.</x:v>
      </x:c>
    </x:row>
    <x:row r="16">
      <x:c r="A16" s="30" t="str">
        <x:v>AE-C0011</x:v>
      </x:c>
      <x:c r="B16" s="30" t="str">
        <x:v>AE-0015</x:v>
      </x:c>
      <x:c r="C16" s="30" t="str">
        <x:v>Dubai Creek Golf &amp; Yacht Club — Championship Course</x:v>
      </x:c>
      <x:c r="D16" s="30" t="str">
        <x:v>Dubai Creek Golf &amp; Yacht Club</x:v>
      </x:c>
      <x:c r="E16" s="30" t="str">
        <x:v>Championship Course</x:v>
      </x:c>
      <x:c r="F16" s="30" t="str">
        <x:v>United Arab Emirates</x:v>
      </x:c>
      <x:c r="G16" s="30" t="str">
        <x:v>Dubai</x:v>
      </x:c>
      <x:c r="H16" s="30" t="str">
        <x:v>Deira</x:v>
      </x:c>
      <x:c r="I16" s="30" t="str">
        <x:v>Dubai</x:v>
      </x:c>
      <x:c r="J16" s="30"/>
      <x:c r="K16" s="32" t="n">
        <x:v>25.241591</x:v>
      </x:c>
      <x:c r="L16" s="32" t="n">
        <x:v>55.333462</x:v>
      </x:c>
      <x:c r="M16" s="30" t="str">
        <x:v>WGS84 / EPSG:4326</x:v>
      </x:c>
      <x:c r="N16" s="30" t="str">
        <x:v>Verified golf course/facility feature</x:v>
      </x:c>
      <x:c r="O16" s="30" t="str">
        <x:v>2026-08-15</x:v>
      </x:c>
      <x:c r="P16" s="33" t="n">
        <x:v>6857</x:v>
      </x:c>
      <x:c r="Q16" s="33" t="n">
        <x:f>IF(P16="","",ROUND(P16*0.9144,0))</x:f>
        <x:v>6270</x:v>
      </x:c>
      <x:c r="R16" s="33" t="n">
        <x:v>18</x:v>
      </x:c>
      <x:c r="S16" s="33" t="n">
        <x:v>71</x:v>
      </x:c>
      <x:c r="T16" s="30" t="str">
        <x:v>Creekside parkland</x:v>
      </x:c>
      <x:c r="U16" s="30" t="str">
        <x:v>Karl Litten</x:v>
      </x:c>
      <x:c r="V16" s="30" t="str">
        <x:v>Thomas Bjørn and European Golf Design (front nine)</x:v>
      </x:c>
      <x:c r="W16" s="30" t="n">
        <x:v>1993</x:v>
      </x:c>
      <x:c r="X16" s="30" t="str">
        <x:v>https://www.dubaigolf.com/dcgyc/</x:v>
      </x:c>
      <x:c r="Y16" s="30" t="b">
        <x:f>IF(AND(C16&lt;&gt;"",ISNUMBER(K16),ISNUMBER(L16),K16&gt;=22.5,K16&lt;=26.5,L16&gt;=51,L16&lt;=56.5,AB16&lt;&gt;"Closed"),TRUE,FALSE)</x:f>
        <x:v>1</x:v>
      </x:c>
      <x:c r="Z16" s="30" t="b">
        <x:f>Y16</x:f>
        <x:v>1</x:v>
      </x:c>
      <x:c r="AA16" s="30" t="str">
        <x:f>IF(Y16,"verified_coordinate_and_open",IF(AB16="Closed","closed",IF(OR(K16="",L16=""),"missing_coordinates","coordinate_or_identity_check")))</x:f>
        <x:v>verified_coordinate_and_open</x:v>
      </x:c>
      <x:c r="AB16" s="30" t="str">
        <x:v>Open</x:v>
      </x:c>
      <x:c r="AC16" s="30" t="str">
        <x:v>Public / visitor booking</x:v>
      </x:c>
      <x:c r="AD16" s="31" t="b">
        <x:v>0</x:v>
      </x:c>
      <x:c r="AE16" s="30"/>
      <x:c r="AF16" s="30"/>
      <x:c r="AG16" s="30"/>
      <x:c r="AH16" s="31" t="b">
        <x:v>0</x:v>
      </x:c>
      <x:c r="AI16" s="31" t="b">
        <x:v>0</x:v>
      </x:c>
      <x:c r="AJ16" s="30" t="str">
        <x:v>Verified — official/current exact source</x:v>
      </x:c>
      <x:c r="AK16" s="30" t="str">
        <x:v>https://www.where2golf.com/uae/dubai-creek-golf-yacht-club/</x:v>
      </x:c>
      <x:c r="AL16" s="30" t="str">
        <x:v>2026-08-15</x:v>
      </x:c>
      <x:c r="AM16" s="30" t="str">
        <x:v>Current back-tee course-directory specification.</x:v>
      </x:c>
    </x:row>
    <x:row r="17">
      <x:c r="A17" s="30" t="str">
        <x:v>AE-C0011</x:v>
      </x:c>
      <x:c r="B17" s="30" t="str">
        <x:v>AE-0016</x:v>
      </x:c>
      <x:c r="C17" s="30" t="str">
        <x:v>Dubai Creek Golf &amp; Yacht Club — Par 3 Course</x:v>
      </x:c>
      <x:c r="D17" s="30" t="str">
        <x:v>Dubai Creek Golf &amp; Yacht Club</x:v>
      </x:c>
      <x:c r="E17" s="30" t="str">
        <x:v>Par 3 Course</x:v>
      </x:c>
      <x:c r="F17" s="30" t="str">
        <x:v>United Arab Emirates</x:v>
      </x:c>
      <x:c r="G17" s="30" t="str">
        <x:v>Dubai</x:v>
      </x:c>
      <x:c r="H17" s="30" t="str">
        <x:v>Deira</x:v>
      </x:c>
      <x:c r="I17" s="30" t="str">
        <x:v>Dubai</x:v>
      </x:c>
      <x:c r="J17" s="30"/>
      <x:c r="K17" s="32" t="n">
        <x:v>25.241591</x:v>
      </x:c>
      <x:c r="L17" s="32" t="n">
        <x:v>55.333462</x:v>
      </x:c>
      <x:c r="M17" s="30" t="str">
        <x:v>WGS84 / EPSG:4326</x:v>
      </x:c>
      <x:c r="N17" s="30" t="str">
        <x:v>Verified golf course/facility feature</x:v>
      </x:c>
      <x:c r="O17" s="30" t="str">
        <x:v>2026-08-15</x:v>
      </x:c>
      <x:c r="P17" s="33" t="n">
        <x:v>696</x:v>
      </x:c>
      <x:c r="Q17" s="33" t="n">
        <x:f>IF(P17="","",ROUND(P17*0.9144,0))</x:f>
        <x:v>636</x:v>
      </x:c>
      <x:c r="R17" s="33" t="n">
        <x:v>9</x:v>
      </x:c>
      <x:c r="S17" s="33" t="n">
        <x:v>27</x:v>
      </x:c>
      <x:c r="T17" s="30" t="str">
        <x:v>Par-3 / floodlit</x:v>
      </x:c>
      <x:c r="U17" s="30"/>
      <x:c r="V17" s="30" t="str">
        <x:v>Redesigned 2004</x:v>
      </x:c>
      <x:c r="W17" s="30"/>
      <x:c r="X17" s="30" t="str">
        <x:v>https://www.dubaigolf.com/dcgyc/</x:v>
      </x:c>
      <x:c r="Y17" s="30" t="b">
        <x:f>IF(AND(C17&lt;&gt;"",ISNUMBER(K17),ISNUMBER(L17),K17&gt;=22.5,K17&lt;=26.5,L17&gt;=51,L17&lt;=56.5,AB17&lt;&gt;"Closed"),TRUE,FALSE)</x:f>
        <x:v>1</x:v>
      </x:c>
      <x:c r="Z17" s="30" t="b">
        <x:f>Y17</x:f>
        <x:v>1</x:v>
      </x:c>
      <x:c r="AA17" s="30" t="str">
        <x:f>IF(Y17,"verified_coordinate_and_open",IF(AB17="Closed","closed",IF(OR(K17="",L17=""),"missing_coordinates","coordinate_or_identity_check")))</x:f>
        <x:v>verified_coordinate_and_open</x:v>
      </x:c>
      <x:c r="AB17" s="30" t="str">
        <x:v>Open</x:v>
      </x:c>
      <x:c r="AC17" s="30" t="str">
        <x:v>Public / visitor booking</x:v>
      </x:c>
      <x:c r="AD17" s="31" t="b">
        <x:v>0</x:v>
      </x:c>
      <x:c r="AE17" s="30"/>
      <x:c r="AF17" s="30"/>
      <x:c r="AG17" s="30"/>
      <x:c r="AH17" s="31" t="b">
        <x:v>0</x:v>
      </x:c>
      <x:c r="AI17" s="31" t="b">
        <x:v>0</x:v>
      </x:c>
      <x:c r="AJ17" s="30" t="str">
        <x:v>Verified — official/current exact source</x:v>
      </x:c>
      <x:c r="AK17" s="30" t="str">
        <x:v>https://par3-executive-golf.com/course/10103982/dubai-creek-golf-and-yacht-club-par-3-golf-course/</x:v>
      </x:c>
      <x:c r="AL17" s="30" t="str">
        <x:v>2026-08-15</x:v>
      </x:c>
      <x:c r="AM17" s="30" t="str">
        <x:v>Separate nine-hole course; scorecard total and 2004 redesign date verified.</x:v>
      </x:c>
    </x:row>
    <x:row r="18">
      <x:c r="A18" s="30" t="str">
        <x:v>AE-C0012</x:v>
      </x:c>
      <x:c r="B18" s="30" t="str">
        <x:v>AE-0017</x:v>
      </x:c>
      <x:c r="C18" s="30" t="str">
        <x:v>Dubai Hills Golf Club — Championship Course</x:v>
      </x:c>
      <x:c r="D18" s="30" t="str">
        <x:v>Dubai Hills Golf Club</x:v>
      </x:c>
      <x:c r="E18" s="30" t="str">
        <x:v>Championship Course</x:v>
      </x:c>
      <x:c r="F18" s="30" t="str">
        <x:v>United Arab Emirates</x:v>
      </x:c>
      <x:c r="G18" s="30" t="str">
        <x:v>Dubai</x:v>
      </x:c>
      <x:c r="H18" s="30" t="str">
        <x:v>Dubai Hills Estate</x:v>
      </x:c>
      <x:c r="I18" s="30" t="str">
        <x:v>Dubai</x:v>
      </x:c>
      <x:c r="J18" s="30"/>
      <x:c r="K18" s="32" t="n">
        <x:v>25.121462</x:v>
      </x:c>
      <x:c r="L18" s="32" t="n">
        <x:v>55.2644</x:v>
      </x:c>
      <x:c r="M18" s="30" t="str">
        <x:v>WGS84 / EPSG:4326</x:v>
      </x:c>
      <x:c r="N18" s="30" t="str">
        <x:v>Verified golf course/facility feature</x:v>
      </x:c>
      <x:c r="O18" s="30" t="str">
        <x:v>2026-08-15</x:v>
      </x:c>
      <x:c r="P18" s="33" t="n">
        <x:v>7283</x:v>
      </x:c>
      <x:c r="Q18" s="33" t="n">
        <x:f>IF(P18="","",ROUND(P18*0.9144,0))</x:f>
        <x:v>6660</x:v>
      </x:c>
      <x:c r="R18" s="33" t="n">
        <x:v>18</x:v>
      </x:c>
      <x:c r="S18" s="33" t="n">
        <x:v>72</x:v>
      </x:c>
      <x:c r="T18" s="30" t="str">
        <x:v>Desert</x:v>
      </x:c>
      <x:c r="U18" s="30" t="str">
        <x:v>Gary Johnston (European Golf Design)</x:v>
      </x:c>
      <x:c r="V18" s="30"/>
      <x:c r="W18" s="30" t="n">
        <x:v>2018</x:v>
      </x:c>
      <x:c r="X18" s="30" t="str">
        <x:v>https://www.dubaihillsgolfclub.com/</x:v>
      </x:c>
      <x:c r="Y18" s="30" t="b">
        <x:f>IF(AND(C18&lt;&gt;"",ISNUMBER(K18),ISNUMBER(L18),K18&gt;=22.5,K18&lt;=26.5,L18&gt;=51,L18&lt;=56.5,AB18&lt;&gt;"Closed"),TRUE,FALSE)</x:f>
        <x:v>1</x:v>
      </x:c>
      <x:c r="Z18" s="30" t="b">
        <x:f>Y18</x:f>
        <x:v>1</x:v>
      </x:c>
      <x:c r="AA18" s="30" t="str">
        <x:f>IF(Y18,"verified_coordinate_and_open",IF(AB18="Closed","closed",IF(OR(K18="",L18=""),"missing_coordinates","coordinate_or_identity_check")))</x:f>
        <x:v>verified_coordinate_and_open</x:v>
      </x:c>
      <x:c r="AB18" s="30" t="str">
        <x:v>Open</x:v>
      </x:c>
      <x:c r="AC18" s="30" t="str">
        <x:v>Public / visitor booking</x:v>
      </x:c>
      <x:c r="AD18" s="31" t="b">
        <x:v>0</x:v>
      </x:c>
      <x:c r="AE18" s="30"/>
      <x:c r="AF18" s="30"/>
      <x:c r="AG18" s="30"/>
      <x:c r="AH18" s="31" t="b">
        <x:v>0</x:v>
      </x:c>
      <x:c r="AI18" s="31" t="b">
        <x:v>0</x:v>
      </x:c>
      <x:c r="AJ18" s="30" t="str">
        <x:v>Verified — official/current exact source</x:v>
      </x:c>
      <x:c r="AK18" s="30" t="str">
        <x:v>https://www.where2golf.com/uae/dubai-hills-golf-club/</x:v>
      </x:c>
      <x:c r="AL18" s="30" t="str">
        <x:v>2026-08-15</x:v>
      </x:c>
      <x:c r="AM18" s="30" t="str">
        <x:v>Current course-directory specification.</x:v>
      </x:c>
    </x:row>
    <x:row r="19">
      <x:c r="A19" s="30" t="str">
        <x:v>AE-C0012</x:v>
      </x:c>
      <x:c r="B19" s="30" t="str">
        <x:v>AE-0018</x:v>
      </x:c>
      <x:c r="C19" s="30" t="str">
        <x:v>Dubai Hills Golf Club — Par 3 Course</x:v>
      </x:c>
      <x:c r="D19" s="30" t="str">
        <x:v>Dubai Hills Golf Club</x:v>
      </x:c>
      <x:c r="E19" s="30" t="str">
        <x:v>Par 3 Course</x:v>
      </x:c>
      <x:c r="F19" s="30" t="str">
        <x:v>United Arab Emirates</x:v>
      </x:c>
      <x:c r="G19" s="30" t="str">
        <x:v>Dubai</x:v>
      </x:c>
      <x:c r="H19" s="30" t="str">
        <x:v>Dubai Hills Estate</x:v>
      </x:c>
      <x:c r="I19" s="30" t="str">
        <x:v>Dubai</x:v>
      </x:c>
      <x:c r="J19" s="30"/>
      <x:c r="K19" s="32" t="n">
        <x:v>25.121462</x:v>
      </x:c>
      <x:c r="L19" s="32" t="n">
        <x:v>55.2644</x:v>
      </x:c>
      <x:c r="M19" s="30" t="str">
        <x:v>WGS84 / EPSG:4326</x:v>
      </x:c>
      <x:c r="N19" s="30" t="str">
        <x:v>Verified golf course/facility feature</x:v>
      </x:c>
      <x:c r="O19" s="30" t="str">
        <x:v>2026-08-15</x:v>
      </x:c>
      <x:c r="P19" s="33"/>
      <x:c r="Q19" s="33" t="str">
        <x:f>IF(P19="","",ROUND(P19*0.9144,0))</x:f>
      </x:c>
      <x:c r="R19" s="33" t="n">
        <x:v>9</x:v>
      </x:c>
      <x:c r="S19" s="33" t="n">
        <x:v>27</x:v>
      </x:c>
      <x:c r="T19" s="30" t="str">
        <x:v>Par-3</x:v>
      </x:c>
      <x:c r="U19" s="30"/>
      <x:c r="V19" s="30"/>
      <x:c r="W19" s="30"/>
      <x:c r="X19" s="30" t="str">
        <x:v>https://www.dubaihillsgolfclub.com/</x:v>
      </x:c>
      <x:c r="Y19" s="30" t="b">
        <x:f>IF(AND(C19&lt;&gt;"",ISNUMBER(K19),ISNUMBER(L19),K19&gt;=22.5,K19&lt;=26.5,L19&gt;=51,L19&lt;=56.5,AB19&lt;&gt;"Closed"),TRUE,FALSE)</x:f>
        <x:v>1</x:v>
      </x:c>
      <x:c r="Z19" s="30" t="b">
        <x:f>Y19</x:f>
        <x:v>1</x:v>
      </x:c>
      <x:c r="AA19" s="30" t="str">
        <x:f>IF(Y19,"verified_coordinate_and_open",IF(AB19="Closed","closed",IF(OR(K19="",L19=""),"missing_coordinates","coordinate_or_identity_check")))</x:f>
        <x:v>verified_coordinate_and_open</x:v>
      </x:c>
      <x:c r="AB19" s="30" t="str">
        <x:v>Open</x:v>
      </x:c>
      <x:c r="AC19" s="30" t="str">
        <x:v>Public / visitor booking</x:v>
      </x:c>
      <x:c r="AD19" s="31" t="b">
        <x:v>0</x:v>
      </x:c>
      <x:c r="AE19" s="30"/>
      <x:c r="AF19" s="30"/>
      <x:c r="AG19" s="30"/>
      <x:c r="AH19" s="31" t="b">
        <x:v>0</x:v>
      </x:c>
      <x:c r="AI19" s="31" t="b">
        <x:v>0</x:v>
      </x:c>
      <x:c r="AJ19" s="30" t="str">
        <x:v>Verified — official/current exact source</x:v>
      </x:c>
      <x:c r="AK19" s="30" t="str">
        <x:v>https://www.where2golf.com/uae/dubai-hills-golf-club/</x:v>
      </x:c>
      <x:c r="AL19" s="30" t="str">
        <x:v>2026-08-15</x:v>
      </x:c>
      <x:c r="AM19" s="30" t="str">
        <x:v>Current directory confirms a distinct nine-hole Par-3 course; no certain total yardage located.</x:v>
      </x:c>
    </x:row>
    <x:row r="20">
      <x:c r="A20" s="30" t="str">
        <x:v>AE-C0013</x:v>
      </x:c>
      <x:c r="B20" s="30" t="str">
        <x:v>AE-0019</x:v>
      </x:c>
      <x:c r="C20" s="30" t="str">
        <x:v>Emirates Golf Club — Majlis Course</x:v>
      </x:c>
      <x:c r="D20" s="30" t="str">
        <x:v>Emirates Golf Club</x:v>
      </x:c>
      <x:c r="E20" s="30" t="str">
        <x:v>Majlis Course</x:v>
      </x:c>
      <x:c r="F20" s="30" t="str">
        <x:v>United Arab Emirates</x:v>
      </x:c>
      <x:c r="G20" s="30" t="str">
        <x:v>Dubai</x:v>
      </x:c>
      <x:c r="H20" s="30" t="str">
        <x:v>Emirates Hills</x:v>
      </x:c>
      <x:c r="I20" s="30" t="str">
        <x:v>Dubai</x:v>
      </x:c>
      <x:c r="J20" s="30"/>
      <x:c r="K20" s="32" t="n">
        <x:v>25.085691</x:v>
      </x:c>
      <x:c r="L20" s="32" t="n">
        <x:v>55.162536</x:v>
      </x:c>
      <x:c r="M20" s="30" t="str">
        <x:v>WGS84 / EPSG:4326</x:v>
      </x:c>
      <x:c r="N20" s="30" t="str">
        <x:v>Verified golf course/facility feature</x:v>
      </x:c>
      <x:c r="O20" s="30" t="str">
        <x:v>2026-08-15</x:v>
      </x:c>
      <x:c r="P20" s="33" t="n">
        <x:v>7301</x:v>
      </x:c>
      <x:c r="Q20" s="33" t="n">
        <x:f>IF(P20="","",ROUND(P20*0.9144,0))</x:f>
        <x:v>6676</x:v>
      </x:c>
      <x:c r="R20" s="33" t="n">
        <x:v>18</x:v>
      </x:c>
      <x:c r="S20" s="33" t="n">
        <x:v>72</x:v>
      </x:c>
      <x:c r="T20" s="30" t="str">
        <x:v>Desert parkland</x:v>
      </x:c>
      <x:c r="U20" s="30" t="str">
        <x:v>Karl Litten</x:v>
      </x:c>
      <x:c r="V20" s="30"/>
      <x:c r="W20" s="30" t="n">
        <x:v>1988</x:v>
      </x:c>
      <x:c r="X20" s="30" t="str">
        <x:v>https://www.dubaigolf.com/egc/</x:v>
      </x:c>
      <x:c r="Y20" s="30" t="b">
        <x:f>IF(AND(C20&lt;&gt;"",ISNUMBER(K20),ISNUMBER(L20),K20&gt;=22.5,K20&lt;=26.5,L20&gt;=51,L20&lt;=56.5,AB20&lt;&gt;"Closed"),TRUE,FALSE)</x:f>
        <x:v>1</x:v>
      </x:c>
      <x:c r="Z20" s="30" t="b">
        <x:f>Y20</x:f>
        <x:v>1</x:v>
      </x:c>
      <x:c r="AA20" s="30" t="str">
        <x:f>IF(Y20,"verified_coordinate_and_open",IF(AB20="Closed","closed",IF(OR(K20="",L20=""),"missing_coordinates","coordinate_or_identity_check")))</x:f>
        <x:v>verified_coordinate_and_open</x:v>
      </x:c>
      <x:c r="AB20" s="30" t="str">
        <x:v>Open</x:v>
      </x:c>
      <x:c r="AC20" s="30" t="str">
        <x:v>Public / visitor booking</x:v>
      </x:c>
      <x:c r="AD20" s="31" t="b">
        <x:v>0</x:v>
      </x:c>
      <x:c r="AE20" s="30"/>
      <x:c r="AF20" s="30"/>
      <x:c r="AG20" s="30"/>
      <x:c r="AH20" s="31" t="b">
        <x:v>0</x:v>
      </x:c>
      <x:c r="AI20" s="31" t="b">
        <x:v>0</x:v>
      </x:c>
      <x:c r="AJ20" s="30" t="str">
        <x:v>Verified — official/current exact source</x:v>
      </x:c>
      <x:c r="AK20" s="30" t="str">
        <x:v>https://www.where2golf.com/uae/emirates-golf-club-majlis-course/</x:v>
      </x:c>
      <x:c r="AL20" s="30" t="str">
        <x:v>2026-08-15</x:v>
      </x:c>
      <x:c r="AM20" s="30" t="str">
        <x:v>Current back-tee specification.</x:v>
      </x:c>
    </x:row>
    <x:row r="21">
      <x:c r="A21" s="30" t="str">
        <x:v>AE-C0013</x:v>
      </x:c>
      <x:c r="B21" s="30" t="str">
        <x:v>AE-0020</x:v>
      </x:c>
      <x:c r="C21" s="30" t="str">
        <x:v>Emirates Golf Club — Faldo Course</x:v>
      </x:c>
      <x:c r="D21" s="30" t="str">
        <x:v>Emirates Golf Club</x:v>
      </x:c>
      <x:c r="E21" s="30" t="str">
        <x:v>Faldo Course</x:v>
      </x:c>
      <x:c r="F21" s="30" t="str">
        <x:v>United Arab Emirates</x:v>
      </x:c>
      <x:c r="G21" s="30" t="str">
        <x:v>Dubai</x:v>
      </x:c>
      <x:c r="H21" s="30" t="str">
        <x:v>Emirates Hills</x:v>
      </x:c>
      <x:c r="I21" s="30" t="str">
        <x:v>Dubai</x:v>
      </x:c>
      <x:c r="J21" s="30"/>
      <x:c r="K21" s="32" t="n">
        <x:v>25.085691</x:v>
      </x:c>
      <x:c r="L21" s="32" t="n">
        <x:v>55.162536</x:v>
      </x:c>
      <x:c r="M21" s="30" t="str">
        <x:v>WGS84 / EPSG:4326</x:v>
      </x:c>
      <x:c r="N21" s="30" t="str">
        <x:v>Verified golf course/facility feature</x:v>
      </x:c>
      <x:c r="O21" s="30" t="str">
        <x:v>2026-08-15</x:v>
      </x:c>
      <x:c r="P21" s="33" t="n">
        <x:v>7052</x:v>
      </x:c>
      <x:c r="Q21" s="33" t="n">
        <x:f>IF(P21="","",ROUND(P21*0.9144,0))</x:f>
        <x:v>6448</x:v>
      </x:c>
      <x:c r="R21" s="33" t="n">
        <x:v>18</x:v>
      </x:c>
      <x:c r="S21" s="33" t="n">
        <x:v>72</x:v>
      </x:c>
      <x:c r="T21" s="30" t="str">
        <x:v>Desert / floodlit</x:v>
      </x:c>
      <x:c r="U21" s="30" t="str">
        <x:v>Karl Litten and Jeremy Pern</x:v>
      </x:c>
      <x:c r="V21" s="30" t="str">
        <x:v>Nick Faldo</x:v>
      </x:c>
      <x:c r="W21" s="30" t="n">
        <x:v>1996</x:v>
      </x:c>
      <x:c r="X21" s="30" t="str">
        <x:v>https://www.dubaigolf.com/egc/</x:v>
      </x:c>
      <x:c r="Y21" s="30" t="b">
        <x:f>IF(AND(C21&lt;&gt;"",ISNUMBER(K21),ISNUMBER(L21),K21&gt;=22.5,K21&lt;=26.5,L21&gt;=51,L21&lt;=56.5,AB21&lt;&gt;"Closed"),TRUE,FALSE)</x:f>
        <x:v>1</x:v>
      </x:c>
      <x:c r="Z21" s="30" t="b">
        <x:f>Y21</x:f>
        <x:v>1</x:v>
      </x:c>
      <x:c r="AA21" s="30" t="str">
        <x:f>IF(Y21,"verified_coordinate_and_open",IF(AB21="Closed","closed",IF(OR(K21="",L21=""),"missing_coordinates","coordinate_or_identity_check")))</x:f>
        <x:v>verified_coordinate_and_open</x:v>
      </x:c>
      <x:c r="AB21" s="30" t="str">
        <x:v>Open</x:v>
      </x:c>
      <x:c r="AC21" s="30" t="str">
        <x:v>Public / visitor booking</x:v>
      </x:c>
      <x:c r="AD21" s="31" t="b">
        <x:v>0</x:v>
      </x:c>
      <x:c r="AE21" s="30"/>
      <x:c r="AF21" s="30"/>
      <x:c r="AG21" s="30"/>
      <x:c r="AH21" s="31" t="b">
        <x:v>0</x:v>
      </x:c>
      <x:c r="AI21" s="31" t="b">
        <x:v>0</x:v>
      </x:c>
      <x:c r="AJ21" s="30" t="str">
        <x:v>Verified — official/current exact source</x:v>
      </x:c>
      <x:c r="AK21" s="30" t="str">
        <x:v>https://www.dubaigolf.com/egc/golf/courses/</x:v>
      </x:c>
      <x:c r="AL21" s="30" t="str">
        <x:v>2026-08-15</x:v>
      </x:c>
      <x:c r="AM21" s="30" t="str">
        <x:v>Official published course length. Originally the Wadi Course; redesigned by Nick Faldo and reopened in 2006.</x:v>
      </x:c>
    </x:row>
    <x:row r="22">
      <x:c r="A22" s="30" t="str">
        <x:v>AE-C0013</x:v>
      </x:c>
      <x:c r="B22" s="30" t="str">
        <x:v>AE-0021</x:v>
      </x:c>
      <x:c r="C22" s="30" t="str">
        <x:v>Emirates Golf Club — Par 3 Academy Course</x:v>
      </x:c>
      <x:c r="D22" s="30" t="str">
        <x:v>Emirates Golf Club</x:v>
      </x:c>
      <x:c r="E22" s="30" t="str">
        <x:v>Par 3 Academy Course</x:v>
      </x:c>
      <x:c r="F22" s="30" t="str">
        <x:v>United Arab Emirates</x:v>
      </x:c>
      <x:c r="G22" s="30" t="str">
        <x:v>Dubai</x:v>
      </x:c>
      <x:c r="H22" s="30" t="str">
        <x:v>Emirates Hills</x:v>
      </x:c>
      <x:c r="I22" s="30" t="str">
        <x:v>Dubai</x:v>
      </x:c>
      <x:c r="J22" s="30"/>
      <x:c r="K22" s="32" t="n">
        <x:v>25.085691</x:v>
      </x:c>
      <x:c r="L22" s="32" t="n">
        <x:v>55.162536</x:v>
      </x:c>
      <x:c r="M22" s="30" t="str">
        <x:v>WGS84 / EPSG:4326</x:v>
      </x:c>
      <x:c r="N22" s="30" t="str">
        <x:v>Verified golf course/facility feature</x:v>
      </x:c>
      <x:c r="O22" s="30" t="str">
        <x:v>2026-08-15</x:v>
      </x:c>
      <x:c r="P22" s="33" t="n">
        <x:v>1239</x:v>
      </x:c>
      <x:c r="Q22" s="33" t="n">
        <x:f>IF(P22="","",ROUND(P22*0.9144,0))</x:f>
        <x:v>1133</x:v>
      </x:c>
      <x:c r="R22" s="33" t="n">
        <x:v>9</x:v>
      </x:c>
      <x:c r="S22" s="33" t="n">
        <x:v>27</x:v>
      </x:c>
      <x:c r="T22" s="30" t="str">
        <x:v>Par-3 / floodlit</x:v>
      </x:c>
      <x:c r="U22" s="30"/>
      <x:c r="V22" s="30"/>
      <x:c r="W22" s="30"/>
      <x:c r="X22" s="30" t="str">
        <x:v>https://www.dubaigolf.com/egc/</x:v>
      </x:c>
      <x:c r="Y22" s="30" t="b">
        <x:f>IF(AND(C22&lt;&gt;"",ISNUMBER(K22),ISNUMBER(L22),K22&gt;=22.5,K22&lt;=26.5,L22&gt;=51,L22&lt;=56.5,AB22&lt;&gt;"Closed"),TRUE,FALSE)</x:f>
        <x:v>1</x:v>
      </x:c>
      <x:c r="Z22" s="30" t="b">
        <x:f>Y22</x:f>
        <x:v>1</x:v>
      </x:c>
      <x:c r="AA22" s="30" t="str">
        <x:f>IF(Y22,"verified_coordinate_and_open",IF(AB22="Closed","closed",IF(OR(K22="",L22=""),"missing_coordinates","coordinate_or_identity_check")))</x:f>
        <x:v>verified_coordinate_and_open</x:v>
      </x:c>
      <x:c r="AB22" s="30" t="str">
        <x:v>Open</x:v>
      </x:c>
      <x:c r="AC22" s="30" t="str">
        <x:v>Public / visitor booking</x:v>
      </x:c>
      <x:c r="AD22" s="31" t="b">
        <x:v>0</x:v>
      </x:c>
      <x:c r="AE22" s="30"/>
      <x:c r="AF22" s="30"/>
      <x:c r="AG22" s="30"/>
      <x:c r="AH22" s="31" t="b">
        <x:v>0</x:v>
      </x:c>
      <x:c r="AI22" s="31" t="b">
        <x:v>0</x:v>
      </x:c>
      <x:c r="AJ22" s="30" t="str">
        <x:v>Verified — official/current exact source</x:v>
      </x:c>
      <x:c r="AK22" s="30" t="str">
        <x:v>https://www.where2golf.com/uae/emirates-golf-club-the-faldo-course/</x:v>
      </x:c>
      <x:c r="AL22" s="30" t="str">
        <x:v>2026-08-15</x:v>
      </x:c>
      <x:c r="AM22" s="30" t="str">
        <x:v>Separate academy layout; exact total from current course directory.</x:v>
      </x:c>
    </x:row>
    <x:row r="23">
      <x:c r="A23" s="30" t="str">
        <x:v>AE-C0014</x:v>
      </x:c>
      <x:c r="B23" s="30" t="str">
        <x:v>AE-0022</x:v>
      </x:c>
      <x:c r="C23" s="30" t="str">
        <x:v>JA The Resort</x:v>
      </x:c>
      <x:c r="D23" s="30" t="str">
        <x:v>JA The Resort</x:v>
      </x:c>
      <x:c r="E23" s="30" t="str">
        <x:v>JA Golf Course</x:v>
      </x:c>
      <x:c r="F23" s="30" t="str">
        <x:v>United Arab Emirates</x:v>
      </x:c>
      <x:c r="G23" s="30" t="str">
        <x:v>Dubai</x:v>
      </x:c>
      <x:c r="H23" s="30" t="str">
        <x:v>Jebel Ali</x:v>
      </x:c>
      <x:c r="I23" s="30" t="str">
        <x:v>Dubai</x:v>
      </x:c>
      <x:c r="J23" s="30"/>
      <x:c r="K23" s="32" t="n">
        <x:v>24.986812</x:v>
      </x:c>
      <x:c r="L23" s="32" t="n">
        <x:v>55.02562</x:v>
      </x:c>
      <x:c r="M23" s="30" t="str">
        <x:v>WGS84 / EPSG:4326</x:v>
      </x:c>
      <x:c r="N23" s="30" t="str">
        <x:v>Verified golf course/facility feature</x:v>
      </x:c>
      <x:c r="O23" s="30" t="str">
        <x:v>2026-08-15</x:v>
      </x:c>
      <x:c r="P23" s="33" t="n">
        <x:v>3299</x:v>
      </x:c>
      <x:c r="Q23" s="33" t="n">
        <x:f>IF(P23="","",ROUND(P23*0.9144,0))</x:f>
        <x:v>3017</x:v>
      </x:c>
      <x:c r="R23" s="33" t="n">
        <x:v>9</x:v>
      </x:c>
      <x:c r="S23" s="33" t="n">
        <x:v>35</x:v>
      </x:c>
      <x:c r="T23" s="30" t="str">
        <x:v>Resort parkland</x:v>
      </x:c>
      <x:c r="U23" s="30" t="str">
        <x:v>Peter Harradine</x:v>
      </x:c>
      <x:c r="V23" s="30"/>
      <x:c r="W23" s="30" t="n">
        <x:v>1998</x:v>
      </x:c>
      <x:c r="X23" s="30" t="str">
        <x:v>https://www.jagolf.com/</x:v>
      </x:c>
      <x:c r="Y23" s="30" t="b">
        <x:f>IF(AND(C23&lt;&gt;"",ISNUMBER(K23),ISNUMBER(L23),K23&gt;=22.5,K23&lt;=26.5,L23&gt;=51,L23&lt;=56.5,AB23&lt;&gt;"Closed"),TRUE,FALSE)</x:f>
        <x:v>1</x:v>
      </x:c>
      <x:c r="Z23" s="30" t="b">
        <x:f>Y23</x:f>
        <x:v>1</x:v>
      </x:c>
      <x:c r="AA23" s="30" t="str">
        <x:f>IF(Y23,"verified_coordinate_and_open",IF(AB23="Closed","closed",IF(OR(K23="",L23=""),"missing_coordinates","coordinate_or_identity_check")))</x:f>
        <x:v>verified_coordinate_and_open</x:v>
      </x:c>
      <x:c r="AB23" s="30" t="str">
        <x:v>Open</x:v>
      </x:c>
      <x:c r="AC23" s="30" t="str">
        <x:v>Public / visitor booking</x:v>
      </x:c>
      <x:c r="AD23" s="31" t="b">
        <x:v>0</x:v>
      </x:c>
      <x:c r="AE23" s="30"/>
      <x:c r="AF23" s="30"/>
      <x:c r="AG23" s="30"/>
      <x:c r="AH23" s="31" t="b">
        <x:v>0</x:v>
      </x:c>
      <x:c r="AI23" s="31" t="b">
        <x:v>0</x:v>
      </x:c>
      <x:c r="AJ23" s="30" t="str">
        <x:v>Verified — official/current exact source</x:v>
      </x:c>
      <x:c r="AK23" s="30" t="str">
        <x:v>https://www.jagolf.com/</x:v>
      </x:c>
      <x:c r="AL23" s="30" t="str">
        <x:v>2026-08-15</x:v>
      </x:c>
      <x:c r="AM23" s="30" t="str">
        <x:v>Physical nine-hole layout; the same holes can be replayed from alternate tees for an 18-hole round.</x:v>
      </x:c>
    </x:row>
    <x:row r="24">
      <x:c r="A24" s="30" t="str">
        <x:v>AE-C0015</x:v>
      </x:c>
      <x:c r="B24" s="30" t="str">
        <x:v>AE-0023</x:v>
      </x:c>
      <x:c r="C24" s="30" t="str">
        <x:v>Jumeirah Golf Estates — Earth Course</x:v>
      </x:c>
      <x:c r="D24" s="30" t="str">
        <x:v>Jumeirah Golf Estates</x:v>
      </x:c>
      <x:c r="E24" s="30" t="str">
        <x:v>Earth Course</x:v>
      </x:c>
      <x:c r="F24" s="30" t="str">
        <x:v>United Arab Emirates</x:v>
      </x:c>
      <x:c r="G24" s="30" t="str">
        <x:v>Dubai</x:v>
      </x:c>
      <x:c r="H24" s="30" t="str">
        <x:v>Jumeirah Golf Estates</x:v>
      </x:c>
      <x:c r="I24" s="30" t="str">
        <x:v>Dubai</x:v>
      </x:c>
      <x:c r="J24" s="30"/>
      <x:c r="K24" s="32" t="n">
        <x:v>25.019001</x:v>
      </x:c>
      <x:c r="L24" s="32" t="n">
        <x:v>55.197383</x:v>
      </x:c>
      <x:c r="M24" s="30" t="str">
        <x:v>WGS84 / EPSG:4326</x:v>
      </x:c>
      <x:c r="N24" s="30" t="str">
        <x:v>Verified golf course/facility feature</x:v>
      </x:c>
      <x:c r="O24" s="30" t="str">
        <x:v>2026-08-15</x:v>
      </x:c>
      <x:c r="P24" s="33" t="n">
        <x:v>7706</x:v>
      </x:c>
      <x:c r="Q24" s="33" t="n">
        <x:f>IF(P24="","",ROUND(P24*0.9144,0))</x:f>
        <x:v>7046</x:v>
      </x:c>
      <x:c r="R24" s="33" t="n">
        <x:v>18</x:v>
      </x:c>
      <x:c r="S24" s="33" t="n">
        <x:v>72</x:v>
      </x:c>
      <x:c r="T24" s="30" t="str">
        <x:v>Parkland</x:v>
      </x:c>
      <x:c r="U24" s="30" t="str">
        <x:v>Greg Norman</x:v>
      </x:c>
      <x:c r="V24" s="30"/>
      <x:c r="W24" s="30" t="n">
        <x:v>2009</x:v>
      </x:c>
      <x:c r="X24" s="30" t="str">
        <x:v>https://www.dubaigolf.com/jge/</x:v>
      </x:c>
      <x:c r="Y24" s="30" t="b">
        <x:f>IF(AND(C24&lt;&gt;"",ISNUMBER(K24),ISNUMBER(L24),K24&gt;=22.5,K24&lt;=26.5,L24&gt;=51,L24&lt;=56.5,AB24&lt;&gt;"Closed"),TRUE,FALSE)</x:f>
        <x:v>1</x:v>
      </x:c>
      <x:c r="Z24" s="30" t="b">
        <x:f>Y24</x:f>
        <x:v>1</x:v>
      </x:c>
      <x:c r="AA24" s="30" t="str">
        <x:f>IF(Y24,"verified_coordinate_and_open",IF(AB24="Closed","closed",IF(OR(K24="",L24=""),"missing_coordinates","coordinate_or_identity_check")))</x:f>
        <x:v>verified_coordinate_and_open</x:v>
      </x:c>
      <x:c r="AB24" s="30" t="str">
        <x:v>Open</x:v>
      </x:c>
      <x:c r="AC24" s="30" t="str">
        <x:v>Public / visitor booking</x:v>
      </x:c>
      <x:c r="AD24" s="31" t="b">
        <x:v>0</x:v>
      </x:c>
      <x:c r="AE24" s="30"/>
      <x:c r="AF24" s="30"/>
      <x:c r="AG24" s="30"/>
      <x:c r="AH24" s="31" t="b">
        <x:v>0</x:v>
      </x:c>
      <x:c r="AI24" s="31" t="b">
        <x:v>0</x:v>
      </x:c>
      <x:c r="AJ24" s="30" t="str">
        <x:v>Verified — official/current exact source</x:v>
      </x:c>
      <x:c r="AK24" s="30" t="str">
        <x:v>https://www.where2golf.com/uae/jumeirah-golf-estates-earth-course/</x:v>
      </x:c>
      <x:c r="AL24" s="30" t="str">
        <x:v>2026-08-15</x:v>
      </x:c>
      <x:c r="AM24" s="30" t="str">
        <x:v>Current back-tee specification.</x:v>
      </x:c>
    </x:row>
    <x:row r="25">
      <x:c r="A25" s="30" t="str">
        <x:v>AE-C0015</x:v>
      </x:c>
      <x:c r="B25" s="30" t="str">
        <x:v>AE-0024</x:v>
      </x:c>
      <x:c r="C25" s="30" t="str">
        <x:v>Jumeirah Golf Estates — Fire Course</x:v>
      </x:c>
      <x:c r="D25" s="30" t="str">
        <x:v>Jumeirah Golf Estates</x:v>
      </x:c>
      <x:c r="E25" s="30" t="str">
        <x:v>Fire Course</x:v>
      </x:c>
      <x:c r="F25" s="30" t="str">
        <x:v>United Arab Emirates</x:v>
      </x:c>
      <x:c r="G25" s="30" t="str">
        <x:v>Dubai</x:v>
      </x:c>
      <x:c r="H25" s="30" t="str">
        <x:v>Jumeirah Golf Estates</x:v>
      </x:c>
      <x:c r="I25" s="30" t="str">
        <x:v>Dubai</x:v>
      </x:c>
      <x:c r="J25" s="30"/>
      <x:c r="K25" s="32" t="n">
        <x:v>25.018535</x:v>
      </x:c>
      <x:c r="L25" s="32" t="n">
        <x:v>55.204399</x:v>
      </x:c>
      <x:c r="M25" s="30" t="str">
        <x:v>WGS84 / EPSG:4326</x:v>
      </x:c>
      <x:c r="N25" s="30" t="str">
        <x:v>Verified golf course/facility feature</x:v>
      </x:c>
      <x:c r="O25" s="30" t="str">
        <x:v>2026-08-15</x:v>
      </x:c>
      <x:c r="P25" s="33" t="n">
        <x:v>7480</x:v>
      </x:c>
      <x:c r="Q25" s="33" t="n">
        <x:f>IF(P25="","",ROUND(P25*0.9144,0))</x:f>
        <x:v>6840</x:v>
      </x:c>
      <x:c r="R25" s="33" t="n">
        <x:v>18</x:v>
      </x:c>
      <x:c r="S25" s="33" t="n">
        <x:v>72</x:v>
      </x:c>
      <x:c r="T25" s="30" t="str">
        <x:v>Desert</x:v>
      </x:c>
      <x:c r="U25" s="30" t="str">
        <x:v>Greg Norman</x:v>
      </x:c>
      <x:c r="V25" s="30"/>
      <x:c r="W25" s="30" t="n">
        <x:v>2009</x:v>
      </x:c>
      <x:c r="X25" s="30" t="str">
        <x:v>https://www.dubaigolf.com/jge/</x:v>
      </x:c>
      <x:c r="Y25" s="30" t="b">
        <x:f>IF(AND(C25&lt;&gt;"",ISNUMBER(K25),ISNUMBER(L25),K25&gt;=22.5,K25&lt;=26.5,L25&gt;=51,L25&lt;=56.5,AB25&lt;&gt;"Closed"),TRUE,FALSE)</x:f>
        <x:v>1</x:v>
      </x:c>
      <x:c r="Z25" s="30" t="b">
        <x:f>Y25</x:f>
        <x:v>1</x:v>
      </x:c>
      <x:c r="AA25" s="30" t="str">
        <x:f>IF(Y25,"verified_coordinate_and_open",IF(AB25="Closed","closed",IF(OR(K25="",L25=""),"missing_coordinates","coordinate_or_identity_check")))</x:f>
        <x:v>verified_coordinate_and_open</x:v>
      </x:c>
      <x:c r="AB25" s="30" t="str">
        <x:v>Open</x:v>
      </x:c>
      <x:c r="AC25" s="30" t="str">
        <x:v>Public / visitor booking</x:v>
      </x:c>
      <x:c r="AD25" s="31" t="b">
        <x:v>0</x:v>
      </x:c>
      <x:c r="AE25" s="30"/>
      <x:c r="AF25" s="30"/>
      <x:c r="AG25" s="30"/>
      <x:c r="AH25" s="31" t="b">
        <x:v>0</x:v>
      </x:c>
      <x:c r="AI25" s="31" t="b">
        <x:v>0</x:v>
      </x:c>
      <x:c r="AJ25" s="30" t="str">
        <x:v>Verified — official/current exact source</x:v>
      </x:c>
      <x:c r="AK25" s="30" t="str">
        <x:v>https://www.where2golf.com/uae/jumeirah-golf-estates-fire-course/</x:v>
      </x:c>
      <x:c r="AL25" s="30" t="str">
        <x:v>2026-08-15</x:v>
      </x:c>
      <x:c r="AM25" s="30" t="str">
        <x:v>Current back-tee specification.</x:v>
      </x:c>
    </x:row>
    <x:row r="26">
      <x:c r="A26" s="30" t="str">
        <x:v>AE-C0016</x:v>
      </x:c>
      <x:c r="B26" s="30" t="str">
        <x:v>AE-0025</x:v>
      </x:c>
      <x:c r="C26" s="30" t="str">
        <x:v>Montgomerie Golf Club Dubai — Championship Course</x:v>
      </x:c>
      <x:c r="D26" s="30" t="str">
        <x:v>Montgomerie Golf Club Dubai</x:v>
      </x:c>
      <x:c r="E26" s="30" t="str">
        <x:v>Championship Course</x:v>
      </x:c>
      <x:c r="F26" s="30" t="str">
        <x:v>United Arab Emirates</x:v>
      </x:c>
      <x:c r="G26" s="30" t="str">
        <x:v>Dubai</x:v>
      </x:c>
      <x:c r="H26" s="30" t="str">
        <x:v>Emirates Hills</x:v>
      </x:c>
      <x:c r="I26" s="30" t="str">
        <x:v>Dubai</x:v>
      </x:c>
      <x:c r="J26" s="30"/>
      <x:c r="K26" s="32" t="n">
        <x:v>25.067553</x:v>
      </x:c>
      <x:c r="L26" s="32" t="n">
        <x:v>55.162096</x:v>
      </x:c>
      <x:c r="M26" s="30" t="str">
        <x:v>WGS84 / EPSG:4326</x:v>
      </x:c>
      <x:c r="N26" s="30" t="str">
        <x:v>Verified golf course/facility feature</x:v>
      </x:c>
      <x:c r="O26" s="30" t="str">
        <x:v>2026-08-15</x:v>
      </x:c>
      <x:c r="P26" s="33" t="n">
        <x:v>7396</x:v>
      </x:c>
      <x:c r="Q26" s="33" t="n">
        <x:f>IF(P26="","",ROUND(P26*0.9144,0))</x:f>
        <x:v>6763</x:v>
      </x:c>
      <x:c r="R26" s="33" t="n">
        <x:v>18</x:v>
      </x:c>
      <x:c r="S26" s="33" t="n">
        <x:v>72</x:v>
      </x:c>
      <x:c r="T26" s="30" t="str">
        <x:v>Parkland</x:v>
      </x:c>
      <x:c r="U26" s="30" t="str">
        <x:v>Colin Montgomerie and Desmond Muirhead</x:v>
      </x:c>
      <x:c r="V26" s="30"/>
      <x:c r="W26" s="30" t="n">
        <x:v>2002</x:v>
      </x:c>
      <x:c r="X26" s="30" t="str">
        <x:v>https://www.montgomeriegolfclubdubai.com/</x:v>
      </x:c>
      <x:c r="Y26" s="30" t="b">
        <x:f>IF(AND(C26&lt;&gt;"",ISNUMBER(K26),ISNUMBER(L26),K26&gt;=22.5,K26&lt;=26.5,L26&gt;=51,L26&lt;=56.5,AB26&lt;&gt;"Closed"),TRUE,FALSE)</x:f>
        <x:v>1</x:v>
      </x:c>
      <x:c r="Z26" s="30" t="b">
        <x:f>Y26</x:f>
        <x:v>1</x:v>
      </x:c>
      <x:c r="AA26" s="30" t="str">
        <x:f>IF(Y26,"verified_coordinate_and_open",IF(AB26="Closed","closed",IF(OR(K26="",L26=""),"missing_coordinates","coordinate_or_identity_check")))</x:f>
        <x:v>verified_coordinate_and_open</x:v>
      </x:c>
      <x:c r="AB26" s="30" t="str">
        <x:v>Open</x:v>
      </x:c>
      <x:c r="AC26" s="30" t="str">
        <x:v>Public / visitor booking</x:v>
      </x:c>
      <x:c r="AD26" s="31" t="b">
        <x:v>0</x:v>
      </x:c>
      <x:c r="AE26" s="30"/>
      <x:c r="AF26" s="30"/>
      <x:c r="AG26" s="30"/>
      <x:c r="AH26" s="31" t="b">
        <x:v>0</x:v>
      </x:c>
      <x:c r="AI26" s="31" t="b">
        <x:v>0</x:v>
      </x:c>
      <x:c r="AJ26" s="30" t="str">
        <x:v>Verified — official/current exact source</x:v>
      </x:c>
      <x:c r="AK26" s="30" t="str">
        <x:v>https://www.where2golf.com/uae/montgomerie-golf-club-dubai/</x:v>
      </x:c>
      <x:c r="AL26" s="30" t="str">
        <x:v>2026-08-15</x:v>
      </x:c>
      <x:c r="AM26" s="30" t="str">
        <x:v>Current back-tee specification.</x:v>
      </x:c>
    </x:row>
    <x:row r="27">
      <x:c r="A27" s="30" t="str">
        <x:v>AE-C0016</x:v>
      </x:c>
      <x:c r="B27" s="30" t="str">
        <x:v>AE-0026</x:v>
      </x:c>
      <x:c r="C27" s="30" t="str">
        <x:v>Montgomerie Golf Club Dubai — Par 3 Course</x:v>
      </x:c>
      <x:c r="D27" s="30" t="str">
        <x:v>Montgomerie Golf Club Dubai</x:v>
      </x:c>
      <x:c r="E27" s="30" t="str">
        <x:v>Par 3 Course</x:v>
      </x:c>
      <x:c r="F27" s="30" t="str">
        <x:v>United Arab Emirates</x:v>
      </x:c>
      <x:c r="G27" s="30" t="str">
        <x:v>Dubai</x:v>
      </x:c>
      <x:c r="H27" s="30" t="str">
        <x:v>Emirates Hills</x:v>
      </x:c>
      <x:c r="I27" s="30" t="str">
        <x:v>Dubai</x:v>
      </x:c>
      <x:c r="J27" s="30"/>
      <x:c r="K27" s="32" t="n">
        <x:v>25.067553</x:v>
      </x:c>
      <x:c r="L27" s="32" t="n">
        <x:v>55.162096</x:v>
      </x:c>
      <x:c r="M27" s="30" t="str">
        <x:v>WGS84 / EPSG:4326</x:v>
      </x:c>
      <x:c r="N27" s="30" t="str">
        <x:v>Verified golf course/facility feature</x:v>
      </x:c>
      <x:c r="O27" s="30" t="str">
        <x:v>2026-08-15</x:v>
      </x:c>
      <x:c r="P27" s="33" t="n">
        <x:v>616</x:v>
      </x:c>
      <x:c r="Q27" s="33" t="n">
        <x:f>IF(P27="","",ROUND(P27*0.9144,0))</x:f>
        <x:v>563</x:v>
      </x:c>
      <x:c r="R27" s="33" t="n">
        <x:v>9</x:v>
      </x:c>
      <x:c r="S27" s="33" t="n">
        <x:v>27</x:v>
      </x:c>
      <x:c r="T27" s="30" t="str">
        <x:v>Par-3 / floodlit</x:v>
      </x:c>
      <x:c r="U27" s="30"/>
      <x:c r="V27" s="30" t="str">
        <x:v>European Golf Design</x:v>
      </x:c>
      <x:c r="W27" s="30" t="n">
        <x:v>2024</x:v>
      </x:c>
      <x:c r="X27" s="30" t="str">
        <x:v>https://www.montgomeriegolfclubdubai.com/</x:v>
      </x:c>
      <x:c r="Y27" s="30" t="b">
        <x:f>IF(AND(C27&lt;&gt;"",ISNUMBER(K27),ISNUMBER(L27),K27&gt;=22.5,K27&lt;=26.5,L27&gt;=51,L27&lt;=56.5,AB27&lt;&gt;"Closed"),TRUE,FALSE)</x:f>
        <x:v>1</x:v>
      </x:c>
      <x:c r="Z27" s="30" t="b">
        <x:f>Y27</x:f>
        <x:v>1</x:v>
      </x:c>
      <x:c r="AA27" s="30" t="str">
        <x:f>IF(Y27,"verified_coordinate_and_open",IF(AB27="Closed","closed",IF(OR(K27="",L27=""),"missing_coordinates","coordinate_or_identity_check")))</x:f>
        <x:v>verified_coordinate_and_open</x:v>
      </x:c>
      <x:c r="AB27" s="30" t="str">
        <x:v>Open</x:v>
      </x:c>
      <x:c r="AC27" s="30" t="str">
        <x:v>Public / visitor booking</x:v>
      </x:c>
      <x:c r="AD27" s="31" t="b">
        <x:v>0</x:v>
      </x:c>
      <x:c r="AE27" s="30"/>
      <x:c r="AF27" s="30"/>
      <x:c r="AG27" s="30"/>
      <x:c r="AH27" s="31" t="b">
        <x:v>0</x:v>
      </x:c>
      <x:c r="AI27" s="31" t="b">
        <x:v>0</x:v>
      </x:c>
      <x:c r="AJ27" s="30" t="str">
        <x:v>Verified — official/current exact source</x:v>
      </x:c>
      <x:c r="AK27" s="30" t="str">
        <x:v>https://www.montgomeriegolfclubdubai.com/academy-facilities/</x:v>
      </x:c>
      <x:c r="AL27" s="30" t="str">
        <x:v>2026-08-15</x:v>
      </x:c>
      <x:c r="AM27" s="30" t="str">
        <x:v>Redesigned short course reopened in 2024; 616-yard total independently corroborated by the cited current report in Source_Records.</x:v>
      </x:c>
    </x:row>
    <x:row r="28">
      <x:c r="A28" s="30" t="str">
        <x:v>AE-C0017</x:v>
      </x:c>
      <x:c r="B28" s="30" t="str">
        <x:v>AE-0027</x:v>
      </x:c>
      <x:c r="C28" s="30" t="str">
        <x:v>The Els Club Dubai</x:v>
      </x:c>
      <x:c r="D28" s="30" t="str">
        <x:v>The Els Club Dubai</x:v>
      </x:c>
      <x:c r="E28" s="30" t="str">
        <x:v>The Els Course</x:v>
      </x:c>
      <x:c r="F28" s="30" t="str">
        <x:v>United Arab Emirates</x:v>
      </x:c>
      <x:c r="G28" s="30" t="str">
        <x:v>Dubai</x:v>
      </x:c>
      <x:c r="H28" s="30" t="str">
        <x:v>Dubai Sports City</x:v>
      </x:c>
      <x:c r="I28" s="30" t="str">
        <x:v>Dubai</x:v>
      </x:c>
      <x:c r="J28" s="30"/>
      <x:c r="K28" s="32" t="n">
        <x:v>25.03126</x:v>
      </x:c>
      <x:c r="L28" s="32" t="n">
        <x:v>55.218015</x:v>
      </x:c>
      <x:c r="M28" s="30" t="str">
        <x:v>WGS84 / EPSG:4326</x:v>
      </x:c>
      <x:c r="N28" s="30" t="str">
        <x:v>Verified golf course/facility feature</x:v>
      </x:c>
      <x:c r="O28" s="30" t="str">
        <x:v>2026-08-15</x:v>
      </x:c>
      <x:c r="P28" s="33" t="n">
        <x:v>7538</x:v>
      </x:c>
      <x:c r="Q28" s="33" t="n">
        <x:f>IF(P28="","",ROUND(P28*0.9144,0))</x:f>
        <x:v>6893</x:v>
      </x:c>
      <x:c r="R28" s="33" t="n">
        <x:v>18</x:v>
      </x:c>
      <x:c r="S28" s="33" t="n">
        <x:v>72</x:v>
      </x:c>
      <x:c r="T28" s="30" t="str">
        <x:v>Links-style desert</x:v>
      </x:c>
      <x:c r="U28" s="30" t="str">
        <x:v>Ernie Els</x:v>
      </x:c>
      <x:c r="V28" s="30"/>
      <x:c r="W28" s="30" t="n">
        <x:v>2008</x:v>
      </x:c>
      <x:c r="X28" s="30" t="str">
        <x:v>https://www.elsclubdubai.com/</x:v>
      </x:c>
      <x:c r="Y28" s="30" t="b">
        <x:f>IF(AND(C28&lt;&gt;"",ISNUMBER(K28),ISNUMBER(L28),K28&gt;=22.5,K28&lt;=26.5,L28&gt;=51,L28&lt;=56.5,AB28&lt;&gt;"Closed"),TRUE,FALSE)</x:f>
        <x:v>1</x:v>
      </x:c>
      <x:c r="Z28" s="30" t="b">
        <x:f>Y28</x:f>
        <x:v>1</x:v>
      </x:c>
      <x:c r="AA28" s="30" t="str">
        <x:f>IF(Y28,"verified_coordinate_and_open",IF(AB28="Closed","closed",IF(OR(K28="",L28=""),"missing_coordinates","coordinate_or_identity_check")))</x:f>
        <x:v>verified_coordinate_and_open</x:v>
      </x:c>
      <x:c r="AB28" s="30" t="str">
        <x:v>Open</x:v>
      </x:c>
      <x:c r="AC28" s="30" t="str">
        <x:v>Public / visitor booking</x:v>
      </x:c>
      <x:c r="AD28" s="31" t="b">
        <x:v>0</x:v>
      </x:c>
      <x:c r="AE28" s="30"/>
      <x:c r="AF28" s="30"/>
      <x:c r="AG28" s="30"/>
      <x:c r="AH28" s="31" t="b">
        <x:v>0</x:v>
      </x:c>
      <x:c r="AI28" s="31" t="b">
        <x:v>0</x:v>
      </x:c>
      <x:c r="AJ28" s="30" t="str">
        <x:v>Verified — official/current exact source</x:v>
      </x:c>
      <x:c r="AK28" s="30" t="str">
        <x:v>https://www.where2golf.com/uae/the-els-club-dubai-sports-city/</x:v>
      </x:c>
      <x:c r="AL28" s="30" t="str">
        <x:v>2026-08-15</x:v>
      </x:c>
      <x:c r="AM28" s="30" t="str">
        <x:v>Current back-tee specification.</x:v>
      </x:c>
    </x:row>
    <x:row r="29">
      <x:c r="A29" s="30" t="str">
        <x:v>AE-C0018</x:v>
      </x:c>
      <x:c r="B29" s="30" t="str">
        <x:v>AE-0028</x:v>
      </x:c>
      <x:c r="C29" s="30" t="str">
        <x:v>The Track, Meydan Golf</x:v>
      </x:c>
      <x:c r="D29" s="30" t="str">
        <x:v>The Track, Meydan Golf</x:v>
      </x:c>
      <x:c r="E29" s="30" t="str">
        <x:v>The Track</x:v>
      </x:c>
      <x:c r="F29" s="30" t="str">
        <x:v>United Arab Emirates</x:v>
      </x:c>
      <x:c r="G29" s="30" t="str">
        <x:v>Dubai</x:v>
      </x:c>
      <x:c r="H29" s="30" t="str">
        <x:v>Nad Al Sheba</x:v>
      </x:c>
      <x:c r="I29" s="30" t="str">
        <x:v>Dubai</x:v>
      </x:c>
      <x:c r="J29" s="30"/>
      <x:c r="K29" s="32" t="n">
        <x:v>25.160546</x:v>
      </x:c>
      <x:c r="L29" s="32" t="n">
        <x:v>55.303913</x:v>
      </x:c>
      <x:c r="M29" s="30" t="str">
        <x:v>WGS84 / EPSG:4326</x:v>
      </x:c>
      <x:c r="N29" s="30" t="str">
        <x:v>Verified golf course/facility feature</x:v>
      </x:c>
      <x:c r="O29" s="30" t="str">
        <x:v>2026-08-15</x:v>
      </x:c>
      <x:c r="P29" s="33" t="n">
        <x:v>3667</x:v>
      </x:c>
      <x:c r="Q29" s="33" t="n">
        <x:f>IF(P29="","",ROUND(P29*0.9144,0))</x:f>
        <x:v>3353</x:v>
      </x:c>
      <x:c r="R29" s="33" t="n">
        <x:v>9</x:v>
      </x:c>
      <x:c r="S29" s="33" t="n">
        <x:v>36</x:v>
      </x:c>
      <x:c r="T29" s="30" t="str">
        <x:v>Parkland / floodlit</x:v>
      </x:c>
      <x:c r="U29" s="30" t="str">
        <x:v>Peter Harradine</x:v>
      </x:c>
      <x:c r="V29" s="30"/>
      <x:c r="W29" s="30" t="n">
        <x:v>2012</x:v>
      </x:c>
      <x:c r="X29" s="30" t="str">
        <x:v>https://www.meydangolf.com/</x:v>
      </x:c>
      <x:c r="Y29" s="30" t="b">
        <x:f>IF(AND(C29&lt;&gt;"",ISNUMBER(K29),ISNUMBER(L29),K29&gt;=22.5,K29&lt;=26.5,L29&gt;=51,L29&lt;=56.5,AB29&lt;&gt;"Closed"),TRUE,FALSE)</x:f>
        <x:v>1</x:v>
      </x:c>
      <x:c r="Z29" s="30" t="b">
        <x:f>Y29</x:f>
        <x:v>1</x:v>
      </x:c>
      <x:c r="AA29" s="30" t="str">
        <x:f>IF(Y29,"verified_coordinate_and_open",IF(AB29="Closed","closed",IF(OR(K29="",L29=""),"missing_coordinates","coordinate_or_identity_check")))</x:f>
        <x:v>verified_coordinate_and_open</x:v>
      </x:c>
      <x:c r="AB29" s="30" t="str">
        <x:v>Open</x:v>
      </x:c>
      <x:c r="AC29" s="30" t="str">
        <x:v>Public / visitor booking</x:v>
      </x:c>
      <x:c r="AD29" s="31" t="b">
        <x:v>0</x:v>
      </x:c>
      <x:c r="AE29" s="30"/>
      <x:c r="AF29" s="30"/>
      <x:c r="AG29" s="30"/>
      <x:c r="AH29" s="31" t="b">
        <x:v>0</x:v>
      </x:c>
      <x:c r="AI29" s="31" t="b">
        <x:v>0</x:v>
      </x:c>
      <x:c r="AJ29" s="30" t="str">
        <x:v>Verified — official/current exact source</x:v>
      </x:c>
      <x:c r="AK29" s="30" t="str">
        <x:v>https://www.meydangolf.com/play/</x:v>
      </x:c>
      <x:c r="AL29" s="30" t="str">
        <x:v>2026-08-15</x:v>
      </x:c>
      <x:c r="AM29" s="30" t="str">
        <x:v>Current official course specification.</x:v>
      </x:c>
    </x:row>
    <x:row r="30">
      <x:c r="A30" s="30" t="str">
        <x:v>AE-C0019</x:v>
      </x:c>
      <x:c r="B30" s="30" t="str">
        <x:v>AE-0029</x:v>
      </x:c>
      <x:c r="C30" s="30" t="str">
        <x:v>Trump International Golf Club Dubai — Championship Course</x:v>
      </x:c>
      <x:c r="D30" s="30" t="str">
        <x:v>Trump International Golf Club Dubai</x:v>
      </x:c>
      <x:c r="E30" s="30" t="str">
        <x:v>Championship Course</x:v>
      </x:c>
      <x:c r="F30" s="30" t="str">
        <x:v>United Arab Emirates</x:v>
      </x:c>
      <x:c r="G30" s="30" t="str">
        <x:v>Dubai</x:v>
      </x:c>
      <x:c r="H30" s="30" t="str">
        <x:v>DAMAC Hills</x:v>
      </x:c>
      <x:c r="I30" s="30" t="str">
        <x:v>Dubai</x:v>
      </x:c>
      <x:c r="J30" s="30"/>
      <x:c r="K30" s="32" t="n">
        <x:v>25.024487</x:v>
      </x:c>
      <x:c r="L30" s="32" t="n">
        <x:v>55.253546</x:v>
      </x:c>
      <x:c r="M30" s="30" t="str">
        <x:v>WGS84 / EPSG:4326</x:v>
      </x:c>
      <x:c r="N30" s="30" t="str">
        <x:v>Verified golf course/facility feature</x:v>
      </x:c>
      <x:c r="O30" s="30" t="str">
        <x:v>2026-08-15</x:v>
      </x:c>
      <x:c r="P30" s="33" t="n">
        <x:v>7299</x:v>
      </x:c>
      <x:c r="Q30" s="33" t="n">
        <x:f>IF(P30="","",ROUND(P30*0.9144,0))</x:f>
        <x:v>6674</x:v>
      </x:c>
      <x:c r="R30" s="33" t="n">
        <x:v>18</x:v>
      </x:c>
      <x:c r="S30" s="33" t="n">
        <x:v>71</x:v>
      </x:c>
      <x:c r="T30" s="30" t="str">
        <x:v>Desert</x:v>
      </x:c>
      <x:c r="U30" s="30" t="str">
        <x:v>Gil Hanse and Jim Wagner</x:v>
      </x:c>
      <x:c r="V30" s="30"/>
      <x:c r="W30" s="30" t="n">
        <x:v>2017</x:v>
      </x:c>
      <x:c r="X30" s="30" t="str">
        <x:v>https://www.trumpgolfdubai.com/</x:v>
      </x:c>
      <x:c r="Y30" s="30" t="b">
        <x:f>IF(AND(C30&lt;&gt;"",ISNUMBER(K30),ISNUMBER(L30),K30&gt;=22.5,K30&lt;=26.5,L30&gt;=51,L30&lt;=56.5,AB30&lt;&gt;"Closed"),TRUE,FALSE)</x:f>
        <x:v>1</x:v>
      </x:c>
      <x:c r="Z30" s="30" t="b">
        <x:f>Y30</x:f>
        <x:v>1</x:v>
      </x:c>
      <x:c r="AA30" s="30" t="str">
        <x:f>IF(Y30,"verified_coordinate_and_open",IF(AB30="Closed","closed",IF(OR(K30="",L30=""),"missing_coordinates","coordinate_or_identity_check")))</x:f>
        <x:v>verified_coordinate_and_open</x:v>
      </x:c>
      <x:c r="AB30" s="30" t="str">
        <x:v>Open</x:v>
      </x:c>
      <x:c r="AC30" s="30" t="str">
        <x:v>Public / visitor booking</x:v>
      </x:c>
      <x:c r="AD30" s="31" t="b">
        <x:v>0</x:v>
      </x:c>
      <x:c r="AE30" s="30"/>
      <x:c r="AF30" s="30"/>
      <x:c r="AG30" s="30"/>
      <x:c r="AH30" s="31" t="b">
        <x:v>0</x:v>
      </x:c>
      <x:c r="AI30" s="31" t="b">
        <x:v>0</x:v>
      </x:c>
      <x:c r="AJ30" s="30" t="str">
        <x:v>Verified — official/current exact source</x:v>
      </x:c>
      <x:c r="AK30" s="30" t="str">
        <x:v>https://www.where2golf.com/uae/trump-international-golf-club-dubai/</x:v>
      </x:c>
      <x:c r="AL30" s="30" t="str">
        <x:v>2026-08-15</x:v>
      </x:c>
      <x:c r="AM30" s="30" t="str">
        <x:v>Current back-tee specification.</x:v>
      </x:c>
    </x:row>
    <x:row r="31">
      <x:c r="A31" s="30" t="str">
        <x:v>AE-C0019</x:v>
      </x:c>
      <x:c r="B31" s="30" t="str">
        <x:v>AE-0030</x:v>
      </x:c>
      <x:c r="C31" s="30" t="str">
        <x:v>Trump International Golf Club Dubai — Academy Par 3 Course</x:v>
      </x:c>
      <x:c r="D31" s="30" t="str">
        <x:v>Trump International Golf Club Dubai</x:v>
      </x:c>
      <x:c r="E31" s="30" t="str">
        <x:v>Academy Par 3 Course</x:v>
      </x:c>
      <x:c r="F31" s="30" t="str">
        <x:v>United Arab Emirates</x:v>
      </x:c>
      <x:c r="G31" s="30" t="str">
        <x:v>Dubai</x:v>
      </x:c>
      <x:c r="H31" s="30" t="str">
        <x:v>DAMAC Hills</x:v>
      </x:c>
      <x:c r="I31" s="30" t="str">
        <x:v>Dubai</x:v>
      </x:c>
      <x:c r="J31" s="30"/>
      <x:c r="K31" s="32" t="n">
        <x:v>25.024487</x:v>
      </x:c>
      <x:c r="L31" s="32" t="n">
        <x:v>55.253546</x:v>
      </x:c>
      <x:c r="M31" s="30" t="str">
        <x:v>WGS84 / EPSG:4326</x:v>
      </x:c>
      <x:c r="N31" s="30" t="str">
        <x:v>Verified golf course/facility feature</x:v>
      </x:c>
      <x:c r="O31" s="30" t="str">
        <x:v>2026-08-15</x:v>
      </x:c>
      <x:c r="P31" s="33" t="n">
        <x:v>1257</x:v>
      </x:c>
      <x:c r="Q31" s="33" t="n">
        <x:f>IF(P31="","",ROUND(P31*0.9144,0))</x:f>
        <x:v>1149</x:v>
      </x:c>
      <x:c r="R31" s="33" t="n">
        <x:v>9</x:v>
      </x:c>
      <x:c r="S31" s="33" t="n">
        <x:v>27</x:v>
      </x:c>
      <x:c r="T31" s="30" t="str">
        <x:v>Par-3 / floodlit</x:v>
      </x:c>
      <x:c r="U31" s="30" t="str">
        <x:v>Gil Hanse and Jim Wagner</x:v>
      </x:c>
      <x:c r="V31" s="30"/>
      <x:c r="W31" s="30" t="n">
        <x:v>2017</x:v>
      </x:c>
      <x:c r="X31" s="30" t="str">
        <x:v>https://www.trumpgolfdubai.com/</x:v>
      </x:c>
      <x:c r="Y31" s="30" t="b">
        <x:f>IF(AND(C31&lt;&gt;"",ISNUMBER(K31),ISNUMBER(L31),K31&gt;=22.5,K31&lt;=26.5,L31&gt;=51,L31&lt;=56.5,AB31&lt;&gt;"Closed"),TRUE,FALSE)</x:f>
        <x:v>1</x:v>
      </x:c>
      <x:c r="Z31" s="30" t="b">
        <x:f>Y31</x:f>
        <x:v>1</x:v>
      </x:c>
      <x:c r="AA31" s="30" t="str">
        <x:f>IF(Y31,"verified_coordinate_and_open",IF(AB31="Closed","closed",IF(OR(K31="",L31=""),"missing_coordinates","coordinate_or_identity_check")))</x:f>
        <x:v>verified_coordinate_and_open</x:v>
      </x:c>
      <x:c r="AB31" s="30" t="str">
        <x:v>Open</x:v>
      </x:c>
      <x:c r="AC31" s="30" t="str">
        <x:v>Public / visitor booking</x:v>
      </x:c>
      <x:c r="AD31" s="31" t="b">
        <x:v>0</x:v>
      </x:c>
      <x:c r="AE31" s="30"/>
      <x:c r="AF31" s="30"/>
      <x:c r="AG31" s="30"/>
      <x:c r="AH31" s="31" t="b">
        <x:v>0</x:v>
      </x:c>
      <x:c r="AI31" s="31" t="b">
        <x:v>0</x:v>
      </x:c>
      <x:c r="AJ31" s="30" t="str">
        <x:v>Verified — official/current exact source</x:v>
      </x:c>
      <x:c r="AK31" s="30" t="str">
        <x:v>https://www.where2golf.com/uae/trump-international-golf-club-dubai/</x:v>
      </x:c>
      <x:c r="AL31" s="30" t="str">
        <x:v>2026-08-15</x:v>
      </x:c>
      <x:c r="AM31" s="30" t="str">
        <x:v>Separate academy layout; exact current directory total.</x:v>
      </x:c>
    </x:row>
    <x:row r="32">
      <x:c r="A32" s="30" t="str">
        <x:v>AE-C0020</x:v>
      </x:c>
      <x:c r="B32" s="30" t="str">
        <x:v>AE-0031</x:v>
      </x:c>
      <x:c r="C32" s="30" t="str">
        <x:v>Sharjah Golf &amp; Shooting Club</x:v>
      </x:c>
      <x:c r="D32" s="30" t="str">
        <x:v>Sharjah Golf &amp; Shooting Club</x:v>
      </x:c>
      <x:c r="E32" s="30" t="str">
        <x:v>Sharjah Course</x:v>
      </x:c>
      <x:c r="F32" s="30" t="str">
        <x:v>United Arab Emirates</x:v>
      </x:c>
      <x:c r="G32" s="30" t="str">
        <x:v>Sharjah</x:v>
      </x:c>
      <x:c r="H32" s="30" t="str">
        <x:v>Sheikh Mohammed Bin Zayed Road</x:v>
      </x:c>
      <x:c r="I32" s="30" t="str">
        <x:v>Sharjah</x:v>
      </x:c>
      <x:c r="J32" s="30"/>
      <x:c r="K32" s="32" t="n">
        <x:v>25.35371</x:v>
      </x:c>
      <x:c r="L32" s="32" t="n">
        <x:v>55.48812</x:v>
      </x:c>
      <x:c r="M32" s="30" t="str">
        <x:v>WGS84 / EPSG:4326</x:v>
      </x:c>
      <x:c r="N32" s="30" t="str">
        <x:v>Verified golf course/facility feature</x:v>
      </x:c>
      <x:c r="O32" s="30" t="str">
        <x:v>2026-08-15</x:v>
      </x:c>
      <x:c r="P32" s="33" t="n">
        <x:v>3599</x:v>
      </x:c>
      <x:c r="Q32" s="33" t="n">
        <x:f>IF(P32="","",ROUND(P32*0.9144,0))</x:f>
        <x:v>3291</x:v>
      </x:c>
      <x:c r="R32" s="33" t="n">
        <x:v>9</x:v>
      </x:c>
      <x:c r="S32" s="33" t="n">
        <x:v>36</x:v>
      </x:c>
      <x:c r="T32" s="30" t="str">
        <x:v>Parkland / floodlit</x:v>
      </x:c>
      <x:c r="U32" s="30" t="str">
        <x:v>Peter Harradine</x:v>
      </x:c>
      <x:c r="V32" s="30"/>
      <x:c r="W32" s="30" t="n">
        <x:v>2005</x:v>
      </x:c>
      <x:c r="X32" s="30" t="str">
        <x:v>https://golfandshootingshj.com/</x:v>
      </x:c>
      <x:c r="Y32" s="30" t="b">
        <x:f>IF(AND(C32&lt;&gt;"",ISNUMBER(K32),ISNUMBER(L32),K32&gt;=22.5,K32&lt;=26.5,L32&gt;=51,L32&lt;=56.5,AB32&lt;&gt;"Closed"),TRUE,FALSE)</x:f>
        <x:v>1</x:v>
      </x:c>
      <x:c r="Z32" s="30" t="b">
        <x:f>Y32</x:f>
        <x:v>1</x:v>
      </x:c>
      <x:c r="AA32" s="30" t="str">
        <x:f>IF(Y32,"verified_coordinate_and_open",IF(AB32="Closed","closed",IF(OR(K32="",L32=""),"missing_coordinates","coordinate_or_identity_check")))</x:f>
        <x:v>verified_coordinate_and_open</x:v>
      </x:c>
      <x:c r="AB32" s="30" t="str">
        <x:v>Open</x:v>
      </x:c>
      <x:c r="AC32" s="30" t="str">
        <x:v>Public / visitor booking</x:v>
      </x:c>
      <x:c r="AD32" s="31" t="b">
        <x:v>0</x:v>
      </x:c>
      <x:c r="AE32" s="30"/>
      <x:c r="AF32" s="30"/>
      <x:c r="AG32" s="30"/>
      <x:c r="AH32" s="31" t="b">
        <x:v>0</x:v>
      </x:c>
      <x:c r="AI32" s="31" t="b">
        <x:v>0</x:v>
      </x:c>
      <x:c r="AJ32" s="30" t="str">
        <x:v>Verified — official/current exact source</x:v>
      </x:c>
      <x:c r="AK32" s="30" t="str">
        <x:v>https://www.1golf.eu/en/club/sharjah-golf-and-shooting-club/</x:v>
      </x:c>
      <x:c r="AL32" s="30" t="str">
        <x:v>2026-08-15</x:v>
      </x:c>
      <x:c r="AM32" s="30" t="str">
        <x:v>Physical nine-hole layout. Some sources publish the twice-around 18-hole total; this record stores the single-loop specification.</x:v>
      </x:c>
    </x:row>
    <x:row r="33">
      <x:c r="A33" s="30" t="str">
        <x:v>AE-C0021</x:v>
      </x:c>
      <x:c r="B33" s="30" t="str">
        <x:v>AE-0032</x:v>
      </x:c>
      <x:c r="C33" s="30" t="str">
        <x:v>Al Hamra Golf Club</x:v>
      </x:c>
      <x:c r="D33" s="30" t="str">
        <x:v>Al Hamra Golf Club</x:v>
      </x:c>
      <x:c r="E33" s="30" t="str">
        <x:v>Al Hamra Course</x:v>
      </x:c>
      <x:c r="F33" s="30" t="str">
        <x:v>United Arab Emirates</x:v>
      </x:c>
      <x:c r="G33" s="30" t="str">
        <x:v>Ras Al Khaimah</x:v>
      </x:c>
      <x:c r="H33" s="30" t="str">
        <x:v>Al Hamra Village</x:v>
      </x:c>
      <x:c r="I33" s="30" t="str">
        <x:v>Ras Al Khaimah</x:v>
      </x:c>
      <x:c r="J33" s="30"/>
      <x:c r="K33" s="32" t="n">
        <x:v>25.689375</x:v>
      </x:c>
      <x:c r="L33" s="32" t="n">
        <x:v>55.776815</x:v>
      </x:c>
      <x:c r="M33" s="30" t="str">
        <x:v>WGS84 / EPSG:4326</x:v>
      </x:c>
      <x:c r="N33" s="30" t="str">
        <x:v>Verified golf course/facility feature</x:v>
      </x:c>
      <x:c r="O33" s="30" t="str">
        <x:v>2026-08-15</x:v>
      </x:c>
      <x:c r="P33" s="33" t="n">
        <x:v>7400</x:v>
      </x:c>
      <x:c r="Q33" s="33" t="n">
        <x:f>IF(P33="","",ROUND(P33*0.9144,0))</x:f>
        <x:v>6767</x:v>
      </x:c>
      <x:c r="R33" s="33" t="n">
        <x:v>18</x:v>
      </x:c>
      <x:c r="S33" s="33" t="n">
        <x:v>72</x:v>
      </x:c>
      <x:c r="T33" s="30" t="str">
        <x:v>Coastal parkland</x:v>
      </x:c>
      <x:c r="U33" s="30" t="str">
        <x:v>Peter Harradine</x:v>
      </x:c>
      <x:c r="V33" s="30"/>
      <x:c r="W33" s="30" t="n">
        <x:v>2007</x:v>
      </x:c>
      <x:c r="X33" s="30" t="str">
        <x:v>https://www.alhamragolf.com/</x:v>
      </x:c>
      <x:c r="Y33" s="30" t="b">
        <x:f>IF(AND(C33&lt;&gt;"",ISNUMBER(K33),ISNUMBER(L33),K33&gt;=22.5,K33&lt;=26.5,L33&gt;=51,L33&lt;=56.5,AB33&lt;&gt;"Closed"),TRUE,FALSE)</x:f>
        <x:v>1</x:v>
      </x:c>
      <x:c r="Z33" s="30" t="b">
        <x:f>Y33</x:f>
        <x:v>1</x:v>
      </x:c>
      <x:c r="AA33" s="30" t="str">
        <x:f>IF(Y33,"verified_coordinate_and_open",IF(AB33="Closed","closed",IF(OR(K33="",L33=""),"missing_coordinates","coordinate_or_identity_check")))</x:f>
        <x:v>verified_coordinate_and_open</x:v>
      </x:c>
      <x:c r="AB33" s="30" t="str">
        <x:v>Open</x:v>
      </x:c>
      <x:c r="AC33" s="30" t="str">
        <x:v>Public / visitor booking</x:v>
      </x:c>
      <x:c r="AD33" s="31" t="b">
        <x:v>0</x:v>
      </x:c>
      <x:c r="AE33" s="30"/>
      <x:c r="AF33" s="30"/>
      <x:c r="AG33" s="30"/>
      <x:c r="AH33" s="31" t="b">
        <x:v>0</x:v>
      </x:c>
      <x:c r="AI33" s="31" t="b">
        <x:v>0</x:v>
      </x:c>
      <x:c r="AJ33" s="30" t="str">
        <x:v>Verified — official/current exact source</x:v>
      </x:c>
      <x:c r="AK33" s="30" t="str">
        <x:v>https://www.alhamragolf.com/golf-course</x:v>
      </x:c>
      <x:c r="AL33" s="30" t="str">
        <x:v>2026-08-15</x:v>
      </x:c>
      <x:c r="AM33" s="30" t="str">
        <x:v>Current official club specification.</x:v>
      </x:c>
    </x:row>
    <x:row r="34">
      <x:c r="A34" s="30" t="str">
        <x:v>AE-C0022</x:v>
      </x:c>
      <x:c r="B34" s="30" t="str">
        <x:v>AE-0033</x:v>
      </x:c>
      <x:c r="C34" s="30" t="str">
        <x:v>Tower Links Golf Club</x:v>
      </x:c>
      <x:c r="D34" s="30" t="str">
        <x:v>Tower Links Golf Club</x:v>
      </x:c>
      <x:c r="E34" s="30" t="str">
        <x:v>Tower Links Course</x:v>
      </x:c>
      <x:c r="F34" s="30" t="str">
        <x:v>United Arab Emirates</x:v>
      </x:c>
      <x:c r="G34" s="30" t="str">
        <x:v>Ras Al Khaimah</x:v>
      </x:c>
      <x:c r="H34" s="30" t="str">
        <x:v>Khuzam</x:v>
      </x:c>
      <x:c r="I34" s="30" t="str">
        <x:v>Ras Al Khaimah</x:v>
      </x:c>
      <x:c r="J34" s="30"/>
      <x:c r="K34" s="32" t="n">
        <x:v>25.763334</x:v>
      </x:c>
      <x:c r="L34" s="32" t="n">
        <x:v>55.956448</x:v>
      </x:c>
      <x:c r="M34" s="30" t="str">
        <x:v>WGS84 / EPSG:4326</x:v>
      </x:c>
      <x:c r="N34" s="30" t="str">
        <x:v>Verified golf course/facility feature</x:v>
      </x:c>
      <x:c r="O34" s="30" t="str">
        <x:v>2026-08-15</x:v>
      </x:c>
      <x:c r="P34" s="33" t="n">
        <x:v>7209</x:v>
      </x:c>
      <x:c r="Q34" s="33" t="n">
        <x:f>IF(P34="","",ROUND(P34*0.9144,0))</x:f>
        <x:v>6592</x:v>
      </x:c>
      <x:c r="R34" s="33" t="n">
        <x:v>18</x:v>
      </x:c>
      <x:c r="S34" s="33" t="n">
        <x:v>72</x:v>
      </x:c>
      <x:c r="T34" s="30" t="str">
        <x:v>Desert / mangrove</x:v>
      </x:c>
      <x:c r="U34" s="30" t="str">
        <x:v>Gerald Williams</x:v>
      </x:c>
      <x:c r="V34" s="30"/>
      <x:c r="W34" s="30"/>
      <x:c r="X34" s="30" t="str">
        <x:v>https://towerlinks.ae/</x:v>
      </x:c>
      <x:c r="Y34" s="30" t="b">
        <x:f>IF(AND(C34&lt;&gt;"",ISNUMBER(K34),ISNUMBER(L34),K34&gt;=22.5,K34&lt;=26.5,L34&gt;=51,L34&lt;=56.5,AB34&lt;&gt;"Closed"),TRUE,FALSE)</x:f>
        <x:v>1</x:v>
      </x:c>
      <x:c r="Z34" s="30" t="b">
        <x:f>Y34</x:f>
        <x:v>1</x:v>
      </x:c>
      <x:c r="AA34" s="30" t="str">
        <x:f>IF(Y34,"verified_coordinate_and_open",IF(AB34="Closed","closed",IF(OR(K34="",L34=""),"missing_coordinates","coordinate_or_identity_check")))</x:f>
        <x:v>verified_coordinate_and_open</x:v>
      </x:c>
      <x:c r="AB34" s="30" t="str">
        <x:v>Open</x:v>
      </x:c>
      <x:c r="AC34" s="30" t="str">
        <x:v>Public / visitor booking</x:v>
      </x:c>
      <x:c r="AD34" s="31" t="b">
        <x:v>0</x:v>
      </x:c>
      <x:c r="AE34" s="30"/>
      <x:c r="AF34" s="30"/>
      <x:c r="AG34" s="30"/>
      <x:c r="AH34" s="31" t="b">
        <x:v>0</x:v>
      </x:c>
      <x:c r="AI34" s="31" t="b">
        <x:v>0</x:v>
      </x:c>
      <x:c r="AJ34" s="30" t="str">
        <x:v>Verified — official/current exact source</x:v>
      </x:c>
      <x:c r="AK34" s="30" t="str">
        <x:v>https://www.where2golf.com/uae/tower-links-golf-club/</x:v>
      </x:c>
      <x:c r="AL34" s="30" t="str">
        <x:v>2026-08-15</x:v>
      </x:c>
      <x:c r="AM34" s="30" t="str">
        <x:v>Current course-directory specification; opening year left blank because a sufficiently authoritative exact value was not located.</x:v>
      </x:c>
    </x:row>
  </x:sheetData>
  <x:pageMargins left="0.7" right="0.7" top="0.75" bottom="0.75" header="0.3" footer="0.3"/>
  <x:tableParts count="1">
    <x:tablePart xmlns:r="http://schemas.openxmlformats.org/officeDocument/2006/relationships" r:id="R280b656168124f0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1" hidden="0" customWidth="1"/>
    <x:col min="3" max="3" width="31" hidden="0" customWidth="1"/>
    <x:col min="4" max="4" width="31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36" hidden="0" customWidth="1"/>
    <x:col min="20" max="20" width="17" hidden="0" customWidth="1"/>
    <x:col min="21" max="21" width="17" hidden="0" customWidth="1"/>
    <x:col min="22" max="22" width="17" hidden="0" customWidth="1"/>
  </x:cols>
  <x:sheetData>
    <x:row r="1">
      <x:c r="A1" s="25" t="str">
        <x:v>hl_course_id</x:v>
      </x:c>
      <x:c r="B1" s="26" t="str">
        <x:v>display_name</x:v>
      </x:c>
      <x:c r="C1" s="26" t="str">
        <x:v>club_name</x:v>
      </x:c>
      <x:c r="D1" s="26" t="str">
        <x:v>course_name</x:v>
      </x:c>
      <x:c r="E1" s="26" t="str">
        <x:v>country</x:v>
      </x:c>
      <x:c r="F1" s="26" t="str">
        <x:v>region</x:v>
      </x:c>
      <x:c r="G1" s="26" t="str">
        <x:v>county</x:v>
      </x:c>
      <x:c r="H1" s="26" t="str">
        <x:v>town_city</x:v>
      </x:c>
      <x:c r="I1" s="26" t="str">
        <x:v>postal_code</x:v>
      </x:c>
      <x:c r="J1" s="26" t="str">
        <x:v>latitude</x:v>
      </x:c>
      <x:c r="K1" s="26" t="str">
        <x:v>longitude</x:v>
      </x:c>
      <x:c r="L1" s="26" t="str">
        <x:v>holes</x:v>
      </x:c>
      <x:c r="M1" s="26" t="str">
        <x:v>par</x:v>
      </x:c>
      <x:c r="N1" s="26" t="str">
        <x:v>length_yards</x:v>
      </x:c>
      <x:c r="O1" s="26" t="str">
        <x:v>length_metres</x:v>
      </x:c>
      <x:c r="P1" s="26" t="str">
        <x:v>course_type</x:v>
      </x:c>
      <x:c r="Q1" s="26" t="str">
        <x:v>access_type</x:v>
      </x:c>
      <x:c r="R1" s="26" t="str">
        <x:v>course_status</x:v>
      </x:c>
      <x:c r="S1" s="26" t="str">
        <x:v>official_website_url</x:v>
      </x:c>
      <x:c r="T1" s="26" t="str">
        <x:v>map_ready</x:v>
      </x:c>
      <x:c r="U1" s="26" t="str">
        <x:v>show_on_map</x:v>
      </x:c>
      <x:c r="V1" s="27" t="str">
        <x:v>verification_status</x:v>
      </x:c>
    </x:row>
    <x:row r="2">
      <x:c r="A2" s="28" t="str">
        <x:f>IF('Course_Master'!B2="","",'Course_Master'!B2)</x:f>
        <x:v>AE-0001</x:v>
      </x:c>
      <x:c r="B2" s="28" t="str">
        <x:f>IF('Course_Master'!C2="","",'Course_Master'!C2)</x:f>
        <x:v>Abu Dhabi Golf Club — National Course</x:v>
      </x:c>
      <x:c r="C2" s="28" t="str">
        <x:f>IF('Course_Master'!D2="","",'Course_Master'!D2)</x:f>
        <x:v>Abu Dhabi Golf Club</x:v>
      </x:c>
      <x:c r="D2" s="28" t="str">
        <x:f>IF('Course_Master'!E2="","",'Course_Master'!E2)</x:f>
        <x:v>National Course</x:v>
      </x:c>
      <x:c r="E2" s="28" t="str">
        <x:f>IF('Course_Master'!F2="","",'Course_Master'!F2)</x:f>
        <x:v>United Arab Emirates</x:v>
      </x:c>
      <x:c r="F2" s="28" t="str">
        <x:f>IF('Course_Master'!G2="","",'Course_Master'!G2)</x:f>
        <x:v>Abu Dhabi</x:v>
      </x:c>
      <x:c r="G2" s="28" t="str">
        <x:f>IF('Course_Master'!H2="","",'Course_Master'!H2)</x:f>
        <x:v>Khalifa City</x:v>
      </x:c>
      <x:c r="H2" s="28" t="str">
        <x:f>IF('Course_Master'!I2="","",'Course_Master'!I2)</x:f>
        <x:v>Abu Dhabi</x:v>
      </x:c>
      <x:c r="I2" s="28" t="str">
        <x:f>IF('Course_Master'!J2="","",'Course_Master'!J2)</x:f>
      </x:c>
      <x:c r="J2" s="34" t="n">
        <x:f>IF('Course_Master'!K2="","",'Course_Master'!K2)</x:f>
        <x:v>24.420424</x:v>
      </x:c>
      <x:c r="K2" s="34" t="n">
        <x:f>IF('Course_Master'!L2="","",'Course_Master'!L2)</x:f>
        <x:v>54.526922</x:v>
      </x:c>
      <x:c r="L2" s="28" t="n">
        <x:f>IF('Course_Master'!R2="","",'Course_Master'!R2)</x:f>
        <x:v>18</x:v>
      </x:c>
      <x:c r="M2" s="28" t="n">
        <x:f>IF('Course_Master'!S2="","",'Course_Master'!S2)</x:f>
        <x:v>72</x:v>
      </x:c>
      <x:c r="N2" s="28" t="n">
        <x:f>IF('Course_Master'!P2="","",'Course_Master'!P2)</x:f>
        <x:v>7600</x:v>
      </x:c>
      <x:c r="O2" s="28" t="n">
        <x:f>IF('Course_Master'!Q2="","",'Course_Master'!Q2)</x:f>
        <x:v>6949</x:v>
      </x:c>
      <x:c r="P2" s="28" t="str">
        <x:f>IF('Course_Master'!T2="","",'Course_Master'!T2)</x:f>
        <x:v>Parkland</x:v>
      </x:c>
      <x:c r="Q2" s="28" t="str">
        <x:f>IF('Course_Master'!AC2="","",'Course_Master'!AC2)</x:f>
        <x:v>Public / visitor booking</x:v>
      </x:c>
      <x:c r="R2" s="28" t="str">
        <x:f>IF('Course_Master'!AB2="","",'Course_Master'!AB2)</x:f>
        <x:v>Open</x:v>
      </x:c>
      <x:c r="S2" s="28" t="str">
        <x:f>IF('Course_Master'!X2="","",'Course_Master'!X2)</x:f>
        <x:v>https://www.abudhabigolfclub.abudhabi/</x:v>
      </x:c>
      <x:c r="T2" s="28" t="b">
        <x:f>IF('Course_Master'!Y2="","",'Course_Master'!Y2)</x:f>
        <x:v>1</x:v>
      </x:c>
      <x:c r="U2" s="28" t="b">
        <x:f>IF('Course_Master'!Z2="","",'Course_Master'!Z2)</x:f>
        <x:v>1</x:v>
      </x:c>
      <x:c r="V2" s="28" t="str">
        <x:f>IF('Course_Master'!AJ2="","",'Course_Master'!AJ2)</x:f>
        <x:v>Verified — official/current exact source</x:v>
      </x:c>
    </x:row>
    <x:row r="3">
      <x:c r="A3" s="28" t="str">
        <x:f>IF('Course_Master'!B3="","",'Course_Master'!B3)</x:f>
        <x:v>AE-0002</x:v>
      </x:c>
      <x:c r="B3" s="28" t="str">
        <x:f>IF('Course_Master'!C3="","",'Course_Master'!C3)</x:f>
        <x:v>Abu Dhabi Golf Club — Garden Course</x:v>
      </x:c>
      <x:c r="C3" s="28" t="str">
        <x:f>IF('Course_Master'!D3="","",'Course_Master'!D3)</x:f>
        <x:v>Abu Dhabi Golf Club</x:v>
      </x:c>
      <x:c r="D3" s="28" t="str">
        <x:f>IF('Course_Master'!E3="","",'Course_Master'!E3)</x:f>
        <x:v>Garden Course</x:v>
      </x:c>
      <x:c r="E3" s="28" t="str">
        <x:f>IF('Course_Master'!F3="","",'Course_Master'!F3)</x:f>
        <x:v>United Arab Emirates</x:v>
      </x:c>
      <x:c r="F3" s="28" t="str">
        <x:f>IF('Course_Master'!G3="","",'Course_Master'!G3)</x:f>
        <x:v>Abu Dhabi</x:v>
      </x:c>
      <x:c r="G3" s="28" t="str">
        <x:f>IF('Course_Master'!H3="","",'Course_Master'!H3)</x:f>
        <x:v>Khalifa City</x:v>
      </x:c>
      <x:c r="H3" s="28" t="str">
        <x:f>IF('Course_Master'!I3="","",'Course_Master'!I3)</x:f>
        <x:v>Abu Dhabi</x:v>
      </x:c>
      <x:c r="I3" s="28" t="str">
        <x:f>IF('Course_Master'!J3="","",'Course_Master'!J3)</x:f>
      </x:c>
      <x:c r="J3" s="34" t="n">
        <x:f>IF('Course_Master'!K3="","",'Course_Master'!K3)</x:f>
        <x:v>24.420424</x:v>
      </x:c>
      <x:c r="K3" s="34" t="n">
        <x:f>IF('Course_Master'!L3="","",'Course_Master'!L3)</x:f>
        <x:v>54.526922</x:v>
      </x:c>
      <x:c r="L3" s="28" t="n">
        <x:f>IF('Course_Master'!R3="","",'Course_Master'!R3)</x:f>
        <x:v>9</x:v>
      </x:c>
      <x:c r="M3" s="28" t="n">
        <x:f>IF('Course_Master'!S3="","",'Course_Master'!S3)</x:f>
        <x:v>36</x:v>
      </x:c>
      <x:c r="N3" s="28" t="n">
        <x:f>IF('Course_Master'!P3="","",'Course_Master'!P3)</x:f>
        <x:v>3341</x:v>
      </x:c>
      <x:c r="O3" s="28" t="n">
        <x:f>IF('Course_Master'!Q3="","",'Course_Master'!Q3)</x:f>
        <x:v>3055</x:v>
      </x:c>
      <x:c r="P3" s="28" t="str">
        <x:f>IF('Course_Master'!T3="","",'Course_Master'!T3)</x:f>
        <x:v>Parkland / floodlit</x:v>
      </x:c>
      <x:c r="Q3" s="28" t="str">
        <x:f>IF('Course_Master'!AC3="","",'Course_Master'!AC3)</x:f>
        <x:v>Public / visitor booking</x:v>
      </x:c>
      <x:c r="R3" s="28" t="str">
        <x:f>IF('Course_Master'!AB3="","",'Course_Master'!AB3)</x:f>
        <x:v>Open</x:v>
      </x:c>
      <x:c r="S3" s="28" t="str">
        <x:f>IF('Course_Master'!X3="","",'Course_Master'!X3)</x:f>
        <x:v>https://www.abudhabigolfclub.abudhabi/</x:v>
      </x:c>
      <x:c r="T3" s="28" t="b">
        <x:f>IF('Course_Master'!Y3="","",'Course_Master'!Y3)</x:f>
        <x:v>1</x:v>
      </x:c>
      <x:c r="U3" s="28" t="b">
        <x:f>IF('Course_Master'!Z3="","",'Course_Master'!Z3)</x:f>
        <x:v>1</x:v>
      </x:c>
      <x:c r="V3" s="28" t="str">
        <x:f>IF('Course_Master'!AJ3="","",'Course_Master'!AJ3)</x:f>
        <x:v>Verified — official/current exact source</x:v>
      </x:c>
    </x:row>
    <x:row r="4">
      <x:c r="A4" s="28" t="str">
        <x:f>IF('Course_Master'!B4="","",'Course_Master'!B4)</x:f>
        <x:v>AE-0003</x:v>
      </x:c>
      <x:c r="B4" s="28" t="str">
        <x:f>IF('Course_Master'!C4="","",'Course_Master'!C4)</x:f>
        <x:v>Abu Dhabi City Golf Club</x:v>
      </x:c>
      <x:c r="C4" s="28" t="str">
        <x:f>IF('Course_Master'!D4="","",'Course_Master'!D4)</x:f>
        <x:v>Abu Dhabi City Golf Club</x:v>
      </x:c>
      <x:c r="D4" s="28" t="str">
        <x:f>IF('Course_Master'!E4="","",'Course_Master'!E4)</x:f>
        <x:v>City Course</x:v>
      </x:c>
      <x:c r="E4" s="28" t="str">
        <x:f>IF('Course_Master'!F4="","",'Course_Master'!F4)</x:f>
        <x:v>United Arab Emirates</x:v>
      </x:c>
      <x:c r="F4" s="28" t="str">
        <x:f>IF('Course_Master'!G4="","",'Course_Master'!G4)</x:f>
        <x:v>Abu Dhabi</x:v>
      </x:c>
      <x:c r="G4" s="28" t="str">
        <x:f>IF('Course_Master'!H4="","",'Course_Master'!H4)</x:f>
        <x:v>Al Mushrif</x:v>
      </x:c>
      <x:c r="H4" s="28" t="str">
        <x:f>IF('Course_Master'!I4="","",'Course_Master'!I4)</x:f>
        <x:v>Abu Dhabi</x:v>
      </x:c>
      <x:c r="I4" s="28" t="str">
        <x:f>IF('Course_Master'!J4="","",'Course_Master'!J4)</x:f>
      </x:c>
      <x:c r="J4" s="34" t="n">
        <x:f>IF('Course_Master'!K4="","",'Course_Master'!K4)</x:f>
        <x:v>24.4432779</x:v>
      </x:c>
      <x:c r="K4" s="34" t="n">
        <x:f>IF('Course_Master'!L4="","",'Course_Master'!L4)</x:f>
        <x:v>54.3819826</x:v>
      </x:c>
      <x:c r="L4" s="28" t="n">
        <x:f>IF('Course_Master'!R4="","",'Course_Master'!R4)</x:f>
        <x:v>9</x:v>
      </x:c>
      <x:c r="M4" s="28" t="n">
        <x:f>IF('Course_Master'!S4="","",'Course_Master'!S4)</x:f>
        <x:v>35</x:v>
      </x:c>
      <x:c r="N4" s="28" t="n">
        <x:f>IF('Course_Master'!P4="","",'Course_Master'!P4)</x:f>
        <x:v>3199</x:v>
      </x:c>
      <x:c r="O4" s="28" t="n">
        <x:f>IF('Course_Master'!Q4="","",'Course_Master'!Q4)</x:f>
        <x:v>2925</x:v>
      </x:c>
      <x:c r="P4" s="28" t="str">
        <x:f>IF('Course_Master'!T4="","",'Course_Master'!T4)</x:f>
        <x:v>Parkland / floodlit</x:v>
      </x:c>
      <x:c r="Q4" s="28" t="str">
        <x:f>IF('Course_Master'!AC4="","",'Course_Master'!AC4)</x:f>
        <x:v>Public / visitor booking</x:v>
      </x:c>
      <x:c r="R4" s="28" t="str">
        <x:f>IF('Course_Master'!AB4="","",'Course_Master'!AB4)</x:f>
        <x:v>Open</x:v>
      </x:c>
      <x:c r="S4" s="28" t="str">
        <x:f>IF('Course_Master'!X4="","",'Course_Master'!X4)</x:f>
        <x:v>https://adcitygolf.com/</x:v>
      </x:c>
      <x:c r="T4" s="28" t="b">
        <x:f>IF('Course_Master'!Y4="","",'Course_Master'!Y4)</x:f>
        <x:v>1</x:v>
      </x:c>
      <x:c r="U4" s="28" t="b">
        <x:f>IF('Course_Master'!Z4="","",'Course_Master'!Z4)</x:f>
        <x:v>1</x:v>
      </x:c>
      <x:c r="V4" s="28" t="str">
        <x:f>IF('Course_Master'!AJ4="","",'Course_Master'!AJ4)</x:f>
        <x:v>Verified — official/current exact source</x:v>
      </x:c>
    </x:row>
    <x:row r="5">
      <x:c r="A5" s="28" t="str">
        <x:f>IF('Course_Master'!B5="","",'Course_Master'!B5)</x:f>
        <x:v>AE-0004</x:v>
      </x:c>
      <x:c r="B5" s="28" t="str">
        <x:f>IF('Course_Master'!C5="","",'Course_Master'!C5)</x:f>
        <x:v>Al Ain Equestrian, Shooting &amp; Golf Club — Championship Course</x:v>
      </x:c>
      <x:c r="C5" s="28" t="str">
        <x:f>IF('Course_Master'!D5="","",'Course_Master'!D5)</x:f>
        <x:v>Al Ain Equestrian, Shooting &amp; Golf Club</x:v>
      </x:c>
      <x:c r="D5" s="28" t="str">
        <x:f>IF('Course_Master'!E5="","",'Course_Master'!E5)</x:f>
        <x:v>Championship Course</x:v>
      </x:c>
      <x:c r="E5" s="28" t="str">
        <x:f>IF('Course_Master'!F5="","",'Course_Master'!F5)</x:f>
        <x:v>United Arab Emirates</x:v>
      </x:c>
      <x:c r="F5" s="28" t="str">
        <x:f>IF('Course_Master'!G5="","",'Course_Master'!G5)</x:f>
        <x:v>Abu Dhabi</x:v>
      </x:c>
      <x:c r="G5" s="28" t="str">
        <x:f>IF('Course_Master'!H5="","",'Course_Master'!H5)</x:f>
        <x:v>Al Maqam</x:v>
      </x:c>
      <x:c r="H5" s="28" t="str">
        <x:f>IF('Course_Master'!I5="","",'Course_Master'!I5)</x:f>
        <x:v>Al Ain</x:v>
      </x:c>
      <x:c r="I5" s="28" t="str">
        <x:f>IF('Course_Master'!J5="","",'Course_Master'!J5)</x:f>
      </x:c>
      <x:c r="J5" s="34" t="n">
        <x:f>IF('Course_Master'!K5="","",'Course_Master'!K5)</x:f>
        <x:v>24.18142</x:v>
      </x:c>
      <x:c r="K5" s="34" t="n">
        <x:f>IF('Course_Master'!L5="","",'Course_Master'!L5)</x:f>
        <x:v>55.65449</x:v>
      </x:c>
      <x:c r="L5" s="28" t="n">
        <x:f>IF('Course_Master'!R5="","",'Course_Master'!R5)</x:f>
        <x:v>18</x:v>
      </x:c>
      <x:c r="M5" s="28" t="n">
        <x:f>IF('Course_Master'!S5="","",'Course_Master'!S5)</x:f>
        <x:v>70</x:v>
      </x:c>
      <x:c r="N5" s="28" t="n">
        <x:f>IF('Course_Master'!P5="","",'Course_Master'!P5)</x:f>
        <x:v>6764</x:v>
      </x:c>
      <x:c r="O5" s="28" t="n">
        <x:f>IF('Course_Master'!Q5="","",'Course_Master'!Q5)</x:f>
        <x:v>6185</x:v>
      </x:c>
      <x:c r="P5" s="28" t="str">
        <x:f>IF('Course_Master'!T5="","",'Course_Master'!T5)</x:f>
        <x:v>Desert parkland</x:v>
      </x:c>
      <x:c r="Q5" s="28" t="str">
        <x:f>IF('Course_Master'!AC5="","",'Course_Master'!AC5)</x:f>
        <x:v>Public / visitor booking</x:v>
      </x:c>
      <x:c r="R5" s="28" t="str">
        <x:f>IF('Course_Master'!AB5="","",'Course_Master'!AB5)</x:f>
        <x:v>Open</x:v>
      </x:c>
      <x:c r="S5" s="28" t="str">
        <x:f>IF('Course_Master'!X5="","",'Course_Master'!X5)</x:f>
        <x:v>https://www.aesgc.ae/</x:v>
      </x:c>
      <x:c r="T5" s="28" t="b">
        <x:f>IF('Course_Master'!Y5="","",'Course_Master'!Y5)</x:f>
        <x:v>1</x:v>
      </x:c>
      <x:c r="U5" s="28" t="b">
        <x:f>IF('Course_Master'!Z5="","",'Course_Master'!Z5)</x:f>
        <x:v>1</x:v>
      </x:c>
      <x:c r="V5" s="28" t="str">
        <x:f>IF('Course_Master'!AJ5="","",'Course_Master'!AJ5)</x:f>
        <x:v>Verified — official/current exact source</x:v>
      </x:c>
    </x:row>
    <x:row r="6">
      <x:c r="A6" s="28" t="str">
        <x:f>IF('Course_Master'!B6="","",'Course_Master'!B6)</x:f>
        <x:v>AE-0005</x:v>
      </x:c>
      <x:c r="B6" s="28" t="str">
        <x:f>IF('Course_Master'!C6="","",'Course_Master'!C6)</x:f>
        <x:v>Al Ain Equestrian, Shooting &amp; Golf Club — Academy Course</x:v>
      </x:c>
      <x:c r="C6" s="28" t="str">
        <x:f>IF('Course_Master'!D6="","",'Course_Master'!D6)</x:f>
        <x:v>Al Ain Equestrian, Shooting &amp; Golf Club</x:v>
      </x:c>
      <x:c r="D6" s="28" t="str">
        <x:f>IF('Course_Master'!E6="","",'Course_Master'!E6)</x:f>
        <x:v>Academy Course</x:v>
      </x:c>
      <x:c r="E6" s="28" t="str">
        <x:f>IF('Course_Master'!F6="","",'Course_Master'!F6)</x:f>
        <x:v>United Arab Emirates</x:v>
      </x:c>
      <x:c r="F6" s="28" t="str">
        <x:f>IF('Course_Master'!G6="","",'Course_Master'!G6)</x:f>
        <x:v>Abu Dhabi</x:v>
      </x:c>
      <x:c r="G6" s="28" t="str">
        <x:f>IF('Course_Master'!H6="","",'Course_Master'!H6)</x:f>
        <x:v>Al Maqam</x:v>
      </x:c>
      <x:c r="H6" s="28" t="str">
        <x:f>IF('Course_Master'!I6="","",'Course_Master'!I6)</x:f>
        <x:v>Al Ain</x:v>
      </x:c>
      <x:c r="I6" s="28" t="str">
        <x:f>IF('Course_Master'!J6="","",'Course_Master'!J6)</x:f>
      </x:c>
      <x:c r="J6" s="34" t="n">
        <x:f>IF('Course_Master'!K6="","",'Course_Master'!K6)</x:f>
        <x:v>24.18142</x:v>
      </x:c>
      <x:c r="K6" s="34" t="n">
        <x:f>IF('Course_Master'!L6="","",'Course_Master'!L6)</x:f>
        <x:v>55.65449</x:v>
      </x:c>
      <x:c r="L6" s="28" t="n">
        <x:f>IF('Course_Master'!R6="","",'Course_Master'!R6)</x:f>
        <x:v>9</x:v>
      </x:c>
      <x:c r="M6" s="28" t="n">
        <x:f>IF('Course_Master'!S6="","",'Course_Master'!S6)</x:f>
        <x:v>27</x:v>
      </x:c>
      <x:c r="N6" s="28" t="str">
        <x:f>IF('Course_Master'!P6="","",'Course_Master'!P6)</x:f>
      </x:c>
      <x:c r="O6" s="28" t="str">
        <x:f>IF('Course_Master'!Q6="","",'Course_Master'!Q6)</x:f>
      </x:c>
      <x:c r="P6" s="28" t="str">
        <x:f>IF('Course_Master'!T6="","",'Course_Master'!T6)</x:f>
        <x:v>Par-3 / floodlit</x:v>
      </x:c>
      <x:c r="Q6" s="28" t="str">
        <x:f>IF('Course_Master'!AC6="","",'Course_Master'!AC6)</x:f>
        <x:v>Public / visitor booking</x:v>
      </x:c>
      <x:c r="R6" s="28" t="str">
        <x:f>IF('Course_Master'!AB6="","",'Course_Master'!AB6)</x:f>
        <x:v>Open</x:v>
      </x:c>
      <x:c r="S6" s="28" t="str">
        <x:f>IF('Course_Master'!X6="","",'Course_Master'!X6)</x:f>
        <x:v>https://www.aesgc.ae/</x:v>
      </x:c>
      <x:c r="T6" s="28" t="b">
        <x:f>IF('Course_Master'!Y6="","",'Course_Master'!Y6)</x:f>
        <x:v>1</x:v>
      </x:c>
      <x:c r="U6" s="28" t="b">
        <x:f>IF('Course_Master'!Z6="","",'Course_Master'!Z6)</x:f>
        <x:v>1</x:v>
      </x:c>
      <x:c r="V6" s="28" t="str">
        <x:f>IF('Course_Master'!AJ6="","",'Course_Master'!AJ6)</x:f>
        <x:v>Verified — official/current exact source</x:v>
      </x:c>
    </x:row>
    <x:row r="7">
      <x:c r="A7" s="28" t="str">
        <x:f>IF('Course_Master'!B7="","",'Course_Master'!B7)</x:f>
        <x:v>AE-0006</x:v>
      </x:c>
      <x:c r="B7" s="28" t="str">
        <x:f>IF('Course_Master'!C7="","",'Course_Master'!C7)</x:f>
        <x:v>Al Ghazal Golf Club</x:v>
      </x:c>
      <x:c r="C7" s="28" t="str">
        <x:f>IF('Course_Master'!D7="","",'Course_Master'!D7)</x:f>
        <x:v>Al Ghazal Golf Club</x:v>
      </x:c>
      <x:c r="D7" s="28" t="str">
        <x:f>IF('Course_Master'!E7="","",'Course_Master'!E7)</x:f>
        <x:v>Al Ghazal Course</x:v>
      </x:c>
      <x:c r="E7" s="28" t="str">
        <x:f>IF('Course_Master'!F7="","",'Course_Master'!F7)</x:f>
        <x:v>United Arab Emirates</x:v>
      </x:c>
      <x:c r="F7" s="28" t="str">
        <x:f>IF('Course_Master'!G7="","",'Course_Master'!G7)</x:f>
        <x:v>Abu Dhabi</x:v>
      </x:c>
      <x:c r="G7" s="28" t="str">
        <x:f>IF('Course_Master'!H7="","",'Course_Master'!H7)</x:f>
        <x:v>Zayed International Airport</x:v>
      </x:c>
      <x:c r="H7" s="28" t="str">
        <x:f>IF('Course_Master'!I7="","",'Course_Master'!I7)</x:f>
        <x:v>Abu Dhabi</x:v>
      </x:c>
      <x:c r="I7" s="28" t="str">
        <x:f>IF('Course_Master'!J7="","",'Course_Master'!J7)</x:f>
      </x:c>
      <x:c r="J7" s="34" t="n">
        <x:f>IF('Course_Master'!K7="","",'Course_Master'!K7)</x:f>
        <x:v>24.419184</x:v>
      </x:c>
      <x:c r="K7" s="34" t="n">
        <x:f>IF('Course_Master'!L7="","",'Course_Master'!L7)</x:f>
        <x:v>54.645234</x:v>
      </x:c>
      <x:c r="L7" s="28" t="n">
        <x:f>IF('Course_Master'!R7="","",'Course_Master'!R7)</x:f>
        <x:v>18</x:v>
      </x:c>
      <x:c r="M7" s="28" t="n">
        <x:f>IF('Course_Master'!S7="","",'Course_Master'!S7)</x:f>
        <x:v>71</x:v>
      </x:c>
      <x:c r="N7" s="28" t="n">
        <x:f>IF('Course_Master'!P7="","",'Course_Master'!P7)</x:f>
        <x:v>6711</x:v>
      </x:c>
      <x:c r="O7" s="28" t="n">
        <x:f>IF('Course_Master'!Q7="","",'Course_Master'!Q7)</x:f>
        <x:v>6137</x:v>
      </x:c>
      <x:c r="P7" s="28" t="str">
        <x:f>IF('Course_Master'!T7="","",'Course_Master'!T7)</x:f>
        <x:v>Sand course</x:v>
      </x:c>
      <x:c r="Q7" s="28" t="str">
        <x:f>IF('Course_Master'!AC7="","",'Course_Master'!AC7)</x:f>
        <x:v>Public / visitor booking</x:v>
      </x:c>
      <x:c r="R7" s="28" t="str">
        <x:f>IF('Course_Master'!AB7="","",'Course_Master'!AB7)</x:f>
        <x:v>Open</x:v>
      </x:c>
      <x:c r="S7" s="28" t="str">
        <x:f>IF('Course_Master'!X7="","",'Course_Master'!X7)</x:f>
        <x:v>https://alghazalgolfclub.ae/</x:v>
      </x:c>
      <x:c r="T7" s="28" t="b">
        <x:f>IF('Course_Master'!Y7="","",'Course_Master'!Y7)</x:f>
        <x:v>1</x:v>
      </x:c>
      <x:c r="U7" s="28" t="b">
        <x:f>IF('Course_Master'!Z7="","",'Course_Master'!Z7)</x:f>
        <x:v>1</x:v>
      </x:c>
      <x:c r="V7" s="28" t="str">
        <x:f>IF('Course_Master'!AJ7="","",'Course_Master'!AJ7)</x:f>
        <x:v>Verified — official/current exact source</x:v>
      </x:c>
    </x:row>
    <x:row r="8">
      <x:c r="A8" s="28" t="str">
        <x:f>IF('Course_Master'!B8="","",'Course_Master'!B8)</x:f>
        <x:v>AE-0007</x:v>
      </x:c>
      <x:c r="B8" s="28" t="str">
        <x:f>IF('Course_Master'!C8="","",'Course_Master'!C8)</x:f>
        <x:v>Al Dhannah Golf Club</x:v>
      </x:c>
      <x:c r="C8" s="28" t="str">
        <x:f>IF('Course_Master'!D8="","",'Course_Master'!D8)</x:f>
        <x:v>Al Dhannah Golf Club</x:v>
      </x:c>
      <x:c r="D8" s="28" t="str">
        <x:f>IF('Course_Master'!E8="","",'Course_Master'!E8)</x:f>
        <x:v>Al Dhannah Course</x:v>
      </x:c>
      <x:c r="E8" s="28" t="str">
        <x:f>IF('Course_Master'!F8="","",'Course_Master'!F8)</x:f>
        <x:v>United Arab Emirates</x:v>
      </x:c>
      <x:c r="F8" s="28" t="str">
        <x:f>IF('Course_Master'!G8="","",'Course_Master'!G8)</x:f>
        <x:v>Abu Dhabi</x:v>
      </x:c>
      <x:c r="G8" s="28" t="str">
        <x:f>IF('Course_Master'!H8="","",'Course_Master'!H8)</x:f>
        <x:v>Al Dhafra Region</x:v>
      </x:c>
      <x:c r="H8" s="28" t="str">
        <x:f>IF('Course_Master'!I8="","",'Course_Master'!I8)</x:f>
        <x:v>Al Dhannah</x:v>
      </x:c>
      <x:c r="I8" s="28" t="str">
        <x:f>IF('Course_Master'!J8="","",'Course_Master'!J8)</x:f>
      </x:c>
      <x:c r="J8" s="34" t="n">
        <x:f>IF('Course_Master'!K8="","",'Course_Master'!K8)</x:f>
        <x:v>24.076031</x:v>
      </x:c>
      <x:c r="K8" s="34" t="n">
        <x:f>IF('Course_Master'!L8="","",'Course_Master'!L8)</x:f>
        <x:v>52.640045</x:v>
      </x:c>
      <x:c r="L8" s="28" t="n">
        <x:f>IF('Course_Master'!R8="","",'Course_Master'!R8)</x:f>
        <x:v>9</x:v>
      </x:c>
      <x:c r="M8" s="28" t="n">
        <x:f>IF('Course_Master'!S8="","",'Course_Master'!S8)</x:f>
        <x:v>36</x:v>
      </x:c>
      <x:c r="N8" s="28" t="n">
        <x:f>IF('Course_Master'!P8="","",'Course_Master'!P8)</x:f>
        <x:v>3454</x:v>
      </x:c>
      <x:c r="O8" s="28" t="n">
        <x:f>IF('Course_Master'!Q8="","",'Course_Master'!Q8)</x:f>
        <x:v>3158</x:v>
      </x:c>
      <x:c r="P8" s="28" t="str">
        <x:f>IF('Course_Master'!T8="","",'Course_Master'!T8)</x:f>
        <x:v>Parkland / floodlit</x:v>
      </x:c>
      <x:c r="Q8" s="28" t="str">
        <x:f>IF('Course_Master'!AC8="","",'Course_Master'!AC8)</x:f>
        <x:v>Public / visitor booking</x:v>
      </x:c>
      <x:c r="R8" s="28" t="str">
        <x:f>IF('Course_Master'!AB8="","",'Course_Master'!AB8)</x:f>
        <x:v>Open</x:v>
      </x:c>
      <x:c r="S8" s="28" t="str">
        <x:f>IF('Course_Master'!X8="","",'Course_Master'!X8)</x:f>
        <x:v>https://aldhannahgolfclub.ae/</x:v>
      </x:c>
      <x:c r="T8" s="28" t="b">
        <x:f>IF('Course_Master'!Y8="","",'Course_Master'!Y8)</x:f>
        <x:v>1</x:v>
      </x:c>
      <x:c r="U8" s="28" t="b">
        <x:f>IF('Course_Master'!Z8="","",'Course_Master'!Z8)</x:f>
        <x:v>1</x:v>
      </x:c>
      <x:c r="V8" s="28" t="str">
        <x:f>IF('Course_Master'!AJ8="","",'Course_Master'!AJ8)</x:f>
        <x:v>Verified specs; course access-point coordinate</x:v>
      </x:c>
    </x:row>
    <x:row r="9">
      <x:c r="A9" s="28" t="str">
        <x:f>IF('Course_Master'!B9="","",'Course_Master'!B9)</x:f>
        <x:v>AE-0008</x:v>
      </x:c>
      <x:c r="B9" s="28" t="str">
        <x:f>IF('Course_Master'!C9="","",'Course_Master'!C9)</x:f>
        <x:v>Saadiyat Beach Golf Club</x:v>
      </x:c>
      <x:c r="C9" s="28" t="str">
        <x:f>IF('Course_Master'!D9="","",'Course_Master'!D9)</x:f>
        <x:v>Saadiyat Beach Golf Club</x:v>
      </x:c>
      <x:c r="D9" s="28" t="str">
        <x:f>IF('Course_Master'!E9="","",'Course_Master'!E9)</x:f>
        <x:v>Saadiyat Beach Course</x:v>
      </x:c>
      <x:c r="E9" s="28" t="str">
        <x:f>IF('Course_Master'!F9="","",'Course_Master'!F9)</x:f>
        <x:v>United Arab Emirates</x:v>
      </x:c>
      <x:c r="F9" s="28" t="str">
        <x:f>IF('Course_Master'!G9="","",'Course_Master'!G9)</x:f>
        <x:v>Abu Dhabi</x:v>
      </x:c>
      <x:c r="G9" s="28" t="str">
        <x:f>IF('Course_Master'!H9="","",'Course_Master'!H9)</x:f>
        <x:v>Saadiyat Island</x:v>
      </x:c>
      <x:c r="H9" s="28" t="str">
        <x:f>IF('Course_Master'!I9="","",'Course_Master'!I9)</x:f>
        <x:v>Abu Dhabi</x:v>
      </x:c>
      <x:c r="I9" s="28" t="str">
        <x:f>IF('Course_Master'!J9="","",'Course_Master'!J9)</x:f>
      </x:c>
      <x:c r="J9" s="34" t="n">
        <x:f>IF('Course_Master'!K9="","",'Course_Master'!K9)</x:f>
        <x:v>24.539531</x:v>
      </x:c>
      <x:c r="K9" s="34" t="n">
        <x:f>IF('Course_Master'!L9="","",'Course_Master'!L9)</x:f>
        <x:v>54.435517</x:v>
      </x:c>
      <x:c r="L9" s="28" t="n">
        <x:f>IF('Course_Master'!R9="","",'Course_Master'!R9)</x:f>
        <x:v>18</x:v>
      </x:c>
      <x:c r="M9" s="28" t="n">
        <x:f>IF('Course_Master'!S9="","",'Course_Master'!S9)</x:f>
        <x:v>72</x:v>
      </x:c>
      <x:c r="N9" s="28" t="n">
        <x:f>IF('Course_Master'!P9="","",'Course_Master'!P9)</x:f>
        <x:v>7806</x:v>
      </x:c>
      <x:c r="O9" s="28" t="n">
        <x:f>IF('Course_Master'!Q9="","",'Course_Master'!Q9)</x:f>
        <x:v>7138</x:v>
      </x:c>
      <x:c r="P9" s="28" t="str">
        <x:f>IF('Course_Master'!T9="","",'Course_Master'!T9)</x:f>
        <x:v>Coastal parkland</x:v>
      </x:c>
      <x:c r="Q9" s="28" t="str">
        <x:f>IF('Course_Master'!AC9="","",'Course_Master'!AC9)</x:f>
        <x:v>Public / visitor booking</x:v>
      </x:c>
      <x:c r="R9" s="28" t="str">
        <x:f>IF('Course_Master'!AB9="","",'Course_Master'!AB9)</x:f>
        <x:v>Open</x:v>
      </x:c>
      <x:c r="S9" s="28" t="str">
        <x:f>IF('Course_Master'!X9="","",'Course_Master'!X9)</x:f>
        <x:v>https://www.viyagolf.com/saadiyat/</x:v>
      </x:c>
      <x:c r="T9" s="28" t="b">
        <x:f>IF('Course_Master'!Y9="","",'Course_Master'!Y9)</x:f>
        <x:v>1</x:v>
      </x:c>
      <x:c r="U9" s="28" t="b">
        <x:f>IF('Course_Master'!Z9="","",'Course_Master'!Z9)</x:f>
        <x:v>1</x:v>
      </x:c>
      <x:c r="V9" s="28" t="str">
        <x:f>IF('Course_Master'!AJ9="","",'Course_Master'!AJ9)</x:f>
        <x:v>Verified — official/current exact source</x:v>
      </x:c>
    </x:row>
    <x:row r="10">
      <x:c r="A10" s="28" t="str">
        <x:f>IF('Course_Master'!B10="","",'Course_Master'!B10)</x:f>
        <x:v>AE-0009</x:v>
      </x:c>
      <x:c r="B10" s="28" t="str">
        <x:f>IF('Course_Master'!C10="","",'Course_Master'!C10)</x:f>
        <x:v>Yas Links Abu Dhabi — Yas Links Course</x:v>
      </x:c>
      <x:c r="C10" s="28" t="str">
        <x:f>IF('Course_Master'!D10="","",'Course_Master'!D10)</x:f>
        <x:v>Yas Links Abu Dhabi</x:v>
      </x:c>
      <x:c r="D10" s="28" t="str">
        <x:f>IF('Course_Master'!E10="","",'Course_Master'!E10)</x:f>
        <x:v>Yas Links Course</x:v>
      </x:c>
      <x:c r="E10" s="28" t="str">
        <x:f>IF('Course_Master'!F10="","",'Course_Master'!F10)</x:f>
        <x:v>United Arab Emirates</x:v>
      </x:c>
      <x:c r="F10" s="28" t="str">
        <x:f>IF('Course_Master'!G10="","",'Course_Master'!G10)</x:f>
        <x:v>Abu Dhabi</x:v>
      </x:c>
      <x:c r="G10" s="28" t="str">
        <x:f>IF('Course_Master'!H10="","",'Course_Master'!H10)</x:f>
        <x:v>Yas Island</x:v>
      </x:c>
      <x:c r="H10" s="28" t="str">
        <x:f>IF('Course_Master'!I10="","",'Course_Master'!I10)</x:f>
        <x:v>Abu Dhabi</x:v>
      </x:c>
      <x:c r="I10" s="28" t="str">
        <x:f>IF('Course_Master'!J10="","",'Course_Master'!J10)</x:f>
      </x:c>
      <x:c r="J10" s="34" t="n">
        <x:f>IF('Course_Master'!K10="","",'Course_Master'!K10)</x:f>
        <x:v>24.478468</x:v>
      </x:c>
      <x:c r="K10" s="34" t="n">
        <x:f>IF('Course_Master'!L10="","",'Course_Master'!L10)</x:f>
        <x:v>54.600602</x:v>
      </x:c>
      <x:c r="L10" s="28" t="n">
        <x:f>IF('Course_Master'!R10="","",'Course_Master'!R10)</x:f>
        <x:v>18</x:v>
      </x:c>
      <x:c r="M10" s="28" t="n">
        <x:f>IF('Course_Master'!S10="","",'Course_Master'!S10)</x:f>
        <x:v>72</x:v>
      </x:c>
      <x:c r="N10" s="28" t="n">
        <x:f>IF('Course_Master'!P10="","",'Course_Master'!P10)</x:f>
        <x:v>7461</x:v>
      </x:c>
      <x:c r="O10" s="28" t="n">
        <x:f>IF('Course_Master'!Q10="","",'Course_Master'!Q10)</x:f>
        <x:v>6822</x:v>
      </x:c>
      <x:c r="P10" s="28" t="str">
        <x:f>IF('Course_Master'!T10="","",'Course_Master'!T10)</x:f>
        <x:v>Links-style</x:v>
      </x:c>
      <x:c r="Q10" s="28" t="str">
        <x:f>IF('Course_Master'!AC10="","",'Course_Master'!AC10)</x:f>
        <x:v>Public / visitor booking</x:v>
      </x:c>
      <x:c r="R10" s="28" t="str">
        <x:f>IF('Course_Master'!AB10="","",'Course_Master'!AB10)</x:f>
        <x:v>Open</x:v>
      </x:c>
      <x:c r="S10" s="28" t="str">
        <x:f>IF('Course_Master'!X10="","",'Course_Master'!X10)</x:f>
        <x:v>https://www.viyagolf.com/yaslinks/</x:v>
      </x:c>
      <x:c r="T10" s="28" t="b">
        <x:f>IF('Course_Master'!Y10="","",'Course_Master'!Y10)</x:f>
        <x:v>1</x:v>
      </x:c>
      <x:c r="U10" s="28" t="b">
        <x:f>IF('Course_Master'!Z10="","",'Course_Master'!Z10)</x:f>
        <x:v>1</x:v>
      </x:c>
      <x:c r="V10" s="28" t="str">
        <x:f>IF('Course_Master'!AJ10="","",'Course_Master'!AJ10)</x:f>
        <x:v>Verified — official/current exact source</x:v>
      </x:c>
    </x:row>
    <x:row r="11">
      <x:c r="A11" s="28" t="str">
        <x:f>IF('Course_Master'!B11="","",'Course_Master'!B11)</x:f>
        <x:v>AE-0010</x:v>
      </x:c>
      <x:c r="B11" s="28" t="str">
        <x:f>IF('Course_Master'!C11="","",'Course_Master'!C11)</x:f>
        <x:v>Yas Links Abu Dhabi — Par 3 Academy Course</x:v>
      </x:c>
      <x:c r="C11" s="28" t="str">
        <x:f>IF('Course_Master'!D11="","",'Course_Master'!D11)</x:f>
        <x:v>Yas Links Abu Dhabi</x:v>
      </x:c>
      <x:c r="D11" s="28" t="str">
        <x:f>IF('Course_Master'!E11="","",'Course_Master'!E11)</x:f>
        <x:v>Par 3 Academy Course</x:v>
      </x:c>
      <x:c r="E11" s="28" t="str">
        <x:f>IF('Course_Master'!F11="","",'Course_Master'!F11)</x:f>
        <x:v>United Arab Emirates</x:v>
      </x:c>
      <x:c r="F11" s="28" t="str">
        <x:f>IF('Course_Master'!G11="","",'Course_Master'!G11)</x:f>
        <x:v>Abu Dhabi</x:v>
      </x:c>
      <x:c r="G11" s="28" t="str">
        <x:f>IF('Course_Master'!H11="","",'Course_Master'!H11)</x:f>
        <x:v>Yas Island</x:v>
      </x:c>
      <x:c r="H11" s="28" t="str">
        <x:f>IF('Course_Master'!I11="","",'Course_Master'!I11)</x:f>
        <x:v>Abu Dhabi</x:v>
      </x:c>
      <x:c r="I11" s="28" t="str">
        <x:f>IF('Course_Master'!J11="","",'Course_Master'!J11)</x:f>
      </x:c>
      <x:c r="J11" s="34" t="n">
        <x:f>IF('Course_Master'!K11="","",'Course_Master'!K11)</x:f>
        <x:v>24.478468</x:v>
      </x:c>
      <x:c r="K11" s="34" t="n">
        <x:f>IF('Course_Master'!L11="","",'Course_Master'!L11)</x:f>
        <x:v>54.600602</x:v>
      </x:c>
      <x:c r="L11" s="28" t="n">
        <x:f>IF('Course_Master'!R11="","",'Course_Master'!R11)</x:f>
        <x:v>9</x:v>
      </x:c>
      <x:c r="M11" s="28" t="n">
        <x:f>IF('Course_Master'!S11="","",'Course_Master'!S11)</x:f>
        <x:v>27</x:v>
      </x:c>
      <x:c r="N11" s="28" t="n">
        <x:f>IF('Course_Master'!P11="","",'Course_Master'!P11)</x:f>
        <x:v>1239</x:v>
      </x:c>
      <x:c r="O11" s="28" t="n">
        <x:f>IF('Course_Master'!Q11="","",'Course_Master'!Q11)</x:f>
        <x:v>1133</x:v>
      </x:c>
      <x:c r="P11" s="28" t="str">
        <x:f>IF('Course_Master'!T11="","",'Course_Master'!T11)</x:f>
        <x:v>Par-3 / floodlit</x:v>
      </x:c>
      <x:c r="Q11" s="28" t="str">
        <x:f>IF('Course_Master'!AC11="","",'Course_Master'!AC11)</x:f>
        <x:v>Public / visitor booking</x:v>
      </x:c>
      <x:c r="R11" s="28" t="str">
        <x:f>IF('Course_Master'!AB11="","",'Course_Master'!AB11)</x:f>
        <x:v>Open</x:v>
      </x:c>
      <x:c r="S11" s="28" t="str">
        <x:f>IF('Course_Master'!X11="","",'Course_Master'!X11)</x:f>
        <x:v>https://www.viyagolf.com/yaslinks/</x:v>
      </x:c>
      <x:c r="T11" s="28" t="b">
        <x:f>IF('Course_Master'!Y11="","",'Course_Master'!Y11)</x:f>
        <x:v>1</x:v>
      </x:c>
      <x:c r="U11" s="28" t="b">
        <x:f>IF('Course_Master'!Z11="","",'Course_Master'!Z11)</x:f>
        <x:v>1</x:v>
      </x:c>
      <x:c r="V11" s="28" t="str">
        <x:f>IF('Course_Master'!AJ11="","",'Course_Master'!AJ11)</x:f>
        <x:v>Verified — official/current exact source</x:v>
      </x:c>
    </x:row>
    <x:row r="12">
      <x:c r="A12" s="28" t="str">
        <x:f>IF('Course_Master'!B12="","",'Course_Master'!B12)</x:f>
        <x:v>AE-0011</x:v>
      </x:c>
      <x:c r="B12" s="28" t="str">
        <x:f>IF('Course_Master'!C12="","",'Course_Master'!C12)</x:f>
        <x:v>Yas Acres Golf &amp; Country Club</x:v>
      </x:c>
      <x:c r="C12" s="28" t="str">
        <x:f>IF('Course_Master'!D12="","",'Course_Master'!D12)</x:f>
        <x:v>Yas Acres Golf &amp; Country Club</x:v>
      </x:c>
      <x:c r="D12" s="28" t="str">
        <x:f>IF('Course_Master'!E12="","",'Course_Master'!E12)</x:f>
        <x:v>Yas Acres Golf Course</x:v>
      </x:c>
      <x:c r="E12" s="28" t="str">
        <x:f>IF('Course_Master'!F12="","",'Course_Master'!F12)</x:f>
        <x:v>United Arab Emirates</x:v>
      </x:c>
      <x:c r="F12" s="28" t="str">
        <x:f>IF('Course_Master'!G12="","",'Course_Master'!G12)</x:f>
        <x:v>Abu Dhabi</x:v>
      </x:c>
      <x:c r="G12" s="28" t="str">
        <x:f>IF('Course_Master'!H12="","",'Course_Master'!H12)</x:f>
        <x:v>Yas Island</x:v>
      </x:c>
      <x:c r="H12" s="28" t="str">
        <x:f>IF('Course_Master'!I12="","",'Course_Master'!I12)</x:f>
        <x:v>Abu Dhabi</x:v>
      </x:c>
      <x:c r="I12" s="28" t="str">
        <x:f>IF('Course_Master'!J12="","",'Course_Master'!J12)</x:f>
      </x:c>
      <x:c r="J12" s="34" t="n">
        <x:f>IF('Course_Master'!K12="","",'Course_Master'!K12)</x:f>
        <x:v>24.496823</x:v>
      </x:c>
      <x:c r="K12" s="34" t="n">
        <x:f>IF('Course_Master'!L12="","",'Course_Master'!L12)</x:f>
        <x:v>54.613534</x:v>
      </x:c>
      <x:c r="L12" s="28" t="n">
        <x:f>IF('Course_Master'!R12="","",'Course_Master'!R12)</x:f>
        <x:v>9</x:v>
      </x:c>
      <x:c r="M12" s="28" t="n">
        <x:f>IF('Course_Master'!S12="","",'Course_Master'!S12)</x:f>
        <x:v>36</x:v>
      </x:c>
      <x:c r="N12" s="28" t="n">
        <x:f>IF('Course_Master'!P12="","",'Course_Master'!P12)</x:f>
        <x:v>3700</x:v>
      </x:c>
      <x:c r="O12" s="28" t="n">
        <x:f>IF('Course_Master'!Q12="","",'Course_Master'!Q12)</x:f>
        <x:v>3383</x:v>
      </x:c>
      <x:c r="P12" s="28" t="str">
        <x:f>IF('Course_Master'!T12="","",'Course_Master'!T12)</x:f>
        <x:v>Parkland / floodlit</x:v>
      </x:c>
      <x:c r="Q12" s="28" t="str">
        <x:f>IF('Course_Master'!AC12="","",'Course_Master'!AC12)</x:f>
        <x:v>Public / visitor booking</x:v>
      </x:c>
      <x:c r="R12" s="28" t="str">
        <x:f>IF('Course_Master'!AB12="","",'Course_Master'!AB12)</x:f>
        <x:v>Open</x:v>
      </x:c>
      <x:c r="S12" s="28" t="str">
        <x:f>IF('Course_Master'!X12="","",'Course_Master'!X12)</x:f>
        <x:v>https://www.viyagolf.com/yasacres/</x:v>
      </x:c>
      <x:c r="T12" s="28" t="b">
        <x:f>IF('Course_Master'!Y12="","",'Course_Master'!Y12)</x:f>
        <x:v>1</x:v>
      </x:c>
      <x:c r="U12" s="28" t="b">
        <x:f>IF('Course_Master'!Z12="","",'Course_Master'!Z12)</x:f>
        <x:v>1</x:v>
      </x:c>
      <x:c r="V12" s="28" t="str">
        <x:f>IF('Course_Master'!AJ12="","",'Course_Master'!AJ12)</x:f>
        <x:v>Verified — official/current exact source</x:v>
      </x:c>
    </x:row>
    <x:row r="13">
      <x:c r="A13" s="28" t="str">
        <x:f>IF('Course_Master'!B13="","",'Course_Master'!B13)</x:f>
        <x:v>AE-0012</x:v>
      </x:c>
      <x:c r="B13" s="28" t="str">
        <x:f>IF('Course_Master'!C13="","",'Course_Master'!C13)</x:f>
        <x:v>Al Zorah Golf &amp; Yacht Club</x:v>
      </x:c>
      <x:c r="C13" s="28" t="str">
        <x:f>IF('Course_Master'!D13="","",'Course_Master'!D13)</x:f>
        <x:v>Al Zorah Golf &amp; Yacht Club</x:v>
      </x:c>
      <x:c r="D13" s="28" t="str">
        <x:f>IF('Course_Master'!E13="","",'Course_Master'!E13)</x:f>
        <x:v>Al Zorah Course</x:v>
      </x:c>
      <x:c r="E13" s="28" t="str">
        <x:f>IF('Course_Master'!F13="","",'Course_Master'!F13)</x:f>
        <x:v>United Arab Emirates</x:v>
      </x:c>
      <x:c r="F13" s="28" t="str">
        <x:f>IF('Course_Master'!G13="","",'Course_Master'!G13)</x:f>
        <x:v>Ajman</x:v>
      </x:c>
      <x:c r="G13" s="28" t="str">
        <x:f>IF('Course_Master'!H13="","",'Course_Master'!H13)</x:f>
        <x:v>Al Zorah</x:v>
      </x:c>
      <x:c r="H13" s="28" t="str">
        <x:f>IF('Course_Master'!I13="","",'Course_Master'!I13)</x:f>
        <x:v>Ajman</x:v>
      </x:c>
      <x:c r="I13" s="28" t="str">
        <x:f>IF('Course_Master'!J13="","",'Course_Master'!J13)</x:f>
      </x:c>
      <x:c r="J13" s="34" t="n">
        <x:f>IF('Course_Master'!K13="","",'Course_Master'!K13)</x:f>
        <x:v>25.428113</x:v>
      </x:c>
      <x:c r="K13" s="34" t="n">
        <x:f>IF('Course_Master'!L13="","",'Course_Master'!L13)</x:f>
        <x:v>55.497047</x:v>
      </x:c>
      <x:c r="L13" s="28" t="n">
        <x:f>IF('Course_Master'!R13="","",'Course_Master'!R13)</x:f>
        <x:v>18</x:v>
      </x:c>
      <x:c r="M13" s="28" t="n">
        <x:f>IF('Course_Master'!S13="","",'Course_Master'!S13)</x:f>
        <x:v>72</x:v>
      </x:c>
      <x:c r="N13" s="28" t="n">
        <x:f>IF('Course_Master'!P13="","",'Course_Master'!P13)</x:f>
        <x:v>7169</x:v>
      </x:c>
      <x:c r="O13" s="28" t="n">
        <x:f>IF('Course_Master'!Q13="","",'Course_Master'!Q13)</x:f>
        <x:v>6555</x:v>
      </x:c>
      <x:c r="P13" s="28" t="str">
        <x:f>IF('Course_Master'!T13="","",'Course_Master'!T13)</x:f>
        <x:v>Coastal parkland</x:v>
      </x:c>
      <x:c r="Q13" s="28" t="str">
        <x:f>IF('Course_Master'!AC13="","",'Course_Master'!AC13)</x:f>
        <x:v>Public / visitor booking</x:v>
      </x:c>
      <x:c r="R13" s="28" t="str">
        <x:f>IF('Course_Master'!AB13="","",'Course_Master'!AB13)</x:f>
        <x:v>Open</x:v>
      </x:c>
      <x:c r="S13" s="28" t="str">
        <x:f>IF('Course_Master'!X13="","",'Course_Master'!X13)</x:f>
        <x:v>https://www.alzorahgolfclub.ae/</x:v>
      </x:c>
      <x:c r="T13" s="28" t="b">
        <x:f>IF('Course_Master'!Y13="","",'Course_Master'!Y13)</x:f>
        <x:v>1</x:v>
      </x:c>
      <x:c r="U13" s="28" t="b">
        <x:f>IF('Course_Master'!Z13="","",'Course_Master'!Z13)</x:f>
        <x:v>1</x:v>
      </x:c>
      <x:c r="V13" s="28" t="str">
        <x:f>IF('Course_Master'!AJ13="","",'Course_Master'!AJ13)</x:f>
        <x:v>Verified — official/current exact source</x:v>
      </x:c>
    </x:row>
    <x:row r="14">
      <x:c r="A14" s="28" t="str">
        <x:f>IF('Course_Master'!B14="","",'Course_Master'!B14)</x:f>
        <x:v>AE-0013</x:v>
      </x:c>
      <x:c r="B14" s="28" t="str">
        <x:f>IF('Course_Master'!C14="","",'Course_Master'!C14)</x:f>
        <x:v>Arabian Ranches Golf Club — Championship Course</x:v>
      </x:c>
      <x:c r="C14" s="28" t="str">
        <x:f>IF('Course_Master'!D14="","",'Course_Master'!D14)</x:f>
        <x:v>Arabian Ranches Golf Club</x:v>
      </x:c>
      <x:c r="D14" s="28" t="str">
        <x:f>IF('Course_Master'!E14="","",'Course_Master'!E14)</x:f>
        <x:v>Championship Course</x:v>
      </x:c>
      <x:c r="E14" s="28" t="str">
        <x:f>IF('Course_Master'!F14="","",'Course_Master'!F14)</x:f>
        <x:v>United Arab Emirates</x:v>
      </x:c>
      <x:c r="F14" s="28" t="str">
        <x:f>IF('Course_Master'!G14="","",'Course_Master'!G14)</x:f>
        <x:v>Dubai</x:v>
      </x:c>
      <x:c r="G14" s="28" t="str">
        <x:f>IF('Course_Master'!H14="","",'Course_Master'!H14)</x:f>
        <x:v>Arabian Ranches</x:v>
      </x:c>
      <x:c r="H14" s="28" t="str">
        <x:f>IF('Course_Master'!I14="","",'Course_Master'!I14)</x:f>
        <x:v>Dubai</x:v>
      </x:c>
      <x:c r="I14" s="28" t="str">
        <x:f>IF('Course_Master'!J14="","",'Course_Master'!J14)</x:f>
      </x:c>
      <x:c r="J14" s="34" t="n">
        <x:f>IF('Course_Master'!K14="","",'Course_Master'!K14)</x:f>
        <x:v>25.051605</x:v>
      </x:c>
      <x:c r="K14" s="34" t="n">
        <x:f>IF('Course_Master'!L14="","",'Course_Master'!L14)</x:f>
        <x:v>55.268467</x:v>
      </x:c>
      <x:c r="L14" s="28" t="n">
        <x:f>IF('Course_Master'!R14="","",'Course_Master'!R14)</x:f>
        <x:v>18</x:v>
      </x:c>
      <x:c r="M14" s="28" t="n">
        <x:f>IF('Course_Master'!S14="","",'Course_Master'!S14)</x:f>
        <x:v>72</x:v>
      </x:c>
      <x:c r="N14" s="28" t="n">
        <x:f>IF('Course_Master'!P14="","",'Course_Master'!P14)</x:f>
        <x:v>7691</x:v>
      </x:c>
      <x:c r="O14" s="28" t="n">
        <x:f>IF('Course_Master'!Q14="","",'Course_Master'!Q14)</x:f>
        <x:v>7033</x:v>
      </x:c>
      <x:c r="P14" s="28" t="str">
        <x:f>IF('Course_Master'!T14="","",'Course_Master'!T14)</x:f>
        <x:v>Desert</x:v>
      </x:c>
      <x:c r="Q14" s="28" t="str">
        <x:f>IF('Course_Master'!AC14="","",'Course_Master'!AC14)</x:f>
        <x:v>Public / visitor booking</x:v>
      </x:c>
      <x:c r="R14" s="28" t="str">
        <x:f>IF('Course_Master'!AB14="","",'Course_Master'!AB14)</x:f>
        <x:v>Open</x:v>
      </x:c>
      <x:c r="S14" s="28" t="str">
        <x:f>IF('Course_Master'!X14="","",'Course_Master'!X14)</x:f>
        <x:v>https://www.arabianranchesgolfclub.com/</x:v>
      </x:c>
      <x:c r="T14" s="28" t="b">
        <x:f>IF('Course_Master'!Y14="","",'Course_Master'!Y14)</x:f>
        <x:v>1</x:v>
      </x:c>
      <x:c r="U14" s="28" t="b">
        <x:f>IF('Course_Master'!Z14="","",'Course_Master'!Z14)</x:f>
        <x:v>1</x:v>
      </x:c>
      <x:c r="V14" s="28" t="str">
        <x:f>IF('Course_Master'!AJ14="","",'Course_Master'!AJ14)</x:f>
        <x:v>Verified — official/current exact source</x:v>
      </x:c>
    </x:row>
    <x:row r="15">
      <x:c r="A15" s="28" t="str">
        <x:f>IF('Course_Master'!B15="","",'Course_Master'!B15)</x:f>
        <x:v>AE-0014</x:v>
      </x:c>
      <x:c r="B15" s="28" t="str">
        <x:f>IF('Course_Master'!C15="","",'Course_Master'!C15)</x:f>
        <x:v>Arabian Ranches Golf Club — Par 3 Course</x:v>
      </x:c>
      <x:c r="C15" s="28" t="str">
        <x:f>IF('Course_Master'!D15="","",'Course_Master'!D15)</x:f>
        <x:v>Arabian Ranches Golf Club</x:v>
      </x:c>
      <x:c r="D15" s="28" t="str">
        <x:f>IF('Course_Master'!E15="","",'Course_Master'!E15)</x:f>
        <x:v>Par 3 Course</x:v>
      </x:c>
      <x:c r="E15" s="28" t="str">
        <x:f>IF('Course_Master'!F15="","",'Course_Master'!F15)</x:f>
        <x:v>United Arab Emirates</x:v>
      </x:c>
      <x:c r="F15" s="28" t="str">
        <x:f>IF('Course_Master'!G15="","",'Course_Master'!G15)</x:f>
        <x:v>Dubai</x:v>
      </x:c>
      <x:c r="G15" s="28" t="str">
        <x:f>IF('Course_Master'!H15="","",'Course_Master'!H15)</x:f>
        <x:v>Arabian Ranches</x:v>
      </x:c>
      <x:c r="H15" s="28" t="str">
        <x:f>IF('Course_Master'!I15="","",'Course_Master'!I15)</x:f>
        <x:v>Dubai</x:v>
      </x:c>
      <x:c r="I15" s="28" t="str">
        <x:f>IF('Course_Master'!J15="","",'Course_Master'!J15)</x:f>
      </x:c>
      <x:c r="J15" s="34" t="n">
        <x:f>IF('Course_Master'!K15="","",'Course_Master'!K15)</x:f>
        <x:v>25.051605</x:v>
      </x:c>
      <x:c r="K15" s="34" t="n">
        <x:f>IF('Course_Master'!L15="","",'Course_Master'!L15)</x:f>
        <x:v>55.268467</x:v>
      </x:c>
      <x:c r="L15" s="28" t="n">
        <x:f>IF('Course_Master'!R15="","",'Course_Master'!R15)</x:f>
        <x:v>9</x:v>
      </x:c>
      <x:c r="M15" s="28" t="n">
        <x:f>IF('Course_Master'!S15="","",'Course_Master'!S15)</x:f>
        <x:v>27</x:v>
      </x:c>
      <x:c r="N15" s="28" t="n">
        <x:f>IF('Course_Master'!P15="","",'Course_Master'!P15)</x:f>
        <x:v>696</x:v>
      </x:c>
      <x:c r="O15" s="28" t="n">
        <x:f>IF('Course_Master'!Q15="","",'Course_Master'!Q15)</x:f>
        <x:v>636</x:v>
      </x:c>
      <x:c r="P15" s="28" t="str">
        <x:f>IF('Course_Master'!T15="","",'Course_Master'!T15)</x:f>
        <x:v>Par-3</x:v>
      </x:c>
      <x:c r="Q15" s="28" t="str">
        <x:f>IF('Course_Master'!AC15="","",'Course_Master'!AC15)</x:f>
        <x:v>Public / visitor booking</x:v>
      </x:c>
      <x:c r="R15" s="28" t="str">
        <x:f>IF('Course_Master'!AB15="","",'Course_Master'!AB15)</x:f>
        <x:v>Open</x:v>
      </x:c>
      <x:c r="S15" s="28" t="str">
        <x:f>IF('Course_Master'!X15="","",'Course_Master'!X15)</x:f>
        <x:v>https://www.arabianranchesgolfclub.com/</x:v>
      </x:c>
      <x:c r="T15" s="28" t="b">
        <x:f>IF('Course_Master'!Y15="","",'Course_Master'!Y15)</x:f>
        <x:v>1</x:v>
      </x:c>
      <x:c r="U15" s="28" t="b">
        <x:f>IF('Course_Master'!Z15="","",'Course_Master'!Z15)</x:f>
        <x:v>1</x:v>
      </x:c>
      <x:c r="V15" s="28" t="str">
        <x:f>IF('Course_Master'!AJ15="","",'Course_Master'!AJ15)</x:f>
        <x:v>Verified — official/current exact source</x:v>
      </x:c>
    </x:row>
    <x:row r="16">
      <x:c r="A16" s="28" t="str">
        <x:f>IF('Course_Master'!B16="","",'Course_Master'!B16)</x:f>
        <x:v>AE-0015</x:v>
      </x:c>
      <x:c r="B16" s="28" t="str">
        <x:f>IF('Course_Master'!C16="","",'Course_Master'!C16)</x:f>
        <x:v>Dubai Creek Golf &amp; Yacht Club — Championship Course</x:v>
      </x:c>
      <x:c r="C16" s="28" t="str">
        <x:f>IF('Course_Master'!D16="","",'Course_Master'!D16)</x:f>
        <x:v>Dubai Creek Golf &amp; Yacht Club</x:v>
      </x:c>
      <x:c r="D16" s="28" t="str">
        <x:f>IF('Course_Master'!E16="","",'Course_Master'!E16)</x:f>
        <x:v>Championship Course</x:v>
      </x:c>
      <x:c r="E16" s="28" t="str">
        <x:f>IF('Course_Master'!F16="","",'Course_Master'!F16)</x:f>
        <x:v>United Arab Emirates</x:v>
      </x:c>
      <x:c r="F16" s="28" t="str">
        <x:f>IF('Course_Master'!G16="","",'Course_Master'!G16)</x:f>
        <x:v>Dubai</x:v>
      </x:c>
      <x:c r="G16" s="28" t="str">
        <x:f>IF('Course_Master'!H16="","",'Course_Master'!H16)</x:f>
        <x:v>Deira</x:v>
      </x:c>
      <x:c r="H16" s="28" t="str">
        <x:f>IF('Course_Master'!I16="","",'Course_Master'!I16)</x:f>
        <x:v>Dubai</x:v>
      </x:c>
      <x:c r="I16" s="28" t="str">
        <x:f>IF('Course_Master'!J16="","",'Course_Master'!J16)</x:f>
      </x:c>
      <x:c r="J16" s="34" t="n">
        <x:f>IF('Course_Master'!K16="","",'Course_Master'!K16)</x:f>
        <x:v>25.241591</x:v>
      </x:c>
      <x:c r="K16" s="34" t="n">
        <x:f>IF('Course_Master'!L16="","",'Course_Master'!L16)</x:f>
        <x:v>55.333462</x:v>
      </x:c>
      <x:c r="L16" s="28" t="n">
        <x:f>IF('Course_Master'!R16="","",'Course_Master'!R16)</x:f>
        <x:v>18</x:v>
      </x:c>
      <x:c r="M16" s="28" t="n">
        <x:f>IF('Course_Master'!S16="","",'Course_Master'!S16)</x:f>
        <x:v>71</x:v>
      </x:c>
      <x:c r="N16" s="28" t="n">
        <x:f>IF('Course_Master'!P16="","",'Course_Master'!P16)</x:f>
        <x:v>6857</x:v>
      </x:c>
      <x:c r="O16" s="28" t="n">
        <x:f>IF('Course_Master'!Q16="","",'Course_Master'!Q16)</x:f>
        <x:v>6270</x:v>
      </x:c>
      <x:c r="P16" s="28" t="str">
        <x:f>IF('Course_Master'!T16="","",'Course_Master'!T16)</x:f>
        <x:v>Creekside parkland</x:v>
      </x:c>
      <x:c r="Q16" s="28" t="str">
        <x:f>IF('Course_Master'!AC16="","",'Course_Master'!AC16)</x:f>
        <x:v>Public / visitor booking</x:v>
      </x:c>
      <x:c r="R16" s="28" t="str">
        <x:f>IF('Course_Master'!AB16="","",'Course_Master'!AB16)</x:f>
        <x:v>Open</x:v>
      </x:c>
      <x:c r="S16" s="28" t="str">
        <x:f>IF('Course_Master'!X16="","",'Course_Master'!X16)</x:f>
        <x:v>https://www.dubaigolf.com/dcgyc/</x:v>
      </x:c>
      <x:c r="T16" s="28" t="b">
        <x:f>IF('Course_Master'!Y16="","",'Course_Master'!Y16)</x:f>
        <x:v>1</x:v>
      </x:c>
      <x:c r="U16" s="28" t="b">
        <x:f>IF('Course_Master'!Z16="","",'Course_Master'!Z16)</x:f>
        <x:v>1</x:v>
      </x:c>
      <x:c r="V16" s="28" t="str">
        <x:f>IF('Course_Master'!AJ16="","",'Course_Master'!AJ16)</x:f>
        <x:v>Verified — official/current exact source</x:v>
      </x:c>
    </x:row>
    <x:row r="17">
      <x:c r="A17" s="28" t="str">
        <x:f>IF('Course_Master'!B17="","",'Course_Master'!B17)</x:f>
        <x:v>AE-0016</x:v>
      </x:c>
      <x:c r="B17" s="28" t="str">
        <x:f>IF('Course_Master'!C17="","",'Course_Master'!C17)</x:f>
        <x:v>Dubai Creek Golf &amp; Yacht Club — Par 3 Course</x:v>
      </x:c>
      <x:c r="C17" s="28" t="str">
        <x:f>IF('Course_Master'!D17="","",'Course_Master'!D17)</x:f>
        <x:v>Dubai Creek Golf &amp; Yacht Club</x:v>
      </x:c>
      <x:c r="D17" s="28" t="str">
        <x:f>IF('Course_Master'!E17="","",'Course_Master'!E17)</x:f>
        <x:v>Par 3 Course</x:v>
      </x:c>
      <x:c r="E17" s="28" t="str">
        <x:f>IF('Course_Master'!F17="","",'Course_Master'!F17)</x:f>
        <x:v>United Arab Emirates</x:v>
      </x:c>
      <x:c r="F17" s="28" t="str">
        <x:f>IF('Course_Master'!G17="","",'Course_Master'!G17)</x:f>
        <x:v>Dubai</x:v>
      </x:c>
      <x:c r="G17" s="28" t="str">
        <x:f>IF('Course_Master'!H17="","",'Course_Master'!H17)</x:f>
        <x:v>Deira</x:v>
      </x:c>
      <x:c r="H17" s="28" t="str">
        <x:f>IF('Course_Master'!I17="","",'Course_Master'!I17)</x:f>
        <x:v>Dubai</x:v>
      </x:c>
      <x:c r="I17" s="28" t="str">
        <x:f>IF('Course_Master'!J17="","",'Course_Master'!J17)</x:f>
      </x:c>
      <x:c r="J17" s="34" t="n">
        <x:f>IF('Course_Master'!K17="","",'Course_Master'!K17)</x:f>
        <x:v>25.241591</x:v>
      </x:c>
      <x:c r="K17" s="34" t="n">
        <x:f>IF('Course_Master'!L17="","",'Course_Master'!L17)</x:f>
        <x:v>55.333462</x:v>
      </x:c>
      <x:c r="L17" s="28" t="n">
        <x:f>IF('Course_Master'!R17="","",'Course_Master'!R17)</x:f>
        <x:v>9</x:v>
      </x:c>
      <x:c r="M17" s="28" t="n">
        <x:f>IF('Course_Master'!S17="","",'Course_Master'!S17)</x:f>
        <x:v>27</x:v>
      </x:c>
      <x:c r="N17" s="28" t="n">
        <x:f>IF('Course_Master'!P17="","",'Course_Master'!P17)</x:f>
        <x:v>696</x:v>
      </x:c>
      <x:c r="O17" s="28" t="n">
        <x:f>IF('Course_Master'!Q17="","",'Course_Master'!Q17)</x:f>
        <x:v>636</x:v>
      </x:c>
      <x:c r="P17" s="28" t="str">
        <x:f>IF('Course_Master'!T17="","",'Course_Master'!T17)</x:f>
        <x:v>Par-3 / floodlit</x:v>
      </x:c>
      <x:c r="Q17" s="28" t="str">
        <x:f>IF('Course_Master'!AC17="","",'Course_Master'!AC17)</x:f>
        <x:v>Public / visitor booking</x:v>
      </x:c>
      <x:c r="R17" s="28" t="str">
        <x:f>IF('Course_Master'!AB17="","",'Course_Master'!AB17)</x:f>
        <x:v>Open</x:v>
      </x:c>
      <x:c r="S17" s="28" t="str">
        <x:f>IF('Course_Master'!X17="","",'Course_Master'!X17)</x:f>
        <x:v>https://www.dubaigolf.com/dcgyc/</x:v>
      </x:c>
      <x:c r="T17" s="28" t="b">
        <x:f>IF('Course_Master'!Y17="","",'Course_Master'!Y17)</x:f>
        <x:v>1</x:v>
      </x:c>
      <x:c r="U17" s="28" t="b">
        <x:f>IF('Course_Master'!Z17="","",'Course_Master'!Z17)</x:f>
        <x:v>1</x:v>
      </x:c>
      <x:c r="V17" s="28" t="str">
        <x:f>IF('Course_Master'!AJ17="","",'Course_Master'!AJ17)</x:f>
        <x:v>Verified — official/current exact source</x:v>
      </x:c>
    </x:row>
    <x:row r="18">
      <x:c r="A18" s="28" t="str">
        <x:f>IF('Course_Master'!B18="","",'Course_Master'!B18)</x:f>
        <x:v>AE-0017</x:v>
      </x:c>
      <x:c r="B18" s="28" t="str">
        <x:f>IF('Course_Master'!C18="","",'Course_Master'!C18)</x:f>
        <x:v>Dubai Hills Golf Club — Championship Course</x:v>
      </x:c>
      <x:c r="C18" s="28" t="str">
        <x:f>IF('Course_Master'!D18="","",'Course_Master'!D18)</x:f>
        <x:v>Dubai Hills Golf Club</x:v>
      </x:c>
      <x:c r="D18" s="28" t="str">
        <x:f>IF('Course_Master'!E18="","",'Course_Master'!E18)</x:f>
        <x:v>Championship Course</x:v>
      </x:c>
      <x:c r="E18" s="28" t="str">
        <x:f>IF('Course_Master'!F18="","",'Course_Master'!F18)</x:f>
        <x:v>United Arab Emirates</x:v>
      </x:c>
      <x:c r="F18" s="28" t="str">
        <x:f>IF('Course_Master'!G18="","",'Course_Master'!G18)</x:f>
        <x:v>Dubai</x:v>
      </x:c>
      <x:c r="G18" s="28" t="str">
        <x:f>IF('Course_Master'!H18="","",'Course_Master'!H18)</x:f>
        <x:v>Dubai Hills Estate</x:v>
      </x:c>
      <x:c r="H18" s="28" t="str">
        <x:f>IF('Course_Master'!I18="","",'Course_Master'!I18)</x:f>
        <x:v>Dubai</x:v>
      </x:c>
      <x:c r="I18" s="28" t="str">
        <x:f>IF('Course_Master'!J18="","",'Course_Master'!J18)</x:f>
      </x:c>
      <x:c r="J18" s="34" t="n">
        <x:f>IF('Course_Master'!K18="","",'Course_Master'!K18)</x:f>
        <x:v>25.121462</x:v>
      </x:c>
      <x:c r="K18" s="34" t="n">
        <x:f>IF('Course_Master'!L18="","",'Course_Master'!L18)</x:f>
        <x:v>55.2644</x:v>
      </x:c>
      <x:c r="L18" s="28" t="n">
        <x:f>IF('Course_Master'!R18="","",'Course_Master'!R18)</x:f>
        <x:v>18</x:v>
      </x:c>
      <x:c r="M18" s="28" t="n">
        <x:f>IF('Course_Master'!S18="","",'Course_Master'!S18)</x:f>
        <x:v>72</x:v>
      </x:c>
      <x:c r="N18" s="28" t="n">
        <x:f>IF('Course_Master'!P18="","",'Course_Master'!P18)</x:f>
        <x:v>7283</x:v>
      </x:c>
      <x:c r="O18" s="28" t="n">
        <x:f>IF('Course_Master'!Q18="","",'Course_Master'!Q18)</x:f>
        <x:v>6660</x:v>
      </x:c>
      <x:c r="P18" s="28" t="str">
        <x:f>IF('Course_Master'!T18="","",'Course_Master'!T18)</x:f>
        <x:v>Desert</x:v>
      </x:c>
      <x:c r="Q18" s="28" t="str">
        <x:f>IF('Course_Master'!AC18="","",'Course_Master'!AC18)</x:f>
        <x:v>Public / visitor booking</x:v>
      </x:c>
      <x:c r="R18" s="28" t="str">
        <x:f>IF('Course_Master'!AB18="","",'Course_Master'!AB18)</x:f>
        <x:v>Open</x:v>
      </x:c>
      <x:c r="S18" s="28" t="str">
        <x:f>IF('Course_Master'!X18="","",'Course_Master'!X18)</x:f>
        <x:v>https://www.dubaihillsgolfclub.com/</x:v>
      </x:c>
      <x:c r="T18" s="28" t="b">
        <x:f>IF('Course_Master'!Y18="","",'Course_Master'!Y18)</x:f>
        <x:v>1</x:v>
      </x:c>
      <x:c r="U18" s="28" t="b">
        <x:f>IF('Course_Master'!Z18="","",'Course_Master'!Z18)</x:f>
        <x:v>1</x:v>
      </x:c>
      <x:c r="V18" s="28" t="str">
        <x:f>IF('Course_Master'!AJ18="","",'Course_Master'!AJ18)</x:f>
        <x:v>Verified — official/current exact source</x:v>
      </x:c>
    </x:row>
    <x:row r="19">
      <x:c r="A19" s="28" t="str">
        <x:f>IF('Course_Master'!B19="","",'Course_Master'!B19)</x:f>
        <x:v>AE-0018</x:v>
      </x:c>
      <x:c r="B19" s="28" t="str">
        <x:f>IF('Course_Master'!C19="","",'Course_Master'!C19)</x:f>
        <x:v>Dubai Hills Golf Club — Par 3 Course</x:v>
      </x:c>
      <x:c r="C19" s="28" t="str">
        <x:f>IF('Course_Master'!D19="","",'Course_Master'!D19)</x:f>
        <x:v>Dubai Hills Golf Club</x:v>
      </x:c>
      <x:c r="D19" s="28" t="str">
        <x:f>IF('Course_Master'!E19="","",'Course_Master'!E19)</x:f>
        <x:v>Par 3 Course</x:v>
      </x:c>
      <x:c r="E19" s="28" t="str">
        <x:f>IF('Course_Master'!F19="","",'Course_Master'!F19)</x:f>
        <x:v>United Arab Emirates</x:v>
      </x:c>
      <x:c r="F19" s="28" t="str">
        <x:f>IF('Course_Master'!G19="","",'Course_Master'!G19)</x:f>
        <x:v>Dubai</x:v>
      </x:c>
      <x:c r="G19" s="28" t="str">
        <x:f>IF('Course_Master'!H19="","",'Course_Master'!H19)</x:f>
        <x:v>Dubai Hills Estate</x:v>
      </x:c>
      <x:c r="H19" s="28" t="str">
        <x:f>IF('Course_Master'!I19="","",'Course_Master'!I19)</x:f>
        <x:v>Dubai</x:v>
      </x:c>
      <x:c r="I19" s="28" t="str">
        <x:f>IF('Course_Master'!J19="","",'Course_Master'!J19)</x:f>
      </x:c>
      <x:c r="J19" s="34" t="n">
        <x:f>IF('Course_Master'!K19="","",'Course_Master'!K19)</x:f>
        <x:v>25.121462</x:v>
      </x:c>
      <x:c r="K19" s="34" t="n">
        <x:f>IF('Course_Master'!L19="","",'Course_Master'!L19)</x:f>
        <x:v>55.2644</x:v>
      </x:c>
      <x:c r="L19" s="28" t="n">
        <x:f>IF('Course_Master'!R19="","",'Course_Master'!R19)</x:f>
        <x:v>9</x:v>
      </x:c>
      <x:c r="M19" s="28" t="n">
        <x:f>IF('Course_Master'!S19="","",'Course_Master'!S19)</x:f>
        <x:v>27</x:v>
      </x:c>
      <x:c r="N19" s="28" t="str">
        <x:f>IF('Course_Master'!P19="","",'Course_Master'!P19)</x:f>
      </x:c>
      <x:c r="O19" s="28" t="str">
        <x:f>IF('Course_Master'!Q19="","",'Course_Master'!Q19)</x:f>
      </x:c>
      <x:c r="P19" s="28" t="str">
        <x:f>IF('Course_Master'!T19="","",'Course_Master'!T19)</x:f>
        <x:v>Par-3</x:v>
      </x:c>
      <x:c r="Q19" s="28" t="str">
        <x:f>IF('Course_Master'!AC19="","",'Course_Master'!AC19)</x:f>
        <x:v>Public / visitor booking</x:v>
      </x:c>
      <x:c r="R19" s="28" t="str">
        <x:f>IF('Course_Master'!AB19="","",'Course_Master'!AB19)</x:f>
        <x:v>Open</x:v>
      </x:c>
      <x:c r="S19" s="28" t="str">
        <x:f>IF('Course_Master'!X19="","",'Course_Master'!X19)</x:f>
        <x:v>https://www.dubaihillsgolfclub.com/</x:v>
      </x:c>
      <x:c r="T19" s="28" t="b">
        <x:f>IF('Course_Master'!Y19="","",'Course_Master'!Y19)</x:f>
        <x:v>1</x:v>
      </x:c>
      <x:c r="U19" s="28" t="b">
        <x:f>IF('Course_Master'!Z19="","",'Course_Master'!Z19)</x:f>
        <x:v>1</x:v>
      </x:c>
      <x:c r="V19" s="28" t="str">
        <x:f>IF('Course_Master'!AJ19="","",'Course_Master'!AJ19)</x:f>
        <x:v>Verified — official/current exact source</x:v>
      </x:c>
    </x:row>
    <x:row r="20">
      <x:c r="A20" s="28" t="str">
        <x:f>IF('Course_Master'!B20="","",'Course_Master'!B20)</x:f>
        <x:v>AE-0019</x:v>
      </x:c>
      <x:c r="B20" s="28" t="str">
        <x:f>IF('Course_Master'!C20="","",'Course_Master'!C20)</x:f>
        <x:v>Emirates Golf Club — Majlis Course</x:v>
      </x:c>
      <x:c r="C20" s="28" t="str">
        <x:f>IF('Course_Master'!D20="","",'Course_Master'!D20)</x:f>
        <x:v>Emirates Golf Club</x:v>
      </x:c>
      <x:c r="D20" s="28" t="str">
        <x:f>IF('Course_Master'!E20="","",'Course_Master'!E20)</x:f>
        <x:v>Majlis Course</x:v>
      </x:c>
      <x:c r="E20" s="28" t="str">
        <x:f>IF('Course_Master'!F20="","",'Course_Master'!F20)</x:f>
        <x:v>United Arab Emirates</x:v>
      </x:c>
      <x:c r="F20" s="28" t="str">
        <x:f>IF('Course_Master'!G20="","",'Course_Master'!G20)</x:f>
        <x:v>Dubai</x:v>
      </x:c>
      <x:c r="G20" s="28" t="str">
        <x:f>IF('Course_Master'!H20="","",'Course_Master'!H20)</x:f>
        <x:v>Emirates Hills</x:v>
      </x:c>
      <x:c r="H20" s="28" t="str">
        <x:f>IF('Course_Master'!I20="","",'Course_Master'!I20)</x:f>
        <x:v>Dubai</x:v>
      </x:c>
      <x:c r="I20" s="28" t="str">
        <x:f>IF('Course_Master'!J20="","",'Course_Master'!J20)</x:f>
      </x:c>
      <x:c r="J20" s="34" t="n">
        <x:f>IF('Course_Master'!K20="","",'Course_Master'!K20)</x:f>
        <x:v>25.085691</x:v>
      </x:c>
      <x:c r="K20" s="34" t="n">
        <x:f>IF('Course_Master'!L20="","",'Course_Master'!L20)</x:f>
        <x:v>55.162536</x:v>
      </x:c>
      <x:c r="L20" s="28" t="n">
        <x:f>IF('Course_Master'!R20="","",'Course_Master'!R20)</x:f>
        <x:v>18</x:v>
      </x:c>
      <x:c r="M20" s="28" t="n">
        <x:f>IF('Course_Master'!S20="","",'Course_Master'!S20)</x:f>
        <x:v>72</x:v>
      </x:c>
      <x:c r="N20" s="28" t="n">
        <x:f>IF('Course_Master'!P20="","",'Course_Master'!P20)</x:f>
        <x:v>7301</x:v>
      </x:c>
      <x:c r="O20" s="28" t="n">
        <x:f>IF('Course_Master'!Q20="","",'Course_Master'!Q20)</x:f>
        <x:v>6676</x:v>
      </x:c>
      <x:c r="P20" s="28" t="str">
        <x:f>IF('Course_Master'!T20="","",'Course_Master'!T20)</x:f>
        <x:v>Desert parkland</x:v>
      </x:c>
      <x:c r="Q20" s="28" t="str">
        <x:f>IF('Course_Master'!AC20="","",'Course_Master'!AC20)</x:f>
        <x:v>Public / visitor booking</x:v>
      </x:c>
      <x:c r="R20" s="28" t="str">
        <x:f>IF('Course_Master'!AB20="","",'Course_Master'!AB20)</x:f>
        <x:v>Open</x:v>
      </x:c>
      <x:c r="S20" s="28" t="str">
        <x:f>IF('Course_Master'!X20="","",'Course_Master'!X20)</x:f>
        <x:v>https://www.dubaigolf.com/egc/</x:v>
      </x:c>
      <x:c r="T20" s="28" t="b">
        <x:f>IF('Course_Master'!Y20="","",'Course_Master'!Y20)</x:f>
        <x:v>1</x:v>
      </x:c>
      <x:c r="U20" s="28" t="b">
        <x:f>IF('Course_Master'!Z20="","",'Course_Master'!Z20)</x:f>
        <x:v>1</x:v>
      </x:c>
      <x:c r="V20" s="28" t="str">
        <x:f>IF('Course_Master'!AJ20="","",'Course_Master'!AJ20)</x:f>
        <x:v>Verified — official/current exact source</x:v>
      </x:c>
    </x:row>
    <x:row r="21">
      <x:c r="A21" s="28" t="str">
        <x:f>IF('Course_Master'!B21="","",'Course_Master'!B21)</x:f>
        <x:v>AE-0020</x:v>
      </x:c>
      <x:c r="B21" s="28" t="str">
        <x:f>IF('Course_Master'!C21="","",'Course_Master'!C21)</x:f>
        <x:v>Emirates Golf Club — Faldo Course</x:v>
      </x:c>
      <x:c r="C21" s="28" t="str">
        <x:f>IF('Course_Master'!D21="","",'Course_Master'!D21)</x:f>
        <x:v>Emirates Golf Club</x:v>
      </x:c>
      <x:c r="D21" s="28" t="str">
        <x:f>IF('Course_Master'!E21="","",'Course_Master'!E21)</x:f>
        <x:v>Faldo Course</x:v>
      </x:c>
      <x:c r="E21" s="28" t="str">
        <x:f>IF('Course_Master'!F21="","",'Course_Master'!F21)</x:f>
        <x:v>United Arab Emirates</x:v>
      </x:c>
      <x:c r="F21" s="28" t="str">
        <x:f>IF('Course_Master'!G21="","",'Course_Master'!G21)</x:f>
        <x:v>Dubai</x:v>
      </x:c>
      <x:c r="G21" s="28" t="str">
        <x:f>IF('Course_Master'!H21="","",'Course_Master'!H21)</x:f>
        <x:v>Emirates Hills</x:v>
      </x:c>
      <x:c r="H21" s="28" t="str">
        <x:f>IF('Course_Master'!I21="","",'Course_Master'!I21)</x:f>
        <x:v>Dubai</x:v>
      </x:c>
      <x:c r="I21" s="28" t="str">
        <x:f>IF('Course_Master'!J21="","",'Course_Master'!J21)</x:f>
      </x:c>
      <x:c r="J21" s="34" t="n">
        <x:f>IF('Course_Master'!K21="","",'Course_Master'!K21)</x:f>
        <x:v>25.085691</x:v>
      </x:c>
      <x:c r="K21" s="34" t="n">
        <x:f>IF('Course_Master'!L21="","",'Course_Master'!L21)</x:f>
        <x:v>55.162536</x:v>
      </x:c>
      <x:c r="L21" s="28" t="n">
        <x:f>IF('Course_Master'!R21="","",'Course_Master'!R21)</x:f>
        <x:v>18</x:v>
      </x:c>
      <x:c r="M21" s="28" t="n">
        <x:f>IF('Course_Master'!S21="","",'Course_Master'!S21)</x:f>
        <x:v>72</x:v>
      </x:c>
      <x:c r="N21" s="28" t="n">
        <x:f>IF('Course_Master'!P21="","",'Course_Master'!P21)</x:f>
        <x:v>7052</x:v>
      </x:c>
      <x:c r="O21" s="28" t="n">
        <x:f>IF('Course_Master'!Q21="","",'Course_Master'!Q21)</x:f>
        <x:v>6448</x:v>
      </x:c>
      <x:c r="P21" s="28" t="str">
        <x:f>IF('Course_Master'!T21="","",'Course_Master'!T21)</x:f>
        <x:v>Desert / floodlit</x:v>
      </x:c>
      <x:c r="Q21" s="28" t="str">
        <x:f>IF('Course_Master'!AC21="","",'Course_Master'!AC21)</x:f>
        <x:v>Public / visitor booking</x:v>
      </x:c>
      <x:c r="R21" s="28" t="str">
        <x:f>IF('Course_Master'!AB21="","",'Course_Master'!AB21)</x:f>
        <x:v>Open</x:v>
      </x:c>
      <x:c r="S21" s="28" t="str">
        <x:f>IF('Course_Master'!X21="","",'Course_Master'!X21)</x:f>
        <x:v>https://www.dubaigolf.com/egc/</x:v>
      </x:c>
      <x:c r="T21" s="28" t="b">
        <x:f>IF('Course_Master'!Y21="","",'Course_Master'!Y21)</x:f>
        <x:v>1</x:v>
      </x:c>
      <x:c r="U21" s="28" t="b">
        <x:f>IF('Course_Master'!Z21="","",'Course_Master'!Z21)</x:f>
        <x:v>1</x:v>
      </x:c>
      <x:c r="V21" s="28" t="str">
        <x:f>IF('Course_Master'!AJ21="","",'Course_Master'!AJ21)</x:f>
        <x:v>Verified — official/current exact source</x:v>
      </x:c>
    </x:row>
    <x:row r="22">
      <x:c r="A22" s="28" t="str">
        <x:f>IF('Course_Master'!B22="","",'Course_Master'!B22)</x:f>
        <x:v>AE-0021</x:v>
      </x:c>
      <x:c r="B22" s="28" t="str">
        <x:f>IF('Course_Master'!C22="","",'Course_Master'!C22)</x:f>
        <x:v>Emirates Golf Club — Par 3 Academy Course</x:v>
      </x:c>
      <x:c r="C22" s="28" t="str">
        <x:f>IF('Course_Master'!D22="","",'Course_Master'!D22)</x:f>
        <x:v>Emirates Golf Club</x:v>
      </x:c>
      <x:c r="D22" s="28" t="str">
        <x:f>IF('Course_Master'!E22="","",'Course_Master'!E22)</x:f>
        <x:v>Par 3 Academy Course</x:v>
      </x:c>
      <x:c r="E22" s="28" t="str">
        <x:f>IF('Course_Master'!F22="","",'Course_Master'!F22)</x:f>
        <x:v>United Arab Emirates</x:v>
      </x:c>
      <x:c r="F22" s="28" t="str">
        <x:f>IF('Course_Master'!G22="","",'Course_Master'!G22)</x:f>
        <x:v>Dubai</x:v>
      </x:c>
      <x:c r="G22" s="28" t="str">
        <x:f>IF('Course_Master'!H22="","",'Course_Master'!H22)</x:f>
        <x:v>Emirates Hills</x:v>
      </x:c>
      <x:c r="H22" s="28" t="str">
        <x:f>IF('Course_Master'!I22="","",'Course_Master'!I22)</x:f>
        <x:v>Dubai</x:v>
      </x:c>
      <x:c r="I22" s="28" t="str">
        <x:f>IF('Course_Master'!J22="","",'Course_Master'!J22)</x:f>
      </x:c>
      <x:c r="J22" s="34" t="n">
        <x:f>IF('Course_Master'!K22="","",'Course_Master'!K22)</x:f>
        <x:v>25.085691</x:v>
      </x:c>
      <x:c r="K22" s="34" t="n">
        <x:f>IF('Course_Master'!L22="","",'Course_Master'!L22)</x:f>
        <x:v>55.162536</x:v>
      </x:c>
      <x:c r="L22" s="28" t="n">
        <x:f>IF('Course_Master'!R22="","",'Course_Master'!R22)</x:f>
        <x:v>9</x:v>
      </x:c>
      <x:c r="M22" s="28" t="n">
        <x:f>IF('Course_Master'!S22="","",'Course_Master'!S22)</x:f>
        <x:v>27</x:v>
      </x:c>
      <x:c r="N22" s="28" t="n">
        <x:f>IF('Course_Master'!P22="","",'Course_Master'!P22)</x:f>
        <x:v>1239</x:v>
      </x:c>
      <x:c r="O22" s="28" t="n">
        <x:f>IF('Course_Master'!Q22="","",'Course_Master'!Q22)</x:f>
        <x:v>1133</x:v>
      </x:c>
      <x:c r="P22" s="28" t="str">
        <x:f>IF('Course_Master'!T22="","",'Course_Master'!T22)</x:f>
        <x:v>Par-3 / floodlit</x:v>
      </x:c>
      <x:c r="Q22" s="28" t="str">
        <x:f>IF('Course_Master'!AC22="","",'Course_Master'!AC22)</x:f>
        <x:v>Public / visitor booking</x:v>
      </x:c>
      <x:c r="R22" s="28" t="str">
        <x:f>IF('Course_Master'!AB22="","",'Course_Master'!AB22)</x:f>
        <x:v>Open</x:v>
      </x:c>
      <x:c r="S22" s="28" t="str">
        <x:f>IF('Course_Master'!X22="","",'Course_Master'!X22)</x:f>
        <x:v>https://www.dubaigolf.com/egc/</x:v>
      </x:c>
      <x:c r="T22" s="28" t="b">
        <x:f>IF('Course_Master'!Y22="","",'Course_Master'!Y22)</x:f>
        <x:v>1</x:v>
      </x:c>
      <x:c r="U22" s="28" t="b">
        <x:f>IF('Course_Master'!Z22="","",'Course_Master'!Z22)</x:f>
        <x:v>1</x:v>
      </x:c>
      <x:c r="V22" s="28" t="str">
        <x:f>IF('Course_Master'!AJ22="","",'Course_Master'!AJ22)</x:f>
        <x:v>Verified — official/current exact source</x:v>
      </x:c>
    </x:row>
    <x:row r="23">
      <x:c r="A23" s="28" t="str">
        <x:f>IF('Course_Master'!B23="","",'Course_Master'!B23)</x:f>
        <x:v>AE-0022</x:v>
      </x:c>
      <x:c r="B23" s="28" t="str">
        <x:f>IF('Course_Master'!C23="","",'Course_Master'!C23)</x:f>
        <x:v>JA The Resort</x:v>
      </x:c>
      <x:c r="C23" s="28" t="str">
        <x:f>IF('Course_Master'!D23="","",'Course_Master'!D23)</x:f>
        <x:v>JA The Resort</x:v>
      </x:c>
      <x:c r="D23" s="28" t="str">
        <x:f>IF('Course_Master'!E23="","",'Course_Master'!E23)</x:f>
        <x:v>JA Golf Course</x:v>
      </x:c>
      <x:c r="E23" s="28" t="str">
        <x:f>IF('Course_Master'!F23="","",'Course_Master'!F23)</x:f>
        <x:v>United Arab Emirates</x:v>
      </x:c>
      <x:c r="F23" s="28" t="str">
        <x:f>IF('Course_Master'!G23="","",'Course_Master'!G23)</x:f>
        <x:v>Dubai</x:v>
      </x:c>
      <x:c r="G23" s="28" t="str">
        <x:f>IF('Course_Master'!H23="","",'Course_Master'!H23)</x:f>
        <x:v>Jebel Ali</x:v>
      </x:c>
      <x:c r="H23" s="28" t="str">
        <x:f>IF('Course_Master'!I23="","",'Course_Master'!I23)</x:f>
        <x:v>Dubai</x:v>
      </x:c>
      <x:c r="I23" s="28" t="str">
        <x:f>IF('Course_Master'!J23="","",'Course_Master'!J23)</x:f>
      </x:c>
      <x:c r="J23" s="34" t="n">
        <x:f>IF('Course_Master'!K23="","",'Course_Master'!K23)</x:f>
        <x:v>24.986812</x:v>
      </x:c>
      <x:c r="K23" s="34" t="n">
        <x:f>IF('Course_Master'!L23="","",'Course_Master'!L23)</x:f>
        <x:v>55.02562</x:v>
      </x:c>
      <x:c r="L23" s="28" t="n">
        <x:f>IF('Course_Master'!R23="","",'Course_Master'!R23)</x:f>
        <x:v>9</x:v>
      </x:c>
      <x:c r="M23" s="28" t="n">
        <x:f>IF('Course_Master'!S23="","",'Course_Master'!S23)</x:f>
        <x:v>35</x:v>
      </x:c>
      <x:c r="N23" s="28" t="n">
        <x:f>IF('Course_Master'!P23="","",'Course_Master'!P23)</x:f>
        <x:v>3299</x:v>
      </x:c>
      <x:c r="O23" s="28" t="n">
        <x:f>IF('Course_Master'!Q23="","",'Course_Master'!Q23)</x:f>
        <x:v>3017</x:v>
      </x:c>
      <x:c r="P23" s="28" t="str">
        <x:f>IF('Course_Master'!T23="","",'Course_Master'!T23)</x:f>
        <x:v>Resort parkland</x:v>
      </x:c>
      <x:c r="Q23" s="28" t="str">
        <x:f>IF('Course_Master'!AC23="","",'Course_Master'!AC23)</x:f>
        <x:v>Public / visitor booking</x:v>
      </x:c>
      <x:c r="R23" s="28" t="str">
        <x:f>IF('Course_Master'!AB23="","",'Course_Master'!AB23)</x:f>
        <x:v>Open</x:v>
      </x:c>
      <x:c r="S23" s="28" t="str">
        <x:f>IF('Course_Master'!X23="","",'Course_Master'!X23)</x:f>
        <x:v>https://www.jagolf.com/</x:v>
      </x:c>
      <x:c r="T23" s="28" t="b">
        <x:f>IF('Course_Master'!Y23="","",'Course_Master'!Y23)</x:f>
        <x:v>1</x:v>
      </x:c>
      <x:c r="U23" s="28" t="b">
        <x:f>IF('Course_Master'!Z23="","",'Course_Master'!Z23)</x:f>
        <x:v>1</x:v>
      </x:c>
      <x:c r="V23" s="28" t="str">
        <x:f>IF('Course_Master'!AJ23="","",'Course_Master'!AJ23)</x:f>
        <x:v>Verified — official/current exact source</x:v>
      </x:c>
    </x:row>
    <x:row r="24">
      <x:c r="A24" s="28" t="str">
        <x:f>IF('Course_Master'!B24="","",'Course_Master'!B24)</x:f>
        <x:v>AE-0023</x:v>
      </x:c>
      <x:c r="B24" s="28" t="str">
        <x:f>IF('Course_Master'!C24="","",'Course_Master'!C24)</x:f>
        <x:v>Jumeirah Golf Estates — Earth Course</x:v>
      </x:c>
      <x:c r="C24" s="28" t="str">
        <x:f>IF('Course_Master'!D24="","",'Course_Master'!D24)</x:f>
        <x:v>Jumeirah Golf Estates</x:v>
      </x:c>
      <x:c r="D24" s="28" t="str">
        <x:f>IF('Course_Master'!E24="","",'Course_Master'!E24)</x:f>
        <x:v>Earth Course</x:v>
      </x:c>
      <x:c r="E24" s="28" t="str">
        <x:f>IF('Course_Master'!F24="","",'Course_Master'!F24)</x:f>
        <x:v>United Arab Emirates</x:v>
      </x:c>
      <x:c r="F24" s="28" t="str">
        <x:f>IF('Course_Master'!G24="","",'Course_Master'!G24)</x:f>
        <x:v>Dubai</x:v>
      </x:c>
      <x:c r="G24" s="28" t="str">
        <x:f>IF('Course_Master'!H24="","",'Course_Master'!H24)</x:f>
        <x:v>Jumeirah Golf Estates</x:v>
      </x:c>
      <x:c r="H24" s="28" t="str">
        <x:f>IF('Course_Master'!I24="","",'Course_Master'!I24)</x:f>
        <x:v>Dubai</x:v>
      </x:c>
      <x:c r="I24" s="28" t="str">
        <x:f>IF('Course_Master'!J24="","",'Course_Master'!J24)</x:f>
      </x:c>
      <x:c r="J24" s="34" t="n">
        <x:f>IF('Course_Master'!K24="","",'Course_Master'!K24)</x:f>
        <x:v>25.019001</x:v>
      </x:c>
      <x:c r="K24" s="34" t="n">
        <x:f>IF('Course_Master'!L24="","",'Course_Master'!L24)</x:f>
        <x:v>55.197383</x:v>
      </x:c>
      <x:c r="L24" s="28" t="n">
        <x:f>IF('Course_Master'!R24="","",'Course_Master'!R24)</x:f>
        <x:v>18</x:v>
      </x:c>
      <x:c r="M24" s="28" t="n">
        <x:f>IF('Course_Master'!S24="","",'Course_Master'!S24)</x:f>
        <x:v>72</x:v>
      </x:c>
      <x:c r="N24" s="28" t="n">
        <x:f>IF('Course_Master'!P24="","",'Course_Master'!P24)</x:f>
        <x:v>7706</x:v>
      </x:c>
      <x:c r="O24" s="28" t="n">
        <x:f>IF('Course_Master'!Q24="","",'Course_Master'!Q24)</x:f>
        <x:v>7046</x:v>
      </x:c>
      <x:c r="P24" s="28" t="str">
        <x:f>IF('Course_Master'!T24="","",'Course_Master'!T24)</x:f>
        <x:v>Parkland</x:v>
      </x:c>
      <x:c r="Q24" s="28" t="str">
        <x:f>IF('Course_Master'!AC24="","",'Course_Master'!AC24)</x:f>
        <x:v>Public / visitor booking</x:v>
      </x:c>
      <x:c r="R24" s="28" t="str">
        <x:f>IF('Course_Master'!AB24="","",'Course_Master'!AB24)</x:f>
        <x:v>Open</x:v>
      </x:c>
      <x:c r="S24" s="28" t="str">
        <x:f>IF('Course_Master'!X24="","",'Course_Master'!X24)</x:f>
        <x:v>https://www.dubaigolf.com/jge/</x:v>
      </x:c>
      <x:c r="T24" s="28" t="b">
        <x:f>IF('Course_Master'!Y24="","",'Course_Master'!Y24)</x:f>
        <x:v>1</x:v>
      </x:c>
      <x:c r="U24" s="28" t="b">
        <x:f>IF('Course_Master'!Z24="","",'Course_Master'!Z24)</x:f>
        <x:v>1</x:v>
      </x:c>
      <x:c r="V24" s="28" t="str">
        <x:f>IF('Course_Master'!AJ24="","",'Course_Master'!AJ24)</x:f>
        <x:v>Verified — official/current exact source</x:v>
      </x:c>
    </x:row>
    <x:row r="25">
      <x:c r="A25" s="28" t="str">
        <x:f>IF('Course_Master'!B25="","",'Course_Master'!B25)</x:f>
        <x:v>AE-0024</x:v>
      </x:c>
      <x:c r="B25" s="28" t="str">
        <x:f>IF('Course_Master'!C25="","",'Course_Master'!C25)</x:f>
        <x:v>Jumeirah Golf Estates — Fire Course</x:v>
      </x:c>
      <x:c r="C25" s="28" t="str">
        <x:f>IF('Course_Master'!D25="","",'Course_Master'!D25)</x:f>
        <x:v>Jumeirah Golf Estates</x:v>
      </x:c>
      <x:c r="D25" s="28" t="str">
        <x:f>IF('Course_Master'!E25="","",'Course_Master'!E25)</x:f>
        <x:v>Fire Course</x:v>
      </x:c>
      <x:c r="E25" s="28" t="str">
        <x:f>IF('Course_Master'!F25="","",'Course_Master'!F25)</x:f>
        <x:v>United Arab Emirates</x:v>
      </x:c>
      <x:c r="F25" s="28" t="str">
        <x:f>IF('Course_Master'!G25="","",'Course_Master'!G25)</x:f>
        <x:v>Dubai</x:v>
      </x:c>
      <x:c r="G25" s="28" t="str">
        <x:f>IF('Course_Master'!H25="","",'Course_Master'!H25)</x:f>
        <x:v>Jumeirah Golf Estates</x:v>
      </x:c>
      <x:c r="H25" s="28" t="str">
        <x:f>IF('Course_Master'!I25="","",'Course_Master'!I25)</x:f>
        <x:v>Dubai</x:v>
      </x:c>
      <x:c r="I25" s="28" t="str">
        <x:f>IF('Course_Master'!J25="","",'Course_Master'!J25)</x:f>
      </x:c>
      <x:c r="J25" s="34" t="n">
        <x:f>IF('Course_Master'!K25="","",'Course_Master'!K25)</x:f>
        <x:v>25.018535</x:v>
      </x:c>
      <x:c r="K25" s="34" t="n">
        <x:f>IF('Course_Master'!L25="","",'Course_Master'!L25)</x:f>
        <x:v>55.204399</x:v>
      </x:c>
      <x:c r="L25" s="28" t="n">
        <x:f>IF('Course_Master'!R25="","",'Course_Master'!R25)</x:f>
        <x:v>18</x:v>
      </x:c>
      <x:c r="M25" s="28" t="n">
        <x:f>IF('Course_Master'!S25="","",'Course_Master'!S25)</x:f>
        <x:v>72</x:v>
      </x:c>
      <x:c r="N25" s="28" t="n">
        <x:f>IF('Course_Master'!P25="","",'Course_Master'!P25)</x:f>
        <x:v>7480</x:v>
      </x:c>
      <x:c r="O25" s="28" t="n">
        <x:f>IF('Course_Master'!Q25="","",'Course_Master'!Q25)</x:f>
        <x:v>6840</x:v>
      </x:c>
      <x:c r="P25" s="28" t="str">
        <x:f>IF('Course_Master'!T25="","",'Course_Master'!T25)</x:f>
        <x:v>Desert</x:v>
      </x:c>
      <x:c r="Q25" s="28" t="str">
        <x:f>IF('Course_Master'!AC25="","",'Course_Master'!AC25)</x:f>
        <x:v>Public / visitor booking</x:v>
      </x:c>
      <x:c r="R25" s="28" t="str">
        <x:f>IF('Course_Master'!AB25="","",'Course_Master'!AB25)</x:f>
        <x:v>Open</x:v>
      </x:c>
      <x:c r="S25" s="28" t="str">
        <x:f>IF('Course_Master'!X25="","",'Course_Master'!X25)</x:f>
        <x:v>https://www.dubaigolf.com/jge/</x:v>
      </x:c>
      <x:c r="T25" s="28" t="b">
        <x:f>IF('Course_Master'!Y25="","",'Course_Master'!Y25)</x:f>
        <x:v>1</x:v>
      </x:c>
      <x:c r="U25" s="28" t="b">
        <x:f>IF('Course_Master'!Z25="","",'Course_Master'!Z25)</x:f>
        <x:v>1</x:v>
      </x:c>
      <x:c r="V25" s="28" t="str">
        <x:f>IF('Course_Master'!AJ25="","",'Course_Master'!AJ25)</x:f>
        <x:v>Verified — official/current exact source</x:v>
      </x:c>
    </x:row>
    <x:row r="26">
      <x:c r="A26" s="28" t="str">
        <x:f>IF('Course_Master'!B26="","",'Course_Master'!B26)</x:f>
        <x:v>AE-0025</x:v>
      </x:c>
      <x:c r="B26" s="28" t="str">
        <x:f>IF('Course_Master'!C26="","",'Course_Master'!C26)</x:f>
        <x:v>Montgomerie Golf Club Dubai — Championship Course</x:v>
      </x:c>
      <x:c r="C26" s="28" t="str">
        <x:f>IF('Course_Master'!D26="","",'Course_Master'!D26)</x:f>
        <x:v>Montgomerie Golf Club Dubai</x:v>
      </x:c>
      <x:c r="D26" s="28" t="str">
        <x:f>IF('Course_Master'!E26="","",'Course_Master'!E26)</x:f>
        <x:v>Championship Course</x:v>
      </x:c>
      <x:c r="E26" s="28" t="str">
        <x:f>IF('Course_Master'!F26="","",'Course_Master'!F26)</x:f>
        <x:v>United Arab Emirates</x:v>
      </x:c>
      <x:c r="F26" s="28" t="str">
        <x:f>IF('Course_Master'!G26="","",'Course_Master'!G26)</x:f>
        <x:v>Dubai</x:v>
      </x:c>
      <x:c r="G26" s="28" t="str">
        <x:f>IF('Course_Master'!H26="","",'Course_Master'!H26)</x:f>
        <x:v>Emirates Hills</x:v>
      </x:c>
      <x:c r="H26" s="28" t="str">
        <x:f>IF('Course_Master'!I26="","",'Course_Master'!I26)</x:f>
        <x:v>Dubai</x:v>
      </x:c>
      <x:c r="I26" s="28" t="str">
        <x:f>IF('Course_Master'!J26="","",'Course_Master'!J26)</x:f>
      </x:c>
      <x:c r="J26" s="34" t="n">
        <x:f>IF('Course_Master'!K26="","",'Course_Master'!K26)</x:f>
        <x:v>25.067553</x:v>
      </x:c>
      <x:c r="K26" s="34" t="n">
        <x:f>IF('Course_Master'!L26="","",'Course_Master'!L26)</x:f>
        <x:v>55.162096</x:v>
      </x:c>
      <x:c r="L26" s="28" t="n">
        <x:f>IF('Course_Master'!R26="","",'Course_Master'!R26)</x:f>
        <x:v>18</x:v>
      </x:c>
      <x:c r="M26" s="28" t="n">
        <x:f>IF('Course_Master'!S26="","",'Course_Master'!S26)</x:f>
        <x:v>72</x:v>
      </x:c>
      <x:c r="N26" s="28" t="n">
        <x:f>IF('Course_Master'!P26="","",'Course_Master'!P26)</x:f>
        <x:v>7396</x:v>
      </x:c>
      <x:c r="O26" s="28" t="n">
        <x:f>IF('Course_Master'!Q26="","",'Course_Master'!Q26)</x:f>
        <x:v>6763</x:v>
      </x:c>
      <x:c r="P26" s="28" t="str">
        <x:f>IF('Course_Master'!T26="","",'Course_Master'!T26)</x:f>
        <x:v>Parkland</x:v>
      </x:c>
      <x:c r="Q26" s="28" t="str">
        <x:f>IF('Course_Master'!AC26="","",'Course_Master'!AC26)</x:f>
        <x:v>Public / visitor booking</x:v>
      </x:c>
      <x:c r="R26" s="28" t="str">
        <x:f>IF('Course_Master'!AB26="","",'Course_Master'!AB26)</x:f>
        <x:v>Open</x:v>
      </x:c>
      <x:c r="S26" s="28" t="str">
        <x:f>IF('Course_Master'!X26="","",'Course_Master'!X26)</x:f>
        <x:v>https://www.montgomeriegolfclubdubai.com/</x:v>
      </x:c>
      <x:c r="T26" s="28" t="b">
        <x:f>IF('Course_Master'!Y26="","",'Course_Master'!Y26)</x:f>
        <x:v>1</x:v>
      </x:c>
      <x:c r="U26" s="28" t="b">
        <x:f>IF('Course_Master'!Z26="","",'Course_Master'!Z26)</x:f>
        <x:v>1</x:v>
      </x:c>
      <x:c r="V26" s="28" t="str">
        <x:f>IF('Course_Master'!AJ26="","",'Course_Master'!AJ26)</x:f>
        <x:v>Verified — official/current exact source</x:v>
      </x:c>
    </x:row>
    <x:row r="27">
      <x:c r="A27" s="28" t="str">
        <x:f>IF('Course_Master'!B27="","",'Course_Master'!B27)</x:f>
        <x:v>AE-0026</x:v>
      </x:c>
      <x:c r="B27" s="28" t="str">
        <x:f>IF('Course_Master'!C27="","",'Course_Master'!C27)</x:f>
        <x:v>Montgomerie Golf Club Dubai — Par 3 Course</x:v>
      </x:c>
      <x:c r="C27" s="28" t="str">
        <x:f>IF('Course_Master'!D27="","",'Course_Master'!D27)</x:f>
        <x:v>Montgomerie Golf Club Dubai</x:v>
      </x:c>
      <x:c r="D27" s="28" t="str">
        <x:f>IF('Course_Master'!E27="","",'Course_Master'!E27)</x:f>
        <x:v>Par 3 Course</x:v>
      </x:c>
      <x:c r="E27" s="28" t="str">
        <x:f>IF('Course_Master'!F27="","",'Course_Master'!F27)</x:f>
        <x:v>United Arab Emirates</x:v>
      </x:c>
      <x:c r="F27" s="28" t="str">
        <x:f>IF('Course_Master'!G27="","",'Course_Master'!G27)</x:f>
        <x:v>Dubai</x:v>
      </x:c>
      <x:c r="G27" s="28" t="str">
        <x:f>IF('Course_Master'!H27="","",'Course_Master'!H27)</x:f>
        <x:v>Emirates Hills</x:v>
      </x:c>
      <x:c r="H27" s="28" t="str">
        <x:f>IF('Course_Master'!I27="","",'Course_Master'!I27)</x:f>
        <x:v>Dubai</x:v>
      </x:c>
      <x:c r="I27" s="28" t="str">
        <x:f>IF('Course_Master'!J27="","",'Course_Master'!J27)</x:f>
      </x:c>
      <x:c r="J27" s="34" t="n">
        <x:f>IF('Course_Master'!K27="","",'Course_Master'!K27)</x:f>
        <x:v>25.067553</x:v>
      </x:c>
      <x:c r="K27" s="34" t="n">
        <x:f>IF('Course_Master'!L27="","",'Course_Master'!L27)</x:f>
        <x:v>55.162096</x:v>
      </x:c>
      <x:c r="L27" s="28" t="n">
        <x:f>IF('Course_Master'!R27="","",'Course_Master'!R27)</x:f>
        <x:v>9</x:v>
      </x:c>
      <x:c r="M27" s="28" t="n">
        <x:f>IF('Course_Master'!S27="","",'Course_Master'!S27)</x:f>
        <x:v>27</x:v>
      </x:c>
      <x:c r="N27" s="28" t="n">
        <x:f>IF('Course_Master'!P27="","",'Course_Master'!P27)</x:f>
        <x:v>616</x:v>
      </x:c>
      <x:c r="O27" s="28" t="n">
        <x:f>IF('Course_Master'!Q27="","",'Course_Master'!Q27)</x:f>
        <x:v>563</x:v>
      </x:c>
      <x:c r="P27" s="28" t="str">
        <x:f>IF('Course_Master'!T27="","",'Course_Master'!T27)</x:f>
        <x:v>Par-3 / floodlit</x:v>
      </x:c>
      <x:c r="Q27" s="28" t="str">
        <x:f>IF('Course_Master'!AC27="","",'Course_Master'!AC27)</x:f>
        <x:v>Public / visitor booking</x:v>
      </x:c>
      <x:c r="R27" s="28" t="str">
        <x:f>IF('Course_Master'!AB27="","",'Course_Master'!AB27)</x:f>
        <x:v>Open</x:v>
      </x:c>
      <x:c r="S27" s="28" t="str">
        <x:f>IF('Course_Master'!X27="","",'Course_Master'!X27)</x:f>
        <x:v>https://www.montgomeriegolfclubdubai.com/</x:v>
      </x:c>
      <x:c r="T27" s="28" t="b">
        <x:f>IF('Course_Master'!Y27="","",'Course_Master'!Y27)</x:f>
        <x:v>1</x:v>
      </x:c>
      <x:c r="U27" s="28" t="b">
        <x:f>IF('Course_Master'!Z27="","",'Course_Master'!Z27)</x:f>
        <x:v>1</x:v>
      </x:c>
      <x:c r="V27" s="28" t="str">
        <x:f>IF('Course_Master'!AJ27="","",'Course_Master'!AJ27)</x:f>
        <x:v>Verified — official/current exact source</x:v>
      </x:c>
    </x:row>
    <x:row r="28">
      <x:c r="A28" s="28" t="str">
        <x:f>IF('Course_Master'!B28="","",'Course_Master'!B28)</x:f>
        <x:v>AE-0027</x:v>
      </x:c>
      <x:c r="B28" s="28" t="str">
        <x:f>IF('Course_Master'!C28="","",'Course_Master'!C28)</x:f>
        <x:v>The Els Club Dubai</x:v>
      </x:c>
      <x:c r="C28" s="28" t="str">
        <x:f>IF('Course_Master'!D28="","",'Course_Master'!D28)</x:f>
        <x:v>The Els Club Dubai</x:v>
      </x:c>
      <x:c r="D28" s="28" t="str">
        <x:f>IF('Course_Master'!E28="","",'Course_Master'!E28)</x:f>
        <x:v>The Els Course</x:v>
      </x:c>
      <x:c r="E28" s="28" t="str">
        <x:f>IF('Course_Master'!F28="","",'Course_Master'!F28)</x:f>
        <x:v>United Arab Emirates</x:v>
      </x:c>
      <x:c r="F28" s="28" t="str">
        <x:f>IF('Course_Master'!G28="","",'Course_Master'!G28)</x:f>
        <x:v>Dubai</x:v>
      </x:c>
      <x:c r="G28" s="28" t="str">
        <x:f>IF('Course_Master'!H28="","",'Course_Master'!H28)</x:f>
        <x:v>Dubai Sports City</x:v>
      </x:c>
      <x:c r="H28" s="28" t="str">
        <x:f>IF('Course_Master'!I28="","",'Course_Master'!I28)</x:f>
        <x:v>Dubai</x:v>
      </x:c>
      <x:c r="I28" s="28" t="str">
        <x:f>IF('Course_Master'!J28="","",'Course_Master'!J28)</x:f>
      </x:c>
      <x:c r="J28" s="34" t="n">
        <x:f>IF('Course_Master'!K28="","",'Course_Master'!K28)</x:f>
        <x:v>25.03126</x:v>
      </x:c>
      <x:c r="K28" s="34" t="n">
        <x:f>IF('Course_Master'!L28="","",'Course_Master'!L28)</x:f>
        <x:v>55.218015</x:v>
      </x:c>
      <x:c r="L28" s="28" t="n">
        <x:f>IF('Course_Master'!R28="","",'Course_Master'!R28)</x:f>
        <x:v>18</x:v>
      </x:c>
      <x:c r="M28" s="28" t="n">
        <x:f>IF('Course_Master'!S28="","",'Course_Master'!S28)</x:f>
        <x:v>72</x:v>
      </x:c>
      <x:c r="N28" s="28" t="n">
        <x:f>IF('Course_Master'!P28="","",'Course_Master'!P28)</x:f>
        <x:v>7538</x:v>
      </x:c>
      <x:c r="O28" s="28" t="n">
        <x:f>IF('Course_Master'!Q28="","",'Course_Master'!Q28)</x:f>
        <x:v>6893</x:v>
      </x:c>
      <x:c r="P28" s="28" t="str">
        <x:f>IF('Course_Master'!T28="","",'Course_Master'!T28)</x:f>
        <x:v>Links-style desert</x:v>
      </x:c>
      <x:c r="Q28" s="28" t="str">
        <x:f>IF('Course_Master'!AC28="","",'Course_Master'!AC28)</x:f>
        <x:v>Public / visitor booking</x:v>
      </x:c>
      <x:c r="R28" s="28" t="str">
        <x:f>IF('Course_Master'!AB28="","",'Course_Master'!AB28)</x:f>
        <x:v>Open</x:v>
      </x:c>
      <x:c r="S28" s="28" t="str">
        <x:f>IF('Course_Master'!X28="","",'Course_Master'!X28)</x:f>
        <x:v>https://www.elsclubdubai.com/</x:v>
      </x:c>
      <x:c r="T28" s="28" t="b">
        <x:f>IF('Course_Master'!Y28="","",'Course_Master'!Y28)</x:f>
        <x:v>1</x:v>
      </x:c>
      <x:c r="U28" s="28" t="b">
        <x:f>IF('Course_Master'!Z28="","",'Course_Master'!Z28)</x:f>
        <x:v>1</x:v>
      </x:c>
      <x:c r="V28" s="28" t="str">
        <x:f>IF('Course_Master'!AJ28="","",'Course_Master'!AJ28)</x:f>
        <x:v>Verified — official/current exact source</x:v>
      </x:c>
    </x:row>
    <x:row r="29">
      <x:c r="A29" s="28" t="str">
        <x:f>IF('Course_Master'!B29="","",'Course_Master'!B29)</x:f>
        <x:v>AE-0028</x:v>
      </x:c>
      <x:c r="B29" s="28" t="str">
        <x:f>IF('Course_Master'!C29="","",'Course_Master'!C29)</x:f>
        <x:v>The Track, Meydan Golf</x:v>
      </x:c>
      <x:c r="C29" s="28" t="str">
        <x:f>IF('Course_Master'!D29="","",'Course_Master'!D29)</x:f>
        <x:v>The Track, Meydan Golf</x:v>
      </x:c>
      <x:c r="D29" s="28" t="str">
        <x:f>IF('Course_Master'!E29="","",'Course_Master'!E29)</x:f>
        <x:v>The Track</x:v>
      </x:c>
      <x:c r="E29" s="28" t="str">
        <x:f>IF('Course_Master'!F29="","",'Course_Master'!F29)</x:f>
        <x:v>United Arab Emirates</x:v>
      </x:c>
      <x:c r="F29" s="28" t="str">
        <x:f>IF('Course_Master'!G29="","",'Course_Master'!G29)</x:f>
        <x:v>Dubai</x:v>
      </x:c>
      <x:c r="G29" s="28" t="str">
        <x:f>IF('Course_Master'!H29="","",'Course_Master'!H29)</x:f>
        <x:v>Nad Al Sheba</x:v>
      </x:c>
      <x:c r="H29" s="28" t="str">
        <x:f>IF('Course_Master'!I29="","",'Course_Master'!I29)</x:f>
        <x:v>Dubai</x:v>
      </x:c>
      <x:c r="I29" s="28" t="str">
        <x:f>IF('Course_Master'!J29="","",'Course_Master'!J29)</x:f>
      </x:c>
      <x:c r="J29" s="34" t="n">
        <x:f>IF('Course_Master'!K29="","",'Course_Master'!K29)</x:f>
        <x:v>25.160546</x:v>
      </x:c>
      <x:c r="K29" s="34" t="n">
        <x:f>IF('Course_Master'!L29="","",'Course_Master'!L29)</x:f>
        <x:v>55.303913</x:v>
      </x:c>
      <x:c r="L29" s="28" t="n">
        <x:f>IF('Course_Master'!R29="","",'Course_Master'!R29)</x:f>
        <x:v>9</x:v>
      </x:c>
      <x:c r="M29" s="28" t="n">
        <x:f>IF('Course_Master'!S29="","",'Course_Master'!S29)</x:f>
        <x:v>36</x:v>
      </x:c>
      <x:c r="N29" s="28" t="n">
        <x:f>IF('Course_Master'!P29="","",'Course_Master'!P29)</x:f>
        <x:v>3667</x:v>
      </x:c>
      <x:c r="O29" s="28" t="n">
        <x:f>IF('Course_Master'!Q29="","",'Course_Master'!Q29)</x:f>
        <x:v>3353</x:v>
      </x:c>
      <x:c r="P29" s="28" t="str">
        <x:f>IF('Course_Master'!T29="","",'Course_Master'!T29)</x:f>
        <x:v>Parkland / floodlit</x:v>
      </x:c>
      <x:c r="Q29" s="28" t="str">
        <x:f>IF('Course_Master'!AC29="","",'Course_Master'!AC29)</x:f>
        <x:v>Public / visitor booking</x:v>
      </x:c>
      <x:c r="R29" s="28" t="str">
        <x:f>IF('Course_Master'!AB29="","",'Course_Master'!AB29)</x:f>
        <x:v>Open</x:v>
      </x:c>
      <x:c r="S29" s="28" t="str">
        <x:f>IF('Course_Master'!X29="","",'Course_Master'!X29)</x:f>
        <x:v>https://www.meydangolf.com/</x:v>
      </x:c>
      <x:c r="T29" s="28" t="b">
        <x:f>IF('Course_Master'!Y29="","",'Course_Master'!Y29)</x:f>
        <x:v>1</x:v>
      </x:c>
      <x:c r="U29" s="28" t="b">
        <x:f>IF('Course_Master'!Z29="","",'Course_Master'!Z29)</x:f>
        <x:v>1</x:v>
      </x:c>
      <x:c r="V29" s="28" t="str">
        <x:f>IF('Course_Master'!AJ29="","",'Course_Master'!AJ29)</x:f>
        <x:v>Verified — official/current exact source</x:v>
      </x:c>
    </x:row>
    <x:row r="30">
      <x:c r="A30" s="28" t="str">
        <x:f>IF('Course_Master'!B30="","",'Course_Master'!B30)</x:f>
        <x:v>AE-0029</x:v>
      </x:c>
      <x:c r="B30" s="28" t="str">
        <x:f>IF('Course_Master'!C30="","",'Course_Master'!C30)</x:f>
        <x:v>Trump International Golf Club Dubai — Championship Course</x:v>
      </x:c>
      <x:c r="C30" s="28" t="str">
        <x:f>IF('Course_Master'!D30="","",'Course_Master'!D30)</x:f>
        <x:v>Trump International Golf Club Dubai</x:v>
      </x:c>
      <x:c r="D30" s="28" t="str">
        <x:f>IF('Course_Master'!E30="","",'Course_Master'!E30)</x:f>
        <x:v>Championship Course</x:v>
      </x:c>
      <x:c r="E30" s="28" t="str">
        <x:f>IF('Course_Master'!F30="","",'Course_Master'!F30)</x:f>
        <x:v>United Arab Emirates</x:v>
      </x:c>
      <x:c r="F30" s="28" t="str">
        <x:f>IF('Course_Master'!G30="","",'Course_Master'!G30)</x:f>
        <x:v>Dubai</x:v>
      </x:c>
      <x:c r="G30" s="28" t="str">
        <x:f>IF('Course_Master'!H30="","",'Course_Master'!H30)</x:f>
        <x:v>DAMAC Hills</x:v>
      </x:c>
      <x:c r="H30" s="28" t="str">
        <x:f>IF('Course_Master'!I30="","",'Course_Master'!I30)</x:f>
        <x:v>Dubai</x:v>
      </x:c>
      <x:c r="I30" s="28" t="str">
        <x:f>IF('Course_Master'!J30="","",'Course_Master'!J30)</x:f>
      </x:c>
      <x:c r="J30" s="34" t="n">
        <x:f>IF('Course_Master'!K30="","",'Course_Master'!K30)</x:f>
        <x:v>25.024487</x:v>
      </x:c>
      <x:c r="K30" s="34" t="n">
        <x:f>IF('Course_Master'!L30="","",'Course_Master'!L30)</x:f>
        <x:v>55.253546</x:v>
      </x:c>
      <x:c r="L30" s="28" t="n">
        <x:f>IF('Course_Master'!R30="","",'Course_Master'!R30)</x:f>
        <x:v>18</x:v>
      </x:c>
      <x:c r="M30" s="28" t="n">
        <x:f>IF('Course_Master'!S30="","",'Course_Master'!S30)</x:f>
        <x:v>71</x:v>
      </x:c>
      <x:c r="N30" s="28" t="n">
        <x:f>IF('Course_Master'!P30="","",'Course_Master'!P30)</x:f>
        <x:v>7299</x:v>
      </x:c>
      <x:c r="O30" s="28" t="n">
        <x:f>IF('Course_Master'!Q30="","",'Course_Master'!Q30)</x:f>
        <x:v>6674</x:v>
      </x:c>
      <x:c r="P30" s="28" t="str">
        <x:f>IF('Course_Master'!T30="","",'Course_Master'!T30)</x:f>
        <x:v>Desert</x:v>
      </x:c>
      <x:c r="Q30" s="28" t="str">
        <x:f>IF('Course_Master'!AC30="","",'Course_Master'!AC30)</x:f>
        <x:v>Public / visitor booking</x:v>
      </x:c>
      <x:c r="R30" s="28" t="str">
        <x:f>IF('Course_Master'!AB30="","",'Course_Master'!AB30)</x:f>
        <x:v>Open</x:v>
      </x:c>
      <x:c r="S30" s="28" t="str">
        <x:f>IF('Course_Master'!X30="","",'Course_Master'!X30)</x:f>
        <x:v>https://www.trumpgolfdubai.com/</x:v>
      </x:c>
      <x:c r="T30" s="28" t="b">
        <x:f>IF('Course_Master'!Y30="","",'Course_Master'!Y30)</x:f>
        <x:v>1</x:v>
      </x:c>
      <x:c r="U30" s="28" t="b">
        <x:f>IF('Course_Master'!Z30="","",'Course_Master'!Z30)</x:f>
        <x:v>1</x:v>
      </x:c>
      <x:c r="V30" s="28" t="str">
        <x:f>IF('Course_Master'!AJ30="","",'Course_Master'!AJ30)</x:f>
        <x:v>Verified — official/current exact source</x:v>
      </x:c>
    </x:row>
    <x:row r="31">
      <x:c r="A31" s="28" t="str">
        <x:f>IF('Course_Master'!B31="","",'Course_Master'!B31)</x:f>
        <x:v>AE-0030</x:v>
      </x:c>
      <x:c r="B31" s="28" t="str">
        <x:f>IF('Course_Master'!C31="","",'Course_Master'!C31)</x:f>
        <x:v>Trump International Golf Club Dubai — Academy Par 3 Course</x:v>
      </x:c>
      <x:c r="C31" s="28" t="str">
        <x:f>IF('Course_Master'!D31="","",'Course_Master'!D31)</x:f>
        <x:v>Trump International Golf Club Dubai</x:v>
      </x:c>
      <x:c r="D31" s="28" t="str">
        <x:f>IF('Course_Master'!E31="","",'Course_Master'!E31)</x:f>
        <x:v>Academy Par 3 Course</x:v>
      </x:c>
      <x:c r="E31" s="28" t="str">
        <x:f>IF('Course_Master'!F31="","",'Course_Master'!F31)</x:f>
        <x:v>United Arab Emirates</x:v>
      </x:c>
      <x:c r="F31" s="28" t="str">
        <x:f>IF('Course_Master'!G31="","",'Course_Master'!G31)</x:f>
        <x:v>Dubai</x:v>
      </x:c>
      <x:c r="G31" s="28" t="str">
        <x:f>IF('Course_Master'!H31="","",'Course_Master'!H31)</x:f>
        <x:v>DAMAC Hills</x:v>
      </x:c>
      <x:c r="H31" s="28" t="str">
        <x:f>IF('Course_Master'!I31="","",'Course_Master'!I31)</x:f>
        <x:v>Dubai</x:v>
      </x:c>
      <x:c r="I31" s="28" t="str">
        <x:f>IF('Course_Master'!J31="","",'Course_Master'!J31)</x:f>
      </x:c>
      <x:c r="J31" s="34" t="n">
        <x:f>IF('Course_Master'!K31="","",'Course_Master'!K31)</x:f>
        <x:v>25.024487</x:v>
      </x:c>
      <x:c r="K31" s="34" t="n">
        <x:f>IF('Course_Master'!L31="","",'Course_Master'!L31)</x:f>
        <x:v>55.253546</x:v>
      </x:c>
      <x:c r="L31" s="28" t="n">
        <x:f>IF('Course_Master'!R31="","",'Course_Master'!R31)</x:f>
        <x:v>9</x:v>
      </x:c>
      <x:c r="M31" s="28" t="n">
        <x:f>IF('Course_Master'!S31="","",'Course_Master'!S31)</x:f>
        <x:v>27</x:v>
      </x:c>
      <x:c r="N31" s="28" t="n">
        <x:f>IF('Course_Master'!P31="","",'Course_Master'!P31)</x:f>
        <x:v>1257</x:v>
      </x:c>
      <x:c r="O31" s="28" t="n">
        <x:f>IF('Course_Master'!Q31="","",'Course_Master'!Q31)</x:f>
        <x:v>1149</x:v>
      </x:c>
      <x:c r="P31" s="28" t="str">
        <x:f>IF('Course_Master'!T31="","",'Course_Master'!T31)</x:f>
        <x:v>Par-3 / floodlit</x:v>
      </x:c>
      <x:c r="Q31" s="28" t="str">
        <x:f>IF('Course_Master'!AC31="","",'Course_Master'!AC31)</x:f>
        <x:v>Public / visitor booking</x:v>
      </x:c>
      <x:c r="R31" s="28" t="str">
        <x:f>IF('Course_Master'!AB31="","",'Course_Master'!AB31)</x:f>
        <x:v>Open</x:v>
      </x:c>
      <x:c r="S31" s="28" t="str">
        <x:f>IF('Course_Master'!X31="","",'Course_Master'!X31)</x:f>
        <x:v>https://www.trumpgolfdubai.com/</x:v>
      </x:c>
      <x:c r="T31" s="28" t="b">
        <x:f>IF('Course_Master'!Y31="","",'Course_Master'!Y31)</x:f>
        <x:v>1</x:v>
      </x:c>
      <x:c r="U31" s="28" t="b">
        <x:f>IF('Course_Master'!Z31="","",'Course_Master'!Z31)</x:f>
        <x:v>1</x:v>
      </x:c>
      <x:c r="V31" s="28" t="str">
        <x:f>IF('Course_Master'!AJ31="","",'Course_Master'!AJ31)</x:f>
        <x:v>Verified — official/current exact source</x:v>
      </x:c>
    </x:row>
    <x:row r="32">
      <x:c r="A32" s="28" t="str">
        <x:f>IF('Course_Master'!B32="","",'Course_Master'!B32)</x:f>
        <x:v>AE-0031</x:v>
      </x:c>
      <x:c r="B32" s="28" t="str">
        <x:f>IF('Course_Master'!C32="","",'Course_Master'!C32)</x:f>
        <x:v>Sharjah Golf &amp; Shooting Club</x:v>
      </x:c>
      <x:c r="C32" s="28" t="str">
        <x:f>IF('Course_Master'!D32="","",'Course_Master'!D32)</x:f>
        <x:v>Sharjah Golf &amp; Shooting Club</x:v>
      </x:c>
      <x:c r="D32" s="28" t="str">
        <x:f>IF('Course_Master'!E32="","",'Course_Master'!E32)</x:f>
        <x:v>Sharjah Course</x:v>
      </x:c>
      <x:c r="E32" s="28" t="str">
        <x:f>IF('Course_Master'!F32="","",'Course_Master'!F32)</x:f>
        <x:v>United Arab Emirates</x:v>
      </x:c>
      <x:c r="F32" s="28" t="str">
        <x:f>IF('Course_Master'!G32="","",'Course_Master'!G32)</x:f>
        <x:v>Sharjah</x:v>
      </x:c>
      <x:c r="G32" s="28" t="str">
        <x:f>IF('Course_Master'!H32="","",'Course_Master'!H32)</x:f>
        <x:v>Sheikh Mohammed Bin Zayed Road</x:v>
      </x:c>
      <x:c r="H32" s="28" t="str">
        <x:f>IF('Course_Master'!I32="","",'Course_Master'!I32)</x:f>
        <x:v>Sharjah</x:v>
      </x:c>
      <x:c r="I32" s="28" t="str">
        <x:f>IF('Course_Master'!J32="","",'Course_Master'!J32)</x:f>
      </x:c>
      <x:c r="J32" s="34" t="n">
        <x:f>IF('Course_Master'!K32="","",'Course_Master'!K32)</x:f>
        <x:v>25.35371</x:v>
      </x:c>
      <x:c r="K32" s="34" t="n">
        <x:f>IF('Course_Master'!L32="","",'Course_Master'!L32)</x:f>
        <x:v>55.48812</x:v>
      </x:c>
      <x:c r="L32" s="28" t="n">
        <x:f>IF('Course_Master'!R32="","",'Course_Master'!R32)</x:f>
        <x:v>9</x:v>
      </x:c>
      <x:c r="M32" s="28" t="n">
        <x:f>IF('Course_Master'!S32="","",'Course_Master'!S32)</x:f>
        <x:v>36</x:v>
      </x:c>
      <x:c r="N32" s="28" t="n">
        <x:f>IF('Course_Master'!P32="","",'Course_Master'!P32)</x:f>
        <x:v>3599</x:v>
      </x:c>
      <x:c r="O32" s="28" t="n">
        <x:f>IF('Course_Master'!Q32="","",'Course_Master'!Q32)</x:f>
        <x:v>3291</x:v>
      </x:c>
      <x:c r="P32" s="28" t="str">
        <x:f>IF('Course_Master'!T32="","",'Course_Master'!T32)</x:f>
        <x:v>Parkland / floodlit</x:v>
      </x:c>
      <x:c r="Q32" s="28" t="str">
        <x:f>IF('Course_Master'!AC32="","",'Course_Master'!AC32)</x:f>
        <x:v>Public / visitor booking</x:v>
      </x:c>
      <x:c r="R32" s="28" t="str">
        <x:f>IF('Course_Master'!AB32="","",'Course_Master'!AB32)</x:f>
        <x:v>Open</x:v>
      </x:c>
      <x:c r="S32" s="28" t="str">
        <x:f>IF('Course_Master'!X32="","",'Course_Master'!X32)</x:f>
        <x:v>https://golfandshootingshj.com/</x:v>
      </x:c>
      <x:c r="T32" s="28" t="b">
        <x:f>IF('Course_Master'!Y32="","",'Course_Master'!Y32)</x:f>
        <x:v>1</x:v>
      </x:c>
      <x:c r="U32" s="28" t="b">
        <x:f>IF('Course_Master'!Z32="","",'Course_Master'!Z32)</x:f>
        <x:v>1</x:v>
      </x:c>
      <x:c r="V32" s="28" t="str">
        <x:f>IF('Course_Master'!AJ32="","",'Course_Master'!AJ32)</x:f>
        <x:v>Verified — official/current exact source</x:v>
      </x:c>
    </x:row>
    <x:row r="33">
      <x:c r="A33" s="28" t="str">
        <x:f>IF('Course_Master'!B33="","",'Course_Master'!B33)</x:f>
        <x:v>AE-0032</x:v>
      </x:c>
      <x:c r="B33" s="28" t="str">
        <x:f>IF('Course_Master'!C33="","",'Course_Master'!C33)</x:f>
        <x:v>Al Hamra Golf Club</x:v>
      </x:c>
      <x:c r="C33" s="28" t="str">
        <x:f>IF('Course_Master'!D33="","",'Course_Master'!D33)</x:f>
        <x:v>Al Hamra Golf Club</x:v>
      </x:c>
      <x:c r="D33" s="28" t="str">
        <x:f>IF('Course_Master'!E33="","",'Course_Master'!E33)</x:f>
        <x:v>Al Hamra Course</x:v>
      </x:c>
      <x:c r="E33" s="28" t="str">
        <x:f>IF('Course_Master'!F33="","",'Course_Master'!F33)</x:f>
        <x:v>United Arab Emirates</x:v>
      </x:c>
      <x:c r="F33" s="28" t="str">
        <x:f>IF('Course_Master'!G33="","",'Course_Master'!G33)</x:f>
        <x:v>Ras Al Khaimah</x:v>
      </x:c>
      <x:c r="G33" s="28" t="str">
        <x:f>IF('Course_Master'!H33="","",'Course_Master'!H33)</x:f>
        <x:v>Al Hamra Village</x:v>
      </x:c>
      <x:c r="H33" s="28" t="str">
        <x:f>IF('Course_Master'!I33="","",'Course_Master'!I33)</x:f>
        <x:v>Ras Al Khaimah</x:v>
      </x:c>
      <x:c r="I33" s="28" t="str">
        <x:f>IF('Course_Master'!J33="","",'Course_Master'!J33)</x:f>
      </x:c>
      <x:c r="J33" s="34" t="n">
        <x:f>IF('Course_Master'!K33="","",'Course_Master'!K33)</x:f>
        <x:v>25.689375</x:v>
      </x:c>
      <x:c r="K33" s="34" t="n">
        <x:f>IF('Course_Master'!L33="","",'Course_Master'!L33)</x:f>
        <x:v>55.776815</x:v>
      </x:c>
      <x:c r="L33" s="28" t="n">
        <x:f>IF('Course_Master'!R33="","",'Course_Master'!R33)</x:f>
        <x:v>18</x:v>
      </x:c>
      <x:c r="M33" s="28" t="n">
        <x:f>IF('Course_Master'!S33="","",'Course_Master'!S33)</x:f>
        <x:v>72</x:v>
      </x:c>
      <x:c r="N33" s="28" t="n">
        <x:f>IF('Course_Master'!P33="","",'Course_Master'!P33)</x:f>
        <x:v>7400</x:v>
      </x:c>
      <x:c r="O33" s="28" t="n">
        <x:f>IF('Course_Master'!Q33="","",'Course_Master'!Q33)</x:f>
        <x:v>6767</x:v>
      </x:c>
      <x:c r="P33" s="28" t="str">
        <x:f>IF('Course_Master'!T33="","",'Course_Master'!T33)</x:f>
        <x:v>Coastal parkland</x:v>
      </x:c>
      <x:c r="Q33" s="28" t="str">
        <x:f>IF('Course_Master'!AC33="","",'Course_Master'!AC33)</x:f>
        <x:v>Public / visitor booking</x:v>
      </x:c>
      <x:c r="R33" s="28" t="str">
        <x:f>IF('Course_Master'!AB33="","",'Course_Master'!AB33)</x:f>
        <x:v>Open</x:v>
      </x:c>
      <x:c r="S33" s="28" t="str">
        <x:f>IF('Course_Master'!X33="","",'Course_Master'!X33)</x:f>
        <x:v>https://www.alhamragolf.com/</x:v>
      </x:c>
      <x:c r="T33" s="28" t="b">
        <x:f>IF('Course_Master'!Y33="","",'Course_Master'!Y33)</x:f>
        <x:v>1</x:v>
      </x:c>
      <x:c r="U33" s="28" t="b">
        <x:f>IF('Course_Master'!Z33="","",'Course_Master'!Z33)</x:f>
        <x:v>1</x:v>
      </x:c>
      <x:c r="V33" s="28" t="str">
        <x:f>IF('Course_Master'!AJ33="","",'Course_Master'!AJ33)</x:f>
        <x:v>Verified — official/current exact source</x:v>
      </x:c>
    </x:row>
    <x:row r="34">
      <x:c r="A34" s="28" t="str">
        <x:f>IF('Course_Master'!B34="","",'Course_Master'!B34)</x:f>
        <x:v>AE-0033</x:v>
      </x:c>
      <x:c r="B34" s="28" t="str">
        <x:f>IF('Course_Master'!C34="","",'Course_Master'!C34)</x:f>
        <x:v>Tower Links Golf Club</x:v>
      </x:c>
      <x:c r="C34" s="28" t="str">
        <x:f>IF('Course_Master'!D34="","",'Course_Master'!D34)</x:f>
        <x:v>Tower Links Golf Club</x:v>
      </x:c>
      <x:c r="D34" s="28" t="str">
        <x:f>IF('Course_Master'!E34="","",'Course_Master'!E34)</x:f>
        <x:v>Tower Links Course</x:v>
      </x:c>
      <x:c r="E34" s="28" t="str">
        <x:f>IF('Course_Master'!F34="","",'Course_Master'!F34)</x:f>
        <x:v>United Arab Emirates</x:v>
      </x:c>
      <x:c r="F34" s="28" t="str">
        <x:f>IF('Course_Master'!G34="","",'Course_Master'!G34)</x:f>
        <x:v>Ras Al Khaimah</x:v>
      </x:c>
      <x:c r="G34" s="28" t="str">
        <x:f>IF('Course_Master'!H34="","",'Course_Master'!H34)</x:f>
        <x:v>Khuzam</x:v>
      </x:c>
      <x:c r="H34" s="28" t="str">
        <x:f>IF('Course_Master'!I34="","",'Course_Master'!I34)</x:f>
        <x:v>Ras Al Khaimah</x:v>
      </x:c>
      <x:c r="I34" s="28" t="str">
        <x:f>IF('Course_Master'!J34="","",'Course_Master'!J34)</x:f>
      </x:c>
      <x:c r="J34" s="34" t="n">
        <x:f>IF('Course_Master'!K34="","",'Course_Master'!K34)</x:f>
        <x:v>25.763334</x:v>
      </x:c>
      <x:c r="K34" s="34" t="n">
        <x:f>IF('Course_Master'!L34="","",'Course_Master'!L34)</x:f>
        <x:v>55.956448</x:v>
      </x:c>
      <x:c r="L34" s="28" t="n">
        <x:f>IF('Course_Master'!R34="","",'Course_Master'!R34)</x:f>
        <x:v>18</x:v>
      </x:c>
      <x:c r="M34" s="28" t="n">
        <x:f>IF('Course_Master'!S34="","",'Course_Master'!S34)</x:f>
        <x:v>72</x:v>
      </x:c>
      <x:c r="N34" s="28" t="n">
        <x:f>IF('Course_Master'!P34="","",'Course_Master'!P34)</x:f>
        <x:v>7209</x:v>
      </x:c>
      <x:c r="O34" s="28" t="n">
        <x:f>IF('Course_Master'!Q34="","",'Course_Master'!Q34)</x:f>
        <x:v>6592</x:v>
      </x:c>
      <x:c r="P34" s="28" t="str">
        <x:f>IF('Course_Master'!T34="","",'Course_Master'!T34)</x:f>
        <x:v>Desert / mangrove</x:v>
      </x:c>
      <x:c r="Q34" s="28" t="str">
        <x:f>IF('Course_Master'!AC34="","",'Course_Master'!AC34)</x:f>
        <x:v>Public / visitor booking</x:v>
      </x:c>
      <x:c r="R34" s="28" t="str">
        <x:f>IF('Course_Master'!AB34="","",'Course_Master'!AB34)</x:f>
        <x:v>Open</x:v>
      </x:c>
      <x:c r="S34" s="28" t="str">
        <x:f>IF('Course_Master'!X34="","",'Course_Master'!X34)</x:f>
        <x:v>https://towerlinks.ae/</x:v>
      </x:c>
      <x:c r="T34" s="28" t="b">
        <x:f>IF('Course_Master'!Y34="","",'Course_Master'!Y34)</x:f>
        <x:v>1</x:v>
      </x:c>
      <x:c r="U34" s="28" t="b">
        <x:f>IF('Course_Master'!Z34="","",'Course_Master'!Z34)</x:f>
        <x:v>1</x:v>
      </x:c>
      <x:c r="V34" s="28" t="str">
        <x:f>IF('Course_Master'!AJ34="","",'Course_Master'!AJ34)</x:f>
        <x:v>Verified — official/current exact source</x:v>
      </x:c>
    </x:row>
  </x:sheetData>
  <x:pageMargins left="0.7" right="0.7" top="0.75" bottom="0.75" header="0.3" footer="0.3"/>
  <x:tableParts count="1">
    <x:tablePart xmlns:r="http://schemas.openxmlformats.org/officeDocument/2006/relationships" r:id="R40d087d8992d4f2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5" hidden="0" customWidth="1"/>
    <x:col min="3" max="3" width="22" hidden="0" customWidth="1"/>
  </x:cols>
  <x:sheetData>
    <x:row r="1">
      <x:c r="A1" s="4" t="str">
        <x:v>DATA DICTIONARY</x:v>
      </x:c>
      <x:c r="B1" s="4"/>
      <x:c r="C1" s="4"/>
    </x:row>
    <x:row r="2">
      <x:c r="A2" s="25" t="str">
        <x:v>Field</x:v>
      </x:c>
      <x:c r="B2" s="26" t="str">
        <x:v>Definition</x:v>
      </x:c>
      <x:c r="C2" s="27" t="str">
        <x:v>Type / notes</x:v>
      </x:c>
    </x:row>
    <x:row r="3">
      <x:c r="A3" s="53" t="str">
        <x:v>hl_club_id</x:v>
      </x:c>
      <x:c r="B3" s="54" t="str">
        <x:v>Stable Heathland Links facility identifier shared by layouts at one club</x:v>
      </x:c>
      <x:c r="C3" s="55" t="str">
        <x:v>text</x:v>
      </x:c>
    </x:row>
    <x:row r="4">
      <x:c r="A4" s="56" t="str">
        <x:v>hl_course_id</x:v>
      </x:c>
      <x:c r="B4" s="57" t="str">
        <x:v>Stable unique layout identifier</x:v>
      </x:c>
      <x:c r="C4" s="14" t="str">
        <x:v>text</x:v>
      </x:c>
    </x:row>
    <x:row r="5">
      <x:c r="A5" s="56" t="str">
        <x:v>display_name</x:v>
      </x:c>
      <x:c r="B5" s="57" t="str">
        <x:v>User-facing facility and layout label</x:v>
      </x:c>
      <x:c r="C5" s="14" t="str">
        <x:v>text</x:v>
      </x:c>
    </x:row>
    <x:row r="6">
      <x:c r="A6" s="56" t="str">
        <x:v>club_name</x:v>
      </x:c>
      <x:c r="B6" s="57" t="str">
        <x:v>Retained master attribute</x:v>
      </x:c>
      <x:c r="C6" s="14" t="str">
        <x:v>text</x:v>
      </x:c>
    </x:row>
    <x:row r="7">
      <x:c r="A7" s="56" t="str">
        <x:v>course_name</x:v>
      </x:c>
      <x:c r="B7" s="57" t="str">
        <x:v>Retained master attribute</x:v>
      </x:c>
      <x:c r="C7" s="14" t="str">
        <x:v>text</x:v>
      </x:c>
    </x:row>
    <x:row r="8">
      <x:c r="A8" s="56" t="str">
        <x:v>country</x:v>
      </x:c>
      <x:c r="B8" s="57" t="str">
        <x:v>Retained master attribute</x:v>
      </x:c>
      <x:c r="C8" s="14" t="str">
        <x:v>text</x:v>
      </x:c>
    </x:row>
    <x:row r="9">
      <x:c r="A9" s="56" t="str">
        <x:v>region</x:v>
      </x:c>
      <x:c r="B9" s="57" t="str">
        <x:v>UAE emirate</x:v>
      </x:c>
      <x:c r="C9" s="14" t="str">
        <x:v>text</x:v>
      </x:c>
    </x:row>
    <x:row r="10">
      <x:c r="A10" s="56" t="str">
        <x:v>county</x:v>
      </x:c>
      <x:c r="B10" s="57" t="str">
        <x:v>District, island, estate or local sub-region</x:v>
      </x:c>
      <x:c r="C10" s="14" t="str">
        <x:v>text</x:v>
      </x:c>
    </x:row>
    <x:row r="11">
      <x:c r="A11" s="56" t="str">
        <x:v>town_city</x:v>
      </x:c>
      <x:c r="B11" s="57" t="str">
        <x:v>Retained master attribute</x:v>
      </x:c>
      <x:c r="C11" s="14" t="str">
        <x:v>text</x:v>
      </x:c>
    </x:row>
    <x:row r="12">
      <x:c r="A12" s="56" t="str">
        <x:v>postal_code</x:v>
      </x:c>
      <x:c r="B12" s="57" t="str">
        <x:v>Blank unless a real street postal code exists; PO Boxes are excluded</x:v>
      </x:c>
      <x:c r="C12" s="14" t="str">
        <x:v>text</x:v>
      </x:c>
    </x:row>
    <x:row r="13">
      <x:c r="A13" s="56" t="str">
        <x:v>latitude</x:v>
      </x:c>
      <x:c r="B13" s="57" t="str">
        <x:v>WGS84 decimal latitude</x:v>
      </x:c>
      <x:c r="C13" s="14" t="str">
        <x:v>number</x:v>
      </x:c>
    </x:row>
    <x:row r="14">
      <x:c r="A14" s="56" t="str">
        <x:v>longitude</x:v>
      </x:c>
      <x:c r="B14" s="57" t="str">
        <x:v>WGS84 decimal longitude</x:v>
      </x:c>
      <x:c r="C14" s="14" t="str">
        <x:v>number</x:v>
      </x:c>
    </x:row>
    <x:row r="15">
      <x:c r="A15" s="56" t="str">
        <x:v>coordinate_system</x:v>
      </x:c>
      <x:c r="B15" s="57" t="str">
        <x:v>Retained master attribute</x:v>
      </x:c>
      <x:c r="C15" s="14" t="str">
        <x:v>text</x:v>
      </x:c>
    </x:row>
    <x:row r="16">
      <x:c r="A16" s="56" t="str">
        <x:v>coordinate_source</x:v>
      </x:c>
      <x:c r="B16" s="57" t="str">
        <x:v>Precision/source class for the stored point</x:v>
      </x:c>
      <x:c r="C16" s="14" t="str">
        <x:v>text</x:v>
      </x:c>
    </x:row>
    <x:row r="17">
      <x:c r="A17" s="56" t="str">
        <x:v>coordinate_verified_at</x:v>
      </x:c>
      <x:c r="B17" s="57" t="str">
        <x:v>Retained master attribute</x:v>
      </x:c>
      <x:c r="C17" s="14" t="str">
        <x:v>text</x:v>
      </x:c>
    </x:row>
    <x:row r="18">
      <x:c r="A18" s="56" t="str">
        <x:v>length_yards</x:v>
      </x:c>
      <x:c r="B18" s="57" t="str">
        <x:v>Longest clearly published total; never inferred</x:v>
      </x:c>
      <x:c r="C18" s="14" t="str">
        <x:v>number</x:v>
      </x:c>
    </x:row>
    <x:row r="19">
      <x:c r="A19" s="56" t="str">
        <x:v>length_metres</x:v>
      </x:c>
      <x:c r="B19" s="57" t="str">
        <x:v>Formula: length_yards × 0.9144, rounded</x:v>
      </x:c>
      <x:c r="C19" s="14" t="str">
        <x:v>number</x:v>
      </x:c>
    </x:row>
    <x:row r="20">
      <x:c r="A20" s="56" t="str">
        <x:v>holes</x:v>
      </x:c>
      <x:c r="B20" s="57" t="str">
        <x:v>Physical holes in the named layout, not a replayed round</x:v>
      </x:c>
      <x:c r="C20" s="14" t="str">
        <x:v>number</x:v>
      </x:c>
    </x:row>
    <x:row r="21">
      <x:c r="A21" s="56" t="str">
        <x:v>par</x:v>
      </x:c>
      <x:c r="B21" s="57" t="str">
        <x:v>Par for the physical stored layout</x:v>
      </x:c>
      <x:c r="C21" s="14" t="str">
        <x:v>number</x:v>
      </x:c>
    </x:row>
    <x:row r="22">
      <x:c r="A22" s="56" t="str">
        <x:v>course_type</x:v>
      </x:c>
      <x:c r="B22" s="57" t="str">
        <x:v>Descriptive outdoor-course type</x:v>
      </x:c>
      <x:c r="C22" s="14" t="str">
        <x:v>text</x:v>
      </x:c>
    </x:row>
    <x:row r="23">
      <x:c r="A23" s="56" t="str">
        <x:v>architect_original</x:v>
      </x:c>
      <x:c r="B23" s="57" t="str">
        <x:v>Retained master attribute</x:v>
      </x:c>
      <x:c r="C23" s="14" t="str">
        <x:v>text</x:v>
      </x:c>
    </x:row>
    <x:row r="24">
      <x:c r="A24" s="56" t="str">
        <x:v>architect_redesign</x:v>
      </x:c>
      <x:c r="B24" s="57" t="str">
        <x:v>Retained master attribute</x:v>
      </x:c>
      <x:c r="C24" s="14" t="str">
        <x:v>text</x:v>
      </x:c>
    </x:row>
    <x:row r="25">
      <x:c r="A25" s="56" t="str">
        <x:v>year_opened</x:v>
      </x:c>
      <x:c r="B25" s="57" t="str">
        <x:v>Retained master attribute</x:v>
      </x:c>
      <x:c r="C25" s="14" t="str">
        <x:v>number</x:v>
      </x:c>
    </x:row>
    <x:row r="26">
      <x:c r="A26" s="56" t="str">
        <x:v>official_website_url</x:v>
      </x:c>
      <x:c r="B26" s="57" t="str">
        <x:v>Retained master attribute</x:v>
      </x:c>
      <x:c r="C26" s="14" t="str">
        <x:v>text</x:v>
      </x:c>
    </x:row>
    <x:row r="27">
      <x:c r="A27" s="56" t="str">
        <x:v>map_ready</x:v>
      </x:c>
      <x:c r="B27" s="57" t="str">
        <x:v>Formula-derived; valid UAE coordinate, identity and non-closed status</x:v>
      </x:c>
      <x:c r="C27" s="14" t="str">
        <x:v>boolean / formula</x:v>
      </x:c>
    </x:row>
    <x:row r="28">
      <x:c r="A28" s="56" t="str">
        <x:v>show_on_map</x:v>
      </x:c>
      <x:c r="B28" s="57" t="str">
        <x:v>Formula-linked to map_ready</x:v>
      </x:c>
      <x:c r="C28" s="14" t="str">
        <x:v>boolean / formula</x:v>
      </x:c>
    </x:row>
    <x:row r="29">
      <x:c r="A29" s="56" t="str">
        <x:v>map_display_reason</x:v>
      </x:c>
      <x:c r="B29" s="57" t="str">
        <x:v>Formula-derived explanation</x:v>
      </x:c>
      <x:c r="C29" s="14" t="str">
        <x:v>text</x:v>
      </x:c>
    </x:row>
    <x:row r="30">
      <x:c r="A30" s="56" t="str">
        <x:v>course_status</x:v>
      </x:c>
      <x:c r="B30" s="57" t="str">
        <x:v>Retained master attribute</x:v>
      </x:c>
      <x:c r="C30" s="14" t="str">
        <x:v>text</x:v>
      </x:c>
    </x:row>
    <x:row r="31">
      <x:c r="A31" s="56" t="str">
        <x:v>access_type</x:v>
      </x:c>
      <x:c r="B31" s="57" t="str">
        <x:v>Retained master attribute</x:v>
      </x:c>
      <x:c r="C31" s="14" t="str">
        <x:v>text</x:v>
      </x:c>
    </x:row>
    <x:row r="32">
      <x:c r="A32" s="56" t="str">
        <x:v>is_claimed</x:v>
      </x:c>
      <x:c r="B32" s="57" t="str">
        <x:v>Retained master attribute</x:v>
      </x:c>
      <x:c r="C32" s="14" t="str">
        <x:v>boolean / formula</x:v>
      </x:c>
    </x:row>
    <x:row r="33">
      <x:c r="A33" s="56" t="str">
        <x:v>ranking_source</x:v>
      </x:c>
      <x:c r="B33" s="57" t="str">
        <x:v>Retained master attribute</x:v>
      </x:c>
      <x:c r="C33" s="14" t="str">
        <x:v>text</x:v>
      </x:c>
    </x:row>
    <x:row r="34">
      <x:c r="A34" s="56" t="str">
        <x:v>ranking_year</x:v>
      </x:c>
      <x:c r="B34" s="57" t="str">
        <x:v>Retained master attribute</x:v>
      </x:c>
      <x:c r="C34" s="14" t="str">
        <x:v>number</x:v>
      </x:c>
    </x:row>
    <x:row r="35">
      <x:c r="A35" s="56" t="str">
        <x:v>ranking_position</x:v>
      </x:c>
      <x:c r="B35" s="57" t="str">
        <x:v>Retained master attribute</x:v>
      </x:c>
      <x:c r="C35" s="14" t="str">
        <x:v>number</x:v>
      </x:c>
    </x:row>
    <x:row r="36">
      <x:c r="A36" s="56" t="str">
        <x:v>major_collection</x:v>
      </x:c>
      <x:c r="B36" s="57" t="str">
        <x:v>Retained master attribute</x:v>
      </x:c>
      <x:c r="C36" s="14" t="str">
        <x:v>boolean / formula</x:v>
      </x:c>
    </x:row>
    <x:row r="37">
      <x:c r="A37" s="56" t="str">
        <x:v>featured_partner</x:v>
      </x:c>
      <x:c r="B37" s="57" t="str">
        <x:v>Retained master attribute</x:v>
      </x:c>
      <x:c r="C37" s="14" t="str">
        <x:v>boolean / formula</x:v>
      </x:c>
    </x:row>
    <x:row r="38">
      <x:c r="A38" s="56" t="str">
        <x:v>verification_status</x:v>
      </x:c>
      <x:c r="B38" s="57" t="str">
        <x:v>Evidence/coordinate confidence label</x:v>
      </x:c>
      <x:c r="C38" s="14" t="str">
        <x:v>text</x:v>
      </x:c>
    </x:row>
    <x:row r="39">
      <x:c r="A39" s="56" t="str">
        <x:v>verification_source_url</x:v>
      </x:c>
      <x:c r="B39" s="57" t="str">
        <x:v>Primary specification evidence</x:v>
      </x:c>
      <x:c r="C39" s="14" t="str">
        <x:v>text</x:v>
      </x:c>
    </x:row>
    <x:row r="40">
      <x:c r="A40" s="56" t="str">
        <x:v>last_verified_at</x:v>
      </x:c>
      <x:c r="B40" s="57" t="str">
        <x:v>Retained master attribute</x:v>
      </x:c>
      <x:c r="C40" s="14" t="str">
        <x:v>text</x:v>
      </x:c>
    </x:row>
    <x:row r="41">
      <x:c r="A41" s="58" t="str">
        <x:v>notes</x:v>
      </x:c>
      <x:c r="B41" s="59" t="str">
        <x:v>Conflict resolution, provenance or layout caveat</x:v>
      </x:c>
      <x:c r="C41" s="16" t="str">
        <x:v>text</x:v>
      </x:c>
    </x:row>
  </x:sheetData>
  <x:mergeCells>
    <x:mergeCell ref="A1:C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55" hidden="0" customWidth="1"/>
  </x:cols>
  <x:sheetData>
    <x:row r="1">
      <x:c r="A1" s="4" t="str">
        <x:v>UAE COVERAGE AND COMPLETENESS QA</x:v>
      </x:c>
      <x:c r="B1" s="4"/>
      <x:c r="C1" s="4"/>
      <x:c r="D1" s="4"/>
      <x:c r="E1" s="4"/>
      <x:c r="F1" s="4"/>
      <x:c r="G1" s="4"/>
      <x:c r="H1" s="4"/>
    </x:row>
    <x:row r="2">
      <x:c r="A2" s="25" t="str">
        <x:v>Emirate</x:v>
      </x:c>
      <x:c r="B2" s="26" t="str">
        <x:v>Facilities</x:v>
      </x:c>
      <x:c r="C2" s="26" t="str">
        <x:v>Layouts</x:v>
      </x:c>
      <x:c r="D2" s="26" t="str">
        <x:v>Map-ready</x:v>
      </x:c>
      <x:c r="E2" s="26" t="str">
        <x:v>Websites</x:v>
      </x:c>
      <x:c r="F2" s="26" t="str">
        <x:v>Lengths</x:v>
      </x:c>
      <x:c r="G2" s="26" t="str">
        <x:v>All holes/par</x:v>
      </x:c>
      <x:c r="H2" s="27" t="str">
        <x:v>Coverage note</x:v>
      </x:c>
    </x:row>
    <x:row r="3">
      <x:c r="A3" s="44" t="str">
        <x:v>Abu Dhabi</x:v>
      </x:c>
      <x:c r="B3" s="45" t="n">
        <x:v>8</x:v>
      </x:c>
      <x:c r="C3" s="45" t="n">
        <x:v>11</x:v>
      </x:c>
      <x:c r="D3" s="45" t="n">
        <x:v>11</x:v>
      </x:c>
      <x:c r="E3" s="45" t="n">
        <x:v>11</x:v>
      </x:c>
      <x:c r="F3" s="45" t="n">
        <x:v>10</x:v>
      </x:c>
      <x:c r="G3" s="64" t="b">
        <x:v>1</x:v>
      </x:c>
      <x:c r="H3" s="46" t="str">
        <x:v>Active qualifying layouts retained</x:v>
      </x:c>
    </x:row>
    <x:row r="4">
      <x:c r="A4" s="47" t="str">
        <x:v>Ajman</x:v>
      </x:c>
      <x:c r="B4" s="48" t="n">
        <x:v>1</x:v>
      </x:c>
      <x:c r="C4" s="48" t="n">
        <x:v>1</x:v>
      </x:c>
      <x:c r="D4" s="48" t="n">
        <x:v>1</x:v>
      </x:c>
      <x:c r="E4" s="48" t="n">
        <x:v>1</x:v>
      </x:c>
      <x:c r="F4" s="48" t="n">
        <x:v>1</x:v>
      </x:c>
      <x:c r="G4" s="65" t="b">
        <x:v>1</x:v>
      </x:c>
      <x:c r="H4" s="49" t="str">
        <x:v>Active qualifying layouts retained</x:v>
      </x:c>
    </x:row>
    <x:row r="5">
      <x:c r="A5" s="47" t="str">
        <x:v>Dubai</x:v>
      </x:c>
      <x:c r="B5" s="48" t="n">
        <x:v>10</x:v>
      </x:c>
      <x:c r="C5" s="48" t="n">
        <x:v>18</x:v>
      </x:c>
      <x:c r="D5" s="48" t="n">
        <x:v>18</x:v>
      </x:c>
      <x:c r="E5" s="48" t="n">
        <x:v>18</x:v>
      </x:c>
      <x:c r="F5" s="48" t="n">
        <x:v>17</x:v>
      </x:c>
      <x:c r="G5" s="65" t="b">
        <x:v>1</x:v>
      </x:c>
      <x:c r="H5" s="49" t="str">
        <x:v>Active qualifying layouts retained</x:v>
      </x:c>
    </x:row>
    <x:row r="6">
      <x:c r="A6" s="47" t="str">
        <x:v>Fujairah</x:v>
      </x:c>
      <x:c r="B6" s="48" t="n">
        <x:v>0</x:v>
      </x:c>
      <x:c r="C6" s="48" t="n">
        <x:v>0</x:v>
      </x:c>
      <x:c r="D6" s="48" t="n">
        <x:v>0</x:v>
      </x:c>
      <x:c r="E6" s="48" t="n">
        <x:v>0</x:v>
      </x:c>
      <x:c r="F6" s="48" t="n">
        <x:v>0</x:v>
      </x:c>
      <x:c r="G6" s="65" t="b">
        <x:v>1</x:v>
      </x:c>
      <x:c r="H6" s="49" t="str">
        <x:v>No qualifying active outdoor layout verified after national search</x:v>
      </x:c>
    </x:row>
    <x:row r="7">
      <x:c r="A7" s="47" t="str">
        <x:v>Ras Al Khaimah</x:v>
      </x:c>
      <x:c r="B7" s="48" t="n">
        <x:v>2</x:v>
      </x:c>
      <x:c r="C7" s="48" t="n">
        <x:v>2</x:v>
      </x:c>
      <x:c r="D7" s="48" t="n">
        <x:v>2</x:v>
      </x:c>
      <x:c r="E7" s="48" t="n">
        <x:v>2</x:v>
      </x:c>
      <x:c r="F7" s="48" t="n">
        <x:v>2</x:v>
      </x:c>
      <x:c r="G7" s="65" t="b">
        <x:v>1</x:v>
      </x:c>
      <x:c r="H7" s="49" t="str">
        <x:v>Active qualifying layouts retained</x:v>
      </x:c>
    </x:row>
    <x:row r="8">
      <x:c r="A8" s="47" t="str">
        <x:v>Sharjah</x:v>
      </x:c>
      <x:c r="B8" s="48" t="n">
        <x:v>1</x:v>
      </x:c>
      <x:c r="C8" s="48" t="n">
        <x:v>1</x:v>
      </x:c>
      <x:c r="D8" s="48" t="n">
        <x:v>1</x:v>
      </x:c>
      <x:c r="E8" s="48" t="n">
        <x:v>1</x:v>
      </x:c>
      <x:c r="F8" s="48" t="n">
        <x:v>1</x:v>
      </x:c>
      <x:c r="G8" s="65" t="b">
        <x:v>1</x:v>
      </x:c>
      <x:c r="H8" s="49" t="str">
        <x:v>Active qualifying layouts retained</x:v>
      </x:c>
    </x:row>
    <x:row r="9">
      <x:c r="A9" s="50" t="str">
        <x:v>Umm Al Quwain</x:v>
      </x:c>
      <x:c r="B9" s="51" t="n">
        <x:v>0</x:v>
      </x:c>
      <x:c r="C9" s="51" t="n">
        <x:v>0</x:v>
      </x:c>
      <x:c r="D9" s="51" t="n">
        <x:v>0</x:v>
      </x:c>
      <x:c r="E9" s="51" t="n">
        <x:v>0</x:v>
      </x:c>
      <x:c r="F9" s="51" t="n">
        <x:v>0</x:v>
      </x:c>
      <x:c r="G9" s="66" t="b">
        <x:v>1</x:v>
      </x:c>
      <x:c r="H9" s="52" t="str">
        <x:v>No qualifying active outdoor layout verified after national search</x:v>
      </x:c>
    </x:row>
    <x:row r="10">
      <x:c r="A10" s="69" t="str">
        <x:v>TOTAL</x:v>
      </x:c>
      <x:c r="B10" s="70" t="n">
        <x:v>22</x:v>
      </x:c>
      <x:c r="C10" s="70" t="n">
        <x:v>33</x:v>
      </x:c>
      <x:c r="D10" s="70" t="n">
        <x:v>33</x:v>
      </x:c>
      <x:c r="E10" s="70" t="n">
        <x:v>33</x:v>
      </x:c>
      <x:c r="F10" s="70" t="n">
        <x:v>31</x:v>
      </x:c>
      <x:c r="G10" s="71" t="b">
        <x:v>1</x:v>
      </x:c>
      <x:c r="H10" s="72" t="str">
        <x:v>All retained records passed structural QA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20" hidden="0" customWidth="1"/>
    <x:col min="3" max="3" width="60" hidden="0" customWidth="1"/>
  </x:cols>
  <x:sheetData>
    <x:row r="1">
      <x:c r="A1" s="4" t="str">
        <x:v>RESEARCH STATUS</x:v>
      </x:c>
      <x:c r="B1" s="4"/>
      <x:c r="C1" s="4"/>
    </x:row>
    <x:row r="2">
      <x:c r="A2" s="25" t="str">
        <x:v>Metric</x:v>
      </x:c>
      <x:c r="B2" s="26" t="str">
        <x:v>Result</x:v>
      </x:c>
      <x:c r="C2" s="27" t="str">
        <x:v>QA rule</x:v>
      </x:c>
    </x:row>
    <x:row r="3">
      <x:c r="A3" s="44" t="str">
        <x:v>Active physical layouts</x:v>
      </x:c>
      <x:c r="B3" s="45" t="n">
        <x:v>33</x:v>
      </x:c>
      <x:c r="C3" s="46" t="str">
        <x:v>One row per distinct named outdoor layout</x:v>
      </x:c>
    </x:row>
    <x:row r="4">
      <x:c r="A4" s="47" t="str">
        <x:v>Facilities</x:v>
      </x:c>
      <x:c r="B4" s="48" t="n">
        <x:v>22</x:v>
      </x:c>
      <x:c r="C4" s="49" t="str">
        <x:v>Shared hl_club_id for layouts at the same club</x:v>
      </x:c>
    </x:row>
    <x:row r="5">
      <x:c r="A5" s="47" t="str">
        <x:v>Unique course IDs</x:v>
      </x:c>
      <x:c r="B5" s="48" t="n">
        <x:v>33</x:v>
      </x:c>
      <x:c r="C5" s="49" t="str">
        <x:v>Must equal record count</x:v>
      </x:c>
    </x:row>
    <x:row r="6">
      <x:c r="A6" s="47" t="str">
        <x:v>Valid WGS84 pairs</x:v>
      </x:c>
      <x:c r="B6" s="48" t="n">
        <x:v>33</x:v>
      </x:c>
      <x:c r="C6" s="49" t="str">
        <x:v>UAE bounding-box check</x:v>
      </x:c>
    </x:row>
    <x:row r="7">
      <x:c r="A7" s="47" t="str">
        <x:v>Official websites</x:v>
      </x:c>
      <x:c r="B7" s="48" t="n">
        <x:v>33</x:v>
      </x:c>
      <x:c r="C7" s="49" t="str">
        <x:v>Valid HTTP(S) URL</x:v>
      </x:c>
    </x:row>
    <x:row r="8">
      <x:c r="A8" s="47" t="str">
        <x:v>Hole counts</x:v>
      </x:c>
      <x:c r="B8" s="48" t="n">
        <x:v>33</x:v>
      </x:c>
      <x:c r="C8" s="49" t="str">
        <x:v>Physical layout count</x:v>
      </x:c>
    </x:row>
    <x:row r="9">
      <x:c r="A9" s="47" t="str">
        <x:v>Par totals</x:v>
      </x:c>
      <x:c r="B9" s="48" t="n">
        <x:v>33</x:v>
      </x:c>
      <x:c r="C9" s="49" t="str">
        <x:v>Plausible for physical holes</x:v>
      </x:c>
    </x:row>
    <x:row r="10">
      <x:c r="A10" s="47" t="str">
        <x:v>Course lengths</x:v>
      </x:c>
      <x:c r="B10" s="48" t="n">
        <x:v>31</x:v>
      </x:c>
      <x:c r="C10" s="49" t="str">
        <x:v>Only exact sourced totals</x:v>
      </x:c>
    </x:row>
    <x:row r="11">
      <x:c r="A11" s="47" t="str">
        <x:v>Course access-point coordinate caveats</x:v>
      </x:c>
      <x:c r="B11" s="48" t="n">
        <x:v>1</x:v>
      </x:c>
      <x:c r="C11" s="49" t="str">
        <x:v>Explicitly labelled; not hidden</x:v>
      </x:c>
    </x:row>
    <x:row r="12">
      <x:c r="A12" s="47" t="str">
        <x:v>Unresolved length totals</x:v>
      </x:c>
      <x:c r="B12" s="48" t="n">
        <x:v>2</x:v>
      </x:c>
      <x:c r="C12" s="49" t="str">
        <x:v>Intentionally blank</x:v>
      </x:c>
    </x:row>
    <x:row r="13">
      <x:c r="A13" s="47" t="str">
        <x:v>Formula-derived fields</x:v>
      </x:c>
      <x:c r="B13" s="48" t="n">
        <x:v>4</x:v>
      </x:c>
      <x:c r="C13" s="49" t="str">
        <x:v>length_metres, map_ready, show_on_map, map_display_reason</x:v>
      </x:c>
    </x:row>
    <x:row r="14">
      <x:c r="A14" s="47" t="str">
        <x:v>Formula errors</x:v>
      </x:c>
      <x:c r="B14" s="48" t="n">
        <x:v>0</x:v>
      </x:c>
      <x:c r="C14" s="49" t="str">
        <x:v>Checked after workbook build</x:v>
      </x:c>
    </x:row>
    <x:row r="15">
      <x:c r="A15" s="50" t="str">
        <x:v>Verification date</x:v>
      </x:c>
      <x:c r="B15" s="51" t="str">
        <x:v>2026-08-15</x:v>
      </x:c>
      <x:c r="C15" s="52" t="str">
        <x:v>Current research pass</x:v>
      </x:c>
    </x:row>
  </x:sheetData>
  <x:mergeCells>
    <x:mergeCell ref="A1:C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20" hidden="0" customWidth="1"/>
    <x:col min="3" max="3" width="20" hidden="0" customWidth="1"/>
    <x:col min="4" max="4" width="65" hidden="0" customWidth="1"/>
    <x:col min="5" max="5" width="72" hidden="0" customWidth="1"/>
  </x:cols>
  <x:sheetData>
    <x:row r="1">
      <x:c r="A1" s="4" t="str">
        <x:v>RECONCILIATION LOG — EXCLUDED OR HISTORICAL CANDIDATES</x:v>
      </x:c>
      <x:c r="B1" s="4"/>
      <x:c r="C1" s="4"/>
      <x:c r="D1" s="4"/>
      <x:c r="E1" s="4"/>
    </x:row>
    <x:row r="2">
      <x:c r="A2" s="25" t="str">
        <x:v>Candidate</x:v>
      </x:c>
      <x:c r="B2" s="26" t="str">
        <x:v>Emirate/scope</x:v>
      </x:c>
      <x:c r="C2" s="26" t="str">
        <x:v>Decision</x:v>
      </x:c>
      <x:c r="D2" s="26" t="str">
        <x:v>Reason</x:v>
      </x:c>
      <x:c r="E2" s="27" t="str">
        <x:v>Evidence</x:v>
      </x:c>
    </x:row>
    <x:row r="3">
      <x:c r="A3" s="92" t="str">
        <x:v>Al Badia Golf Club</x:v>
      </x:c>
      <x:c r="B3" s="93" t="str">
        <x:v>Dubai</x:v>
      </x:c>
      <x:c r="C3" s="93" t="str">
        <x:v>Closed</x:v>
      </x:c>
      <x:c r="D3" s="93" t="str">
        <x:v>Confirmed permanently closed; not a current playable course</x:v>
      </x:c>
      <x:c r="E3" s="94" t="str">
        <x:v>https://www.where2golf.com/uae/al-badia-golf-club/</x:v>
      </x:c>
    </x:row>
    <x:row r="4">
      <x:c r="A4" s="95" t="str">
        <x:v>Dubai Country Club — Al Awir Course</x:v>
      </x:c>
      <x:c r="B4" s="96" t="str">
        <x:v>Dubai</x:v>
      </x:c>
      <x:c r="C4" s="96" t="str">
        <x:v>Closed</x:v>
      </x:c>
      <x:c r="D4" s="96" t="str">
        <x:v>Confirmed permanently closed</x:v>
      </x:c>
      <x:c r="E4" s="97" t="str">
        <x:v>https://www.where2golf.com/uae/dubai-country-club-al-awir-course/</x:v>
      </x:c>
    </x:row>
    <x:row r="5">
      <x:c r="A5" s="95" t="str">
        <x:v>Nad Al Sheba Golf Club</x:v>
      </x:c>
      <x:c r="B5" s="96" t="str">
        <x:v>Dubai</x:v>
      </x:c>
      <x:c r="C5" s="96" t="str">
        <x:v>Replaced/closed</x:v>
      </x:c>
      <x:c r="D5" s="96" t="str">
        <x:v>Historical course replaced by The Track at Meydan; only the current layout is retained</x:v>
      </x:c>
      <x:c r="E5" s="97" t="str">
        <x:v>https://www.where2golf.com/uae/the-track-meydan-golf/</x:v>
      </x:c>
    </x:row>
    <x:row r="6">
      <x:c r="A6" s="95" t="str">
        <x:v>Sharjah Wanderers Golf Club</x:v>
      </x:c>
      <x:c r="B6" s="96" t="str">
        <x:v>Sharjah</x:v>
      </x:c>
      <x:c r="C6" s="96" t="str">
        <x:v>Closed</x:v>
      </x:c>
      <x:c r="D6" s="96" t="str">
        <x:v>Permanently closed in 2020</x:v>
      </x:c>
      <x:c r="E6" s="97" t="str">
        <x:v>https://www.thenationalnews.com/sport/golf/end-of-an-era-as-sharjah-wanderers-golf-club-closes-after-40-years-1.1056606</x:v>
      </x:c>
    </x:row>
    <x:row r="7">
      <x:c r="A7" s="95" t="str">
        <x:v>Al Dhafra Golf Links</x:v>
      </x:c>
      <x:c r="B7" s="96" t="str">
        <x:v>Abu Dhabi</x:v>
      </x:c>
      <x:c r="C7" s="96" t="str">
        <x:v>Closed/historical</x:v>
      </x:c>
      <x:c r="D7" s="96" t="str">
        <x:v>Historical sand course is not listed as a current active layout; Al Dhannah is retained separately</x:v>
      </x:c>
      <x:c r="E7" s="97" t="str">
        <x:v>https://www.where2golf.com/uae/al-dhafra-golf-links/</x:v>
      </x:c>
    </x:row>
    <x:row r="8">
      <x:c r="A8" s="95" t="str">
        <x:v>Jumeirah Golf Estates — Water Course</x:v>
      </x:c>
      <x:c r="B8" s="96" t="str">
        <x:v>Dubai</x:v>
      </x:c>
      <x:c r="C8" s="96" t="str">
        <x:v>Never opened</x:v>
      </x:c>
      <x:c r="D8" s="96" t="str">
        <x:v>Proposed course, not a physical playable layout</x:v>
      </x:c>
      <x:c r="E8" s="97" t="str">
        <x:v>https://www.where2golf.com/uae/jumeirah-golf-estates-earth-course/</x:v>
      </x:c>
    </x:row>
    <x:row r="9">
      <x:c r="A9" s="95" t="str">
        <x:v>Jumeirah Golf Estates — Wind Course</x:v>
      </x:c>
      <x:c r="B9" s="96" t="str">
        <x:v>Dubai</x:v>
      </x:c>
      <x:c r="C9" s="96" t="str">
        <x:v>Never opened</x:v>
      </x:c>
      <x:c r="D9" s="96" t="str">
        <x:v>Proposed course, not a physical playable layout</x:v>
      </x:c>
      <x:c r="E9" s="97" t="str">
        <x:v>https://www.where2golf.com/uae/jumeirah-golf-estates-earth-course/</x:v>
      </x:c>
    </x:row>
    <x:row r="10">
      <x:c r="A10" s="98" t="str">
        <x:v>Driving ranges, academies without a course, simulators and indoor golf</x:v>
      </x:c>
      <x:c r="B10" s="99" t="str">
        <x:v>National</x:v>
      </x:c>
      <x:c r="C10" s="99" t="str">
        <x:v>Out of scope</x:v>
      </x:c>
      <x:c r="D10" s="99" t="str">
        <x:v>Excluded by the same production boundary used for prior country masters</x:v>
      </x:c>
      <x:c r="E10" s="100" t="str">
        <x:v>Method rule</x:v>
      </x:c>
    </x:row>
  </x:sheetData>
  <x:mergeCells>
    <x:mergeCell ref="A1:E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8" hidden="0" customWidth="1"/>
    <x:col min="3" max="3" width="24" hidden="0" customWidth="1"/>
    <x:col min="4" max="4" width="78" hidden="0" customWidth="1"/>
    <x:col min="5" max="5" width="48" hidden="0" customWidth="1"/>
    <x:col min="6" max="6" width="16" hidden="0" customWidth="1"/>
    <x:col min="7" max="7" width="70" hidden="0" customWidth="1"/>
  </x:cols>
  <x:sheetData>
    <x:row r="1">
      <x:c r="A1" s="4" t="str">
        <x:v>SOURCE RECORDS — COURSE-BY-COURSE EVIDENCE</x:v>
      </x:c>
      <x:c r="B1" s="4"/>
      <x:c r="C1" s="4"/>
      <x:c r="D1" s="4"/>
      <x:c r="E1" s="4"/>
      <x:c r="F1" s="4"/>
      <x:c r="G1" s="4"/>
    </x:row>
    <x:row r="2">
      <x:c r="A2" s="25" t="str">
        <x:v>hl_course_id</x:v>
      </x:c>
      <x:c r="B2" s="26" t="str">
        <x:v>display_name</x:v>
      </x:c>
      <x:c r="C2" s="26" t="str">
        <x:v>evidence_for</x:v>
      </x:c>
      <x:c r="D2" s="26" t="str">
        <x:v>source_url</x:v>
      </x:c>
      <x:c r="E2" s="26" t="str">
        <x:v>source_class</x:v>
      </x:c>
      <x:c r="F2" s="26" t="str">
        <x:v>checked_at</x:v>
      </x:c>
      <x:c r="G2" s="27" t="str">
        <x:v>notes</x:v>
      </x:c>
    </x:row>
    <x:row r="3">
      <x:c r="A3" s="53" t="str">
        <x:v>AE-0001</x:v>
      </x:c>
      <x:c r="B3" s="54" t="str">
        <x:v>Abu Dhabi Golf Club — National Course</x:v>
      </x:c>
      <x:c r="C3" s="54" t="str">
        <x:v>Course identity/specification</x:v>
      </x:c>
      <x:c r="D3" s="54" t="str">
        <x:v>https://www.abudhabigolfclub.abudhabi/golf/the-national-course/</x:v>
      </x:c>
      <x:c r="E3" s="54" t="str">
        <x:v>Official club/governing/tourism source where available; otherwise a current exact course directory</x:v>
      </x:c>
      <x:c r="F3" s="54" t="str">
        <x:v>2026-08-15</x:v>
      </x:c>
      <x:c r="G3" s="55" t="str">
        <x:v>Current official club course specification; longest published tee.</x:v>
      </x:c>
    </x:row>
    <x:row r="4">
      <x:c r="A4" s="56" t="str">
        <x:v>AE-0001</x:v>
      </x:c>
      <x:c r="B4" s="57" t="str">
        <x:v>Abu Dhabi Golf Club — National Course</x:v>
      </x:c>
      <x:c r="C4" s="57" t="str">
        <x:v>Coordinates</x:v>
      </x:c>
      <x:c r="D4" s="57" t="str">
        <x:v>https://www.where2golf.com/uae/abu-dhabi-golf-club/</x:v>
      </x:c>
      <x:c r="E4" s="57" t="str">
        <x:v>Mapped golf course or club feature</x:v>
      </x:c>
      <x:c r="F4" s="57" t="str">
        <x:v>2026-08-15</x:v>
      </x:c>
      <x:c r="G4" s="14" t="str">
        <x:v>WGS84 course/facility point; exact layout rows at one facility may share the facility coordinate.</x:v>
      </x:c>
    </x:row>
    <x:row r="5">
      <x:c r="A5" s="56" t="str">
        <x:v>AE-0002</x:v>
      </x:c>
      <x:c r="B5" s="57" t="str">
        <x:v>Abu Dhabi Golf Club — Garden Course</x:v>
      </x:c>
      <x:c r="C5" s="57" t="str">
        <x:v>Course identity/specification</x:v>
      </x:c>
      <x:c r="D5" s="57" t="str">
        <x:v>https://gulfnews.com/sport/golf-in-uae/local/where-to-play-golf-in-the-uae-your-ultimate-golf-course-guide-1.1692349350727</x:v>
      </x:c>
      <x:c r="E5" s="57" t="str">
        <x:v>Official club/governing/tourism source where available; otherwise a current exact course directory</x:v>
      </x:c>
      <x:c r="F5" s="57" t="str">
        <x:v>2026-08-15</x:v>
      </x:c>
      <x:c r="G5" s="14" t="str">
        <x:v>Current playable nine-hole layout. The official club site currently foregrounds the National Course; independent current booking/directory evidence confirms the Garden Course.</x:v>
      </x:c>
    </x:row>
    <x:row r="6">
      <x:c r="A6" s="56" t="str">
        <x:v>AE-0002</x:v>
      </x:c>
      <x:c r="B6" s="57" t="str">
        <x:v>Abu Dhabi Golf Club — Garden Course</x:v>
      </x:c>
      <x:c r="C6" s="57" t="str">
        <x:v>Coordinates</x:v>
      </x:c>
      <x:c r="D6" s="57" t="str">
        <x:v>https://www.where2golf.com/uae/abu-dhabi-golf-club/</x:v>
      </x:c>
      <x:c r="E6" s="57" t="str">
        <x:v>Mapped golf course or club feature</x:v>
      </x:c>
      <x:c r="F6" s="57" t="str">
        <x:v>2026-08-15</x:v>
      </x:c>
      <x:c r="G6" s="14" t="str">
        <x:v>WGS84 course/facility point; exact layout rows at one facility may share the facility coordinate.</x:v>
      </x:c>
    </x:row>
    <x:row r="7">
      <x:c r="A7" s="56" t="str">
        <x:v>AE-0003</x:v>
      </x:c>
      <x:c r="B7" s="57" t="str">
        <x:v>Abu Dhabi City Golf Club</x:v>
      </x:c>
      <x:c r="C7" s="57" t="str">
        <x:v>Course identity/specification</x:v>
      </x:c>
      <x:c r="D7" s="57" t="str">
        <x:v>https://golfscape.com/abu-dhabi-golf-courses/abu-dhabi-city-golf-club</x:v>
      </x:c>
      <x:c r="E7" s="57" t="str">
        <x:v>Official club/governing/tourism source where available; otherwise a current exact course directory</x:v>
      </x:c>
      <x:c r="F7" s="57" t="str">
        <x:v>2026-08-15</x:v>
      </x:c>
      <x:c r="G7" s="14" t="str">
        <x:v>Physical nine-hole layout. Original sand facility dates to 1976; the grass course opened in 1998.</x:v>
      </x:c>
    </x:row>
    <x:row r="8">
      <x:c r="A8" s="56" t="str">
        <x:v>AE-0003</x:v>
      </x:c>
      <x:c r="B8" s="57" t="str">
        <x:v>Abu Dhabi City Golf Club</x:v>
      </x:c>
      <x:c r="C8" s="57" t="str">
        <x:v>Coordinates</x:v>
      </x:c>
      <x:c r="D8" s="57" t="str">
        <x:v>https://www.coordinatesfinder.com/coordinates/76092-abu-dhabi-city-golf-clubabu-dhabiuae</x:v>
      </x:c>
      <x:c r="E8" s="57" t="str">
        <x:v>Mapped golf course or club feature</x:v>
      </x:c>
      <x:c r="F8" s="57" t="str">
        <x:v>2026-08-15</x:v>
      </x:c>
      <x:c r="G8" s="14" t="str">
        <x:v>WGS84 course/facility point; exact layout rows at one facility may share the facility coordinate.</x:v>
      </x:c>
    </x:row>
    <x:row r="9">
      <x:c r="A9" s="56" t="str">
        <x:v>AE-0004</x:v>
      </x:c>
      <x:c r="B9" s="57" t="str">
        <x:v>Al Ain Equestrian, Shooting &amp; Golf Club — Championship Course</x:v>
      </x:c>
      <x:c r="C9" s="57" t="str">
        <x:v>Course identity/specification</x:v>
      </x:c>
      <x:c r="D9" s="57" t="str">
        <x:v>https://www.1golf.eu/en/club/al-ain-equestrian-shooting-golf-club/</x:v>
      </x:c>
      <x:c r="E9" s="57" t="str">
        <x:v>Official club/governing/tourism source where available; otherwise a current exact course directory</x:v>
      </x:c>
      <x:c r="F9" s="57" t="str">
        <x:v>2026-08-15</x:v>
      </x:c>
      <x:c r="G9" s="14" t="str">
        <x:v>Current scorecard used. Some promotional sources describe a par-71/72 configuration; the cited current scorecard totals par 70.</x:v>
      </x:c>
    </x:row>
    <x:row r="10">
      <x:c r="A10" s="56" t="str">
        <x:v>AE-0004</x:v>
      </x:c>
      <x:c r="B10" s="57" t="str">
        <x:v>Al Ain Equestrian, Shooting &amp; Golf Club — Championship Course</x:v>
      </x:c>
      <x:c r="C10" s="57" t="str">
        <x:v>Coordinates</x:v>
      </x:c>
      <x:c r="D10" s="57" t="str">
        <x:v>https://mapcarta.com/W224053719</x:v>
      </x:c>
      <x:c r="E10" s="57" t="str">
        <x:v>Mapped golf course or club feature</x:v>
      </x:c>
      <x:c r="F10" s="57" t="str">
        <x:v>2026-08-15</x:v>
      </x:c>
      <x:c r="G10" s="14" t="str">
        <x:v>WGS84 course/facility point; exact layout rows at one facility may share the facility coordinate.</x:v>
      </x:c>
    </x:row>
    <x:row r="11">
      <x:c r="A11" s="56" t="str">
        <x:v>AE-0005</x:v>
      </x:c>
      <x:c r="B11" s="57" t="str">
        <x:v>Al Ain Equestrian, Shooting &amp; Golf Club — Academy Course</x:v>
      </x:c>
      <x:c r="C11" s="57" t="str">
        <x:v>Course identity/specification</x:v>
      </x:c>
      <x:c r="D11" s="57" t="str">
        <x:v>https://adsc.gov.ae/clubs-and-federations/al-ain-equestrian-shooting-golf-club/</x:v>
      </x:c>
      <x:c r="E11" s="57" t="str">
        <x:v>Official club/governing/tourism source where available; otherwise a current exact course directory</x:v>
      </x:c>
      <x:c r="F11" s="57" t="str">
        <x:v>2026-08-15</x:v>
      </x:c>
      <x:c r="G11" s="14" t="str">
        <x:v>Official Abu Dhabi Sports Council listing confirms a separate nine-hole academy course; no certain total yardage located.</x:v>
      </x:c>
    </x:row>
    <x:row r="12">
      <x:c r="A12" s="56" t="str">
        <x:v>AE-0005</x:v>
      </x:c>
      <x:c r="B12" s="57" t="str">
        <x:v>Al Ain Equestrian, Shooting &amp; Golf Club — Academy Course</x:v>
      </x:c>
      <x:c r="C12" s="57" t="str">
        <x:v>Coordinates</x:v>
      </x:c>
      <x:c r="D12" s="57" t="str">
        <x:v>https://mapcarta.com/W224053719</x:v>
      </x:c>
      <x:c r="E12" s="57" t="str">
        <x:v>Mapped golf course or club feature</x:v>
      </x:c>
      <x:c r="F12" s="57" t="str">
        <x:v>2026-08-15</x:v>
      </x:c>
      <x:c r="G12" s="14" t="str">
        <x:v>WGS84 course/facility point; exact layout rows at one facility may share the facility coordinate.</x:v>
      </x:c>
    </x:row>
    <x:row r="13">
      <x:c r="A13" s="56" t="str">
        <x:v>AE-0006</x:v>
      </x:c>
      <x:c r="B13" s="57" t="str">
        <x:v>Al Ghazal Golf Club</x:v>
      </x:c>
      <x:c r="C13" s="57" t="str">
        <x:v>Course identity/specification</x:v>
      </x:c>
      <x:c r="D13" s="57" t="str">
        <x:v>https://alghazalgolfclub.ae/</x:v>
      </x:c>
      <x:c r="E13" s="57" t="str">
        <x:v>Official club/governing/tourism source where available; otherwise a current exact course directory</x:v>
      </x:c>
      <x:c r="F13" s="57" t="str">
        <x:v>2026-08-15</x:v>
      </x:c>
      <x:c r="G13" s="14" t="str">
        <x:v>Official club specification; sand fairways and compacted-sand 'browns'.</x:v>
      </x:c>
    </x:row>
    <x:row r="14">
      <x:c r="A14" s="56" t="str">
        <x:v>AE-0006</x:v>
      </x:c>
      <x:c r="B14" s="57" t="str">
        <x:v>Al Ghazal Golf Club</x:v>
      </x:c>
      <x:c r="C14" s="57" t="str">
        <x:v>Coordinates</x:v>
      </x:c>
      <x:c r="D14" s="57" t="str">
        <x:v>https://www.where2golf.com/uae/al-ghazal-golf-club/</x:v>
      </x:c>
      <x:c r="E14" s="57" t="str">
        <x:v>Mapped golf course or club feature</x:v>
      </x:c>
      <x:c r="F14" s="57" t="str">
        <x:v>2026-08-15</x:v>
      </x:c>
      <x:c r="G14" s="14" t="str">
        <x:v>WGS84 course/facility point; exact layout rows at one facility may share the facility coordinate.</x:v>
      </x:c>
    </x:row>
    <x:row r="15">
      <x:c r="A15" s="56" t="str">
        <x:v>AE-0007</x:v>
      </x:c>
      <x:c r="B15" s="57" t="str">
        <x:v>Al Dhannah Golf Club</x:v>
      </x:c>
      <x:c r="C15" s="57" t="str">
        <x:v>Course identity/specification</x:v>
      </x:c>
      <x:c r="D15" s="57" t="str">
        <x:v>https://aldhannahgolfclub.ae/course-details/</x:v>
      </x:c>
      <x:c r="E15" s="57" t="str">
        <x:v>Official club/governing/tourism source where available; otherwise a current exact course directory</x:v>
      </x:c>
      <x:c r="F15" s="57" t="str">
        <x:v>2026-08-15</x:v>
      </x:c>
      <x:c r="G15" s="14" t="str">
        <x:v>Official club confirms holes, par, architect and November 2021 opening; published inauguration report confirms 3,454 yards.</x:v>
      </x:c>
    </x:row>
    <x:row r="16">
      <x:c r="A16" s="56" t="str">
        <x:v>AE-0007</x:v>
      </x:c>
      <x:c r="B16" s="57" t="str">
        <x:v>Al Dhannah Golf Club</x:v>
      </x:c>
      <x:c r="C16" s="57" t="str">
        <x:v>Coordinates</x:v>
      </x:c>
      <x:c r="D16" s="57" t="str">
        <x:v>https://2gis.ae/dubai/geo/70030076375901685</x:v>
      </x:c>
      <x:c r="E16" s="57" t="str">
        <x:v>Named course parking/access feature</x:v>
      </x:c>
      <x:c r="F16" s="57" t="str">
        <x:v>2026-08-15</x:v>
      </x:c>
      <x:c r="G16" s="14" t="str">
        <x:v>Named Golf Course Parking at Al Dhannah Golf Club; the verified access point is used instead of inventing a course centroid.</x:v>
      </x:c>
    </x:row>
    <x:row r="17">
      <x:c r="A17" s="56" t="str">
        <x:v>AE-0008</x:v>
      </x:c>
      <x:c r="B17" s="57" t="str">
        <x:v>Saadiyat Beach Golf Club</x:v>
      </x:c>
      <x:c r="C17" s="57" t="str">
        <x:v>Course identity/specification</x:v>
      </x:c>
      <x:c r="D17" s="57" t="str">
        <x:v>https://www.where2golf.com/uae/saadiyat-beach-golf-club/</x:v>
      </x:c>
      <x:c r="E17" s="57" t="str">
        <x:v>Official club/governing/tourism source where available; otherwise a current exact course directory</x:v>
      </x:c>
      <x:c r="F17" s="57" t="str">
        <x:v>2026-08-15</x:v>
      </x:c>
      <x:c r="G17" s="14" t="str">
        <x:v>Back-tee specification from current course directory; redesign attribution recorded only where publicly confirmed.</x:v>
      </x:c>
    </x:row>
    <x:row r="18">
      <x:c r="A18" s="56" t="str">
        <x:v>AE-0008</x:v>
      </x:c>
      <x:c r="B18" s="57" t="str">
        <x:v>Saadiyat Beach Golf Club</x:v>
      </x:c>
      <x:c r="C18" s="57" t="str">
        <x:v>Coordinates</x:v>
      </x:c>
      <x:c r="D18" s="57" t="str">
        <x:v>https://www.where2golf.com/uae/saadiyat-beach-golf-club/</x:v>
      </x:c>
      <x:c r="E18" s="57" t="str">
        <x:v>Mapped golf course or club feature</x:v>
      </x:c>
      <x:c r="F18" s="57" t="str">
        <x:v>2026-08-15</x:v>
      </x:c>
      <x:c r="G18" s="14" t="str">
        <x:v>WGS84 course/facility point; exact layout rows at one facility may share the facility coordinate.</x:v>
      </x:c>
    </x:row>
    <x:row r="19">
      <x:c r="A19" s="56" t="str">
        <x:v>AE-0009</x:v>
      </x:c>
      <x:c r="B19" s="57" t="str">
        <x:v>Yas Links Abu Dhabi — Yas Links Course</x:v>
      </x:c>
      <x:c r="C19" s="57" t="str">
        <x:v>Course identity/specification</x:v>
      </x:c>
      <x:c r="D19" s="57" t="str">
        <x:v>https://www.viyagolf.com/yaslinks/golf/courses/</x:v>
      </x:c>
      <x:c r="E19" s="57" t="str">
        <x:v>Official club/governing/tourism source where available; otherwise a current exact course directory</x:v>
      </x:c>
      <x:c r="F19" s="57" t="str">
        <x:v>2026-08-15</x:v>
      </x:c>
      <x:c r="G19" s="14" t="str">
        <x:v>Current official Viya specification.</x:v>
      </x:c>
    </x:row>
    <x:row r="20">
      <x:c r="A20" s="56" t="str">
        <x:v>AE-0009</x:v>
      </x:c>
      <x:c r="B20" s="57" t="str">
        <x:v>Yas Links Abu Dhabi — Yas Links Course</x:v>
      </x:c>
      <x:c r="C20" s="57" t="str">
        <x:v>Coordinates</x:v>
      </x:c>
      <x:c r="D20" s="57" t="str">
        <x:v>https://www.where2golf.com/uae/yas-links-golf-club/</x:v>
      </x:c>
      <x:c r="E20" s="57" t="str">
        <x:v>Mapped golf course or club feature</x:v>
      </x:c>
      <x:c r="F20" s="57" t="str">
        <x:v>2026-08-15</x:v>
      </x:c>
      <x:c r="G20" s="14" t="str">
        <x:v>WGS84 course/facility point; exact layout rows at one facility may share the facility coordinate.</x:v>
      </x:c>
    </x:row>
    <x:row r="21">
      <x:c r="A21" s="56" t="str">
        <x:v>AE-0010</x:v>
      </x:c>
      <x:c r="B21" s="57" t="str">
        <x:v>Yas Links Abu Dhabi — Par 3 Academy Course</x:v>
      </x:c>
      <x:c r="C21" s="57" t="str">
        <x:v>Course identity/specification</x:v>
      </x:c>
      <x:c r="D21" s="57" t="str">
        <x:v>https://www.viyagolf.com/yaslinks/par-3-course/</x:v>
      </x:c>
      <x:c r="E21" s="57" t="str">
        <x:v>Official club/governing/tourism source where available; otherwise a current exact course directory</x:v>
      </x:c>
      <x:c r="F21" s="57" t="str">
        <x:v>2026-08-15</x:v>
      </x:c>
      <x:c r="G21" s="14" t="str">
        <x:v>Separate bookable academy layout; official Viya specification.</x:v>
      </x:c>
    </x:row>
    <x:row r="22">
      <x:c r="A22" s="56" t="str">
        <x:v>AE-0010</x:v>
      </x:c>
      <x:c r="B22" s="57" t="str">
        <x:v>Yas Links Abu Dhabi — Par 3 Academy Course</x:v>
      </x:c>
      <x:c r="C22" s="57" t="str">
        <x:v>Coordinates</x:v>
      </x:c>
      <x:c r="D22" s="57" t="str">
        <x:v>https://www.where2golf.com/uae/yas-links-golf-club/</x:v>
      </x:c>
      <x:c r="E22" s="57" t="str">
        <x:v>Mapped golf course or club feature</x:v>
      </x:c>
      <x:c r="F22" s="57" t="str">
        <x:v>2026-08-15</x:v>
      </x:c>
      <x:c r="G22" s="14" t="str">
        <x:v>WGS84 course/facility point; exact layout rows at one facility may share the facility coordinate.</x:v>
      </x:c>
    </x:row>
    <x:row r="23">
      <x:c r="A23" s="56" t="str">
        <x:v>AE-0011</x:v>
      </x:c>
      <x:c r="B23" s="57" t="str">
        <x:v>Yas Acres Golf &amp; Country Club</x:v>
      </x:c>
      <x:c r="C23" s="57" t="str">
        <x:v>Course identity/specification</x:v>
      </x:c>
      <x:c r="D23" s="57" t="str">
        <x:v>https://www.viyagolf.com/yasacres/about-us/</x:v>
      </x:c>
      <x:c r="E23" s="57" t="str">
        <x:v>Official club/governing/tourism source where available; otherwise a current exact course directory</x:v>
      </x:c>
      <x:c r="F23" s="57" t="str">
        <x:v>2026-08-15</x:v>
      </x:c>
      <x:c r="G23" s="14" t="str">
        <x:v>Current official Viya specification.</x:v>
      </x:c>
    </x:row>
    <x:row r="24">
      <x:c r="A24" s="56" t="str">
        <x:v>AE-0011</x:v>
      </x:c>
      <x:c r="B24" s="57" t="str">
        <x:v>Yas Acres Golf &amp; Country Club</x:v>
      </x:c>
      <x:c r="C24" s="57" t="str">
        <x:v>Coordinates</x:v>
      </x:c>
      <x:c r="D24" s="57" t="str">
        <x:v>https://2gis.ae/dubai/firm/70000001067049673</x:v>
      </x:c>
      <x:c r="E24" s="57" t="str">
        <x:v>Exact named golf club feature</x:v>
      </x:c>
      <x:c r="F24" s="57" t="str">
        <x:v>2026-08-15</x:v>
      </x:c>
      <x:c r="G24" s="14" t="str">
        <x:v>Exact named Yas Acres Golf &amp; Country Club listing.</x:v>
      </x:c>
    </x:row>
    <x:row r="25">
      <x:c r="A25" s="56" t="str">
        <x:v>AE-0012</x:v>
      </x:c>
      <x:c r="B25" s="57" t="str">
        <x:v>Al Zorah Golf &amp; Yacht Club</x:v>
      </x:c>
      <x:c r="C25" s="57" t="str">
        <x:v>Course identity/specification</x:v>
      </x:c>
      <x:c r="D25" s="57" t="str">
        <x:v>https://www.alzorahgolfclub.ae/</x:v>
      </x:c>
      <x:c r="E25" s="57" t="str">
        <x:v>Official club/governing/tourism source where available; otherwise a current exact course directory</x:v>
      </x:c>
      <x:c r="F25" s="57" t="str">
        <x:v>2026-08-15</x:v>
      </x:c>
      <x:c r="G25" s="14" t="str">
        <x:v>Official club and current course-directory values cross-checked.</x:v>
      </x:c>
    </x:row>
    <x:row r="26">
      <x:c r="A26" s="56" t="str">
        <x:v>AE-0012</x:v>
      </x:c>
      <x:c r="B26" s="57" t="str">
        <x:v>Al Zorah Golf &amp; Yacht Club</x:v>
      </x:c>
      <x:c r="C26" s="57" t="str">
        <x:v>Coordinates</x:v>
      </x:c>
      <x:c r="D26" s="57" t="str">
        <x:v>https://www.where2golf.com/uae/al-zorah-golf-club/</x:v>
      </x:c>
      <x:c r="E26" s="57" t="str">
        <x:v>Mapped golf course or club feature</x:v>
      </x:c>
      <x:c r="F26" s="57" t="str">
        <x:v>2026-08-15</x:v>
      </x:c>
      <x:c r="G26" s="14" t="str">
        <x:v>WGS84 course/facility point; exact layout rows at one facility may share the facility coordinate.</x:v>
      </x:c>
    </x:row>
    <x:row r="27">
      <x:c r="A27" s="56" t="str">
        <x:v>AE-0013</x:v>
      </x:c>
      <x:c r="B27" s="57" t="str">
        <x:v>Arabian Ranches Golf Club — Championship Course</x:v>
      </x:c>
      <x:c r="C27" s="57" t="str">
        <x:v>Course identity/specification</x:v>
      </x:c>
      <x:c r="D27" s="57" t="str">
        <x:v>https://www.where2golf.com/uae/arabian-ranches-golf-club/</x:v>
      </x:c>
      <x:c r="E27" s="57" t="str">
        <x:v>Official club/governing/tourism source where available; otherwise a current exact course directory</x:v>
      </x:c>
      <x:c r="F27" s="57" t="str">
        <x:v>2026-08-15</x:v>
      </x:c>
      <x:c r="G27" s="14" t="str">
        <x:v>Current back-tee course-directory specification; design attribution confirmed by official club.</x:v>
      </x:c>
    </x:row>
    <x:row r="28">
      <x:c r="A28" s="56" t="str">
        <x:v>AE-0013</x:v>
      </x:c>
      <x:c r="B28" s="57" t="str">
        <x:v>Arabian Ranches Golf Club — Championship Course</x:v>
      </x:c>
      <x:c r="C28" s="57" t="str">
        <x:v>Coordinates</x:v>
      </x:c>
      <x:c r="D28" s="57" t="str">
        <x:v>https://www.where2golf.com/uae/arabian-ranches-golf-club/</x:v>
      </x:c>
      <x:c r="E28" s="57" t="str">
        <x:v>Mapped golf course or club feature</x:v>
      </x:c>
      <x:c r="F28" s="57" t="str">
        <x:v>2026-08-15</x:v>
      </x:c>
      <x:c r="G28" s="14" t="str">
        <x:v>WGS84 course/facility point; exact layout rows at one facility may share the facility coordinate.</x:v>
      </x:c>
    </x:row>
    <x:row r="29">
      <x:c r="A29" s="56" t="str">
        <x:v>AE-0014</x:v>
      </x:c>
      <x:c r="B29" s="57" t="str">
        <x:v>Arabian Ranches Golf Club — Par 3 Course</x:v>
      </x:c>
      <x:c r="C29" s="57" t="str">
        <x:v>Course identity/specification</x:v>
      </x:c>
      <x:c r="D29" s="57" t="str">
        <x:v>https://www.hole19golf.com/courses/arabian-ranches-golf-club-par-3</x:v>
      </x:c>
      <x:c r="E29" s="57" t="str">
        <x:v>Official club/governing/tourism source where available; otherwise a current exact course directory</x:v>
      </x:c>
      <x:c r="F29" s="57" t="str">
        <x:v>2026-08-15</x:v>
      </x:c>
      <x:c r="G29" s="14" t="str">
        <x:v>Separate current short course; exact scorecard total used.</x:v>
      </x:c>
    </x:row>
    <x:row r="30">
      <x:c r="A30" s="56" t="str">
        <x:v>AE-0014</x:v>
      </x:c>
      <x:c r="B30" s="57" t="str">
        <x:v>Arabian Ranches Golf Club — Par 3 Course</x:v>
      </x:c>
      <x:c r="C30" s="57" t="str">
        <x:v>Coordinates</x:v>
      </x:c>
      <x:c r="D30" s="57" t="str">
        <x:v>https://www.where2golf.com/uae/arabian-ranches-golf-club/</x:v>
      </x:c>
      <x:c r="E30" s="57" t="str">
        <x:v>Mapped golf course or club feature</x:v>
      </x:c>
      <x:c r="F30" s="57" t="str">
        <x:v>2026-08-15</x:v>
      </x:c>
      <x:c r="G30" s="14" t="str">
        <x:v>WGS84 course/facility point; exact layout rows at one facility may share the facility coordinate.</x:v>
      </x:c>
    </x:row>
    <x:row r="31">
      <x:c r="A31" s="56" t="str">
        <x:v>AE-0015</x:v>
      </x:c>
      <x:c r="B31" s="57" t="str">
        <x:v>Dubai Creek Golf &amp; Yacht Club — Championship Course</x:v>
      </x:c>
      <x:c r="C31" s="57" t="str">
        <x:v>Course identity/specification</x:v>
      </x:c>
      <x:c r="D31" s="57" t="str">
        <x:v>https://www.where2golf.com/uae/dubai-creek-golf-yacht-club/</x:v>
      </x:c>
      <x:c r="E31" s="57" t="str">
        <x:v>Official club/governing/tourism source where available; otherwise a current exact course directory</x:v>
      </x:c>
      <x:c r="F31" s="57" t="str">
        <x:v>2026-08-15</x:v>
      </x:c>
      <x:c r="G31" s="14" t="str">
        <x:v>Current back-tee course-directory specification.</x:v>
      </x:c>
    </x:row>
    <x:row r="32">
      <x:c r="A32" s="56" t="str">
        <x:v>AE-0015</x:v>
      </x:c>
      <x:c r="B32" s="57" t="str">
        <x:v>Dubai Creek Golf &amp; Yacht Club — Championship Course</x:v>
      </x:c>
      <x:c r="C32" s="57" t="str">
        <x:v>Coordinates</x:v>
      </x:c>
      <x:c r="D32" s="57" t="str">
        <x:v>https://www.where2golf.com/uae/dubai-creek-golf-yacht-club/</x:v>
      </x:c>
      <x:c r="E32" s="57" t="str">
        <x:v>Mapped golf course or club feature</x:v>
      </x:c>
      <x:c r="F32" s="57" t="str">
        <x:v>2026-08-15</x:v>
      </x:c>
      <x:c r="G32" s="14" t="str">
        <x:v>WGS84 course/facility point; exact layout rows at one facility may share the facility coordinate.</x:v>
      </x:c>
    </x:row>
    <x:row r="33">
      <x:c r="A33" s="56" t="str">
        <x:v>AE-0016</x:v>
      </x:c>
      <x:c r="B33" s="57" t="str">
        <x:v>Dubai Creek Golf &amp; Yacht Club — Par 3 Course</x:v>
      </x:c>
      <x:c r="C33" s="57" t="str">
        <x:v>Course identity/specification</x:v>
      </x:c>
      <x:c r="D33" s="57" t="str">
        <x:v>https://par3-executive-golf.com/course/10103982/dubai-creek-golf-and-yacht-club-par-3-golf-course/</x:v>
      </x:c>
      <x:c r="E33" s="57" t="str">
        <x:v>Official club/governing/tourism source where available; otherwise a current exact course directory</x:v>
      </x:c>
      <x:c r="F33" s="57" t="str">
        <x:v>2026-08-15</x:v>
      </x:c>
      <x:c r="G33" s="14" t="str">
        <x:v>Separate nine-hole course; scorecard total and 2004 redesign date verified.</x:v>
      </x:c>
    </x:row>
    <x:row r="34">
      <x:c r="A34" s="56" t="str">
        <x:v>AE-0016</x:v>
      </x:c>
      <x:c r="B34" s="57" t="str">
        <x:v>Dubai Creek Golf &amp; Yacht Club — Par 3 Course</x:v>
      </x:c>
      <x:c r="C34" s="57" t="str">
        <x:v>Coordinates</x:v>
      </x:c>
      <x:c r="D34" s="57" t="str">
        <x:v>https://www.where2golf.com/uae/dubai-creek-golf-yacht-club/</x:v>
      </x:c>
      <x:c r="E34" s="57" t="str">
        <x:v>Mapped golf course or club feature</x:v>
      </x:c>
      <x:c r="F34" s="57" t="str">
        <x:v>2026-08-15</x:v>
      </x:c>
      <x:c r="G34" s="14" t="str">
        <x:v>WGS84 course/facility point; exact layout rows at one facility may share the facility coordinate.</x:v>
      </x:c>
    </x:row>
    <x:row r="35">
      <x:c r="A35" s="56" t="str">
        <x:v>AE-0017</x:v>
      </x:c>
      <x:c r="B35" s="57" t="str">
        <x:v>Dubai Hills Golf Club — Championship Course</x:v>
      </x:c>
      <x:c r="C35" s="57" t="str">
        <x:v>Course identity/specification</x:v>
      </x:c>
      <x:c r="D35" s="57" t="str">
        <x:v>https://www.where2golf.com/uae/dubai-hills-golf-club/</x:v>
      </x:c>
      <x:c r="E35" s="57" t="str">
        <x:v>Official club/governing/tourism source where available; otherwise a current exact course directory</x:v>
      </x:c>
      <x:c r="F35" s="57" t="str">
        <x:v>2026-08-15</x:v>
      </x:c>
      <x:c r="G35" s="14" t="str">
        <x:v>Current course-directory specification.</x:v>
      </x:c>
    </x:row>
    <x:row r="36">
      <x:c r="A36" s="56" t="str">
        <x:v>AE-0017</x:v>
      </x:c>
      <x:c r="B36" s="57" t="str">
        <x:v>Dubai Hills Golf Club — Championship Course</x:v>
      </x:c>
      <x:c r="C36" s="57" t="str">
        <x:v>Coordinates</x:v>
      </x:c>
      <x:c r="D36" s="57" t="str">
        <x:v>https://www.where2golf.com/uae/dubai-hills-golf-club/</x:v>
      </x:c>
      <x:c r="E36" s="57" t="str">
        <x:v>Mapped golf course or club feature</x:v>
      </x:c>
      <x:c r="F36" s="57" t="str">
        <x:v>2026-08-15</x:v>
      </x:c>
      <x:c r="G36" s="14" t="str">
        <x:v>WGS84 course/facility point; exact layout rows at one facility may share the facility coordinate.</x:v>
      </x:c>
    </x:row>
    <x:row r="37">
      <x:c r="A37" s="56" t="str">
        <x:v>AE-0018</x:v>
      </x:c>
      <x:c r="B37" s="57" t="str">
        <x:v>Dubai Hills Golf Club — Par 3 Course</x:v>
      </x:c>
      <x:c r="C37" s="57" t="str">
        <x:v>Course identity/specification</x:v>
      </x:c>
      <x:c r="D37" s="57" t="str">
        <x:v>https://www.where2golf.com/uae/dubai-hills-golf-club/</x:v>
      </x:c>
      <x:c r="E37" s="57" t="str">
        <x:v>Official club/governing/tourism source where available; otherwise a current exact course directory</x:v>
      </x:c>
      <x:c r="F37" s="57" t="str">
        <x:v>2026-08-15</x:v>
      </x:c>
      <x:c r="G37" s="14" t="str">
        <x:v>Current directory confirms a distinct nine-hole Par-3 course; no certain total yardage located.</x:v>
      </x:c>
    </x:row>
    <x:row r="38">
      <x:c r="A38" s="56" t="str">
        <x:v>AE-0018</x:v>
      </x:c>
      <x:c r="B38" s="57" t="str">
        <x:v>Dubai Hills Golf Club — Par 3 Course</x:v>
      </x:c>
      <x:c r="C38" s="57" t="str">
        <x:v>Coordinates</x:v>
      </x:c>
      <x:c r="D38" s="57" t="str">
        <x:v>https://www.where2golf.com/uae/dubai-hills-golf-club/</x:v>
      </x:c>
      <x:c r="E38" s="57" t="str">
        <x:v>Mapped golf course or club feature</x:v>
      </x:c>
      <x:c r="F38" s="57" t="str">
        <x:v>2026-08-15</x:v>
      </x:c>
      <x:c r="G38" s="14" t="str">
        <x:v>WGS84 course/facility point; exact layout rows at one facility may share the facility coordinate.</x:v>
      </x:c>
    </x:row>
    <x:row r="39">
      <x:c r="A39" s="56" t="str">
        <x:v>AE-0019</x:v>
      </x:c>
      <x:c r="B39" s="57" t="str">
        <x:v>Emirates Golf Club — Majlis Course</x:v>
      </x:c>
      <x:c r="C39" s="57" t="str">
        <x:v>Course identity/specification</x:v>
      </x:c>
      <x:c r="D39" s="57" t="str">
        <x:v>https://www.where2golf.com/uae/emirates-golf-club-majlis-course/</x:v>
      </x:c>
      <x:c r="E39" s="57" t="str">
        <x:v>Official club/governing/tourism source where available; otherwise a current exact course directory</x:v>
      </x:c>
      <x:c r="F39" s="57" t="str">
        <x:v>2026-08-15</x:v>
      </x:c>
      <x:c r="G39" s="14" t="str">
        <x:v>Current back-tee specification.</x:v>
      </x:c>
    </x:row>
    <x:row r="40">
      <x:c r="A40" s="56" t="str">
        <x:v>AE-0019</x:v>
      </x:c>
      <x:c r="B40" s="57" t="str">
        <x:v>Emirates Golf Club — Majlis Course</x:v>
      </x:c>
      <x:c r="C40" s="57" t="str">
        <x:v>Coordinates</x:v>
      </x:c>
      <x:c r="D40" s="57" t="str">
        <x:v>https://www.where2golf.com/uae/emirates-golf-club-majlis-course/</x:v>
      </x:c>
      <x:c r="E40" s="57" t="str">
        <x:v>Mapped golf course or club feature</x:v>
      </x:c>
      <x:c r="F40" s="57" t="str">
        <x:v>2026-08-15</x:v>
      </x:c>
      <x:c r="G40" s="14" t="str">
        <x:v>WGS84 course/facility point; exact layout rows at one facility may share the facility coordinate.</x:v>
      </x:c>
    </x:row>
    <x:row r="41">
      <x:c r="A41" s="56" t="str">
        <x:v>AE-0020</x:v>
      </x:c>
      <x:c r="B41" s="57" t="str">
        <x:v>Emirates Golf Club — Faldo Course</x:v>
      </x:c>
      <x:c r="C41" s="57" t="str">
        <x:v>Course identity/specification</x:v>
      </x:c>
      <x:c r="D41" s="57" t="str">
        <x:v>https://www.dubaigolf.com/egc/golf/courses/</x:v>
      </x:c>
      <x:c r="E41" s="57" t="str">
        <x:v>Official club/governing/tourism source where available; otherwise a current exact course directory</x:v>
      </x:c>
      <x:c r="F41" s="57" t="str">
        <x:v>2026-08-15</x:v>
      </x:c>
      <x:c r="G41" s="14" t="str">
        <x:v>Official published course length. Originally the Wadi Course; redesigned by Nick Faldo and reopened in 2006.</x:v>
      </x:c>
    </x:row>
    <x:row r="42">
      <x:c r="A42" s="56" t="str">
        <x:v>AE-0020</x:v>
      </x:c>
      <x:c r="B42" s="57" t="str">
        <x:v>Emirates Golf Club — Faldo Course</x:v>
      </x:c>
      <x:c r="C42" s="57" t="str">
        <x:v>Coordinates</x:v>
      </x:c>
      <x:c r="D42" s="57" t="str">
        <x:v>https://www.where2golf.com/uae/emirates-golf-club-majlis-course/</x:v>
      </x:c>
      <x:c r="E42" s="57" t="str">
        <x:v>Mapped golf course or club feature</x:v>
      </x:c>
      <x:c r="F42" s="57" t="str">
        <x:v>2026-08-15</x:v>
      </x:c>
      <x:c r="G42" s="14" t="str">
        <x:v>WGS84 course/facility point; exact layout rows at one facility may share the facility coordinate.</x:v>
      </x:c>
    </x:row>
    <x:row r="43">
      <x:c r="A43" s="56" t="str">
        <x:v>AE-0021</x:v>
      </x:c>
      <x:c r="B43" s="57" t="str">
        <x:v>Emirates Golf Club — Par 3 Academy Course</x:v>
      </x:c>
      <x:c r="C43" s="57" t="str">
        <x:v>Course identity/specification</x:v>
      </x:c>
      <x:c r="D43" s="57" t="str">
        <x:v>https://www.where2golf.com/uae/emirates-golf-club-the-faldo-course/</x:v>
      </x:c>
      <x:c r="E43" s="57" t="str">
        <x:v>Official club/governing/tourism source where available; otherwise a current exact course directory</x:v>
      </x:c>
      <x:c r="F43" s="57" t="str">
        <x:v>2026-08-15</x:v>
      </x:c>
      <x:c r="G43" s="14" t="str">
        <x:v>Separate academy layout; exact total from current course directory.</x:v>
      </x:c>
    </x:row>
    <x:row r="44">
      <x:c r="A44" s="56" t="str">
        <x:v>AE-0021</x:v>
      </x:c>
      <x:c r="B44" s="57" t="str">
        <x:v>Emirates Golf Club — Par 3 Academy Course</x:v>
      </x:c>
      <x:c r="C44" s="57" t="str">
        <x:v>Coordinates</x:v>
      </x:c>
      <x:c r="D44" s="57" t="str">
        <x:v>https://www.where2golf.com/uae/emirates-golf-club-majlis-course/</x:v>
      </x:c>
      <x:c r="E44" s="57" t="str">
        <x:v>Mapped golf course or club feature</x:v>
      </x:c>
      <x:c r="F44" s="57" t="str">
        <x:v>2026-08-15</x:v>
      </x:c>
      <x:c r="G44" s="14" t="str">
        <x:v>WGS84 course/facility point; exact layout rows at one facility may share the facility coordinate.</x:v>
      </x:c>
    </x:row>
    <x:row r="45">
      <x:c r="A45" s="56" t="str">
        <x:v>AE-0022</x:v>
      </x:c>
      <x:c r="B45" s="57" t="str">
        <x:v>JA The Resort</x:v>
      </x:c>
      <x:c r="C45" s="57" t="str">
        <x:v>Course identity/specification</x:v>
      </x:c>
      <x:c r="D45" s="57" t="str">
        <x:v>https://www.jagolf.com/</x:v>
      </x:c>
      <x:c r="E45" s="57" t="str">
        <x:v>Official club/governing/tourism source where available; otherwise a current exact course directory</x:v>
      </x:c>
      <x:c r="F45" s="57" t="str">
        <x:v>2026-08-15</x:v>
      </x:c>
      <x:c r="G45" s="14" t="str">
        <x:v>Physical nine-hole layout; the same holes can be replayed from alternate tees for an 18-hole round.</x:v>
      </x:c>
    </x:row>
    <x:row r="46">
      <x:c r="A46" s="56" t="str">
        <x:v>AE-0022</x:v>
      </x:c>
      <x:c r="B46" s="57" t="str">
        <x:v>JA The Resort</x:v>
      </x:c>
      <x:c r="C46" s="57" t="str">
        <x:v>Coordinates</x:v>
      </x:c>
      <x:c r="D46" s="57" t="str">
        <x:v>https://www.where2golf.com/uae/jebel-ali-golf-resort-spa/</x:v>
      </x:c>
      <x:c r="E46" s="57" t="str">
        <x:v>Mapped golf course or club feature</x:v>
      </x:c>
      <x:c r="F46" s="57" t="str">
        <x:v>2026-08-15</x:v>
      </x:c>
      <x:c r="G46" s="14" t="str">
        <x:v>WGS84 course/facility point; exact layout rows at one facility may share the facility coordinate.</x:v>
      </x:c>
    </x:row>
    <x:row r="47">
      <x:c r="A47" s="56" t="str">
        <x:v>AE-0023</x:v>
      </x:c>
      <x:c r="B47" s="57" t="str">
        <x:v>Jumeirah Golf Estates — Earth Course</x:v>
      </x:c>
      <x:c r="C47" s="57" t="str">
        <x:v>Course identity/specification</x:v>
      </x:c>
      <x:c r="D47" s="57" t="str">
        <x:v>https://www.where2golf.com/uae/jumeirah-golf-estates-earth-course/</x:v>
      </x:c>
      <x:c r="E47" s="57" t="str">
        <x:v>Official club/governing/tourism source where available; otherwise a current exact course directory</x:v>
      </x:c>
      <x:c r="F47" s="57" t="str">
        <x:v>2026-08-15</x:v>
      </x:c>
      <x:c r="G47" s="14" t="str">
        <x:v>Current back-tee specification.</x:v>
      </x:c>
    </x:row>
    <x:row r="48">
      <x:c r="A48" s="56" t="str">
        <x:v>AE-0023</x:v>
      </x:c>
      <x:c r="B48" s="57" t="str">
        <x:v>Jumeirah Golf Estates — Earth Course</x:v>
      </x:c>
      <x:c r="C48" s="57" t="str">
        <x:v>Coordinates</x:v>
      </x:c>
      <x:c r="D48" s="57" t="str">
        <x:v>https://www.where2golf.com/uae/jumeirah-golf-estates-earth-course/</x:v>
      </x:c>
      <x:c r="E48" s="57" t="str">
        <x:v>Mapped golf course or club feature</x:v>
      </x:c>
      <x:c r="F48" s="57" t="str">
        <x:v>2026-08-15</x:v>
      </x:c>
      <x:c r="G48" s="14" t="str">
        <x:v>WGS84 course/facility point; exact layout rows at one facility may share the facility coordinate.</x:v>
      </x:c>
    </x:row>
    <x:row r="49">
      <x:c r="A49" s="56" t="str">
        <x:v>AE-0024</x:v>
      </x:c>
      <x:c r="B49" s="57" t="str">
        <x:v>Jumeirah Golf Estates — Fire Course</x:v>
      </x:c>
      <x:c r="C49" s="57" t="str">
        <x:v>Course identity/specification</x:v>
      </x:c>
      <x:c r="D49" s="57" t="str">
        <x:v>https://www.where2golf.com/uae/jumeirah-golf-estates-fire-course/</x:v>
      </x:c>
      <x:c r="E49" s="57" t="str">
        <x:v>Official club/governing/tourism source where available; otherwise a current exact course directory</x:v>
      </x:c>
      <x:c r="F49" s="57" t="str">
        <x:v>2026-08-15</x:v>
      </x:c>
      <x:c r="G49" s="14" t="str">
        <x:v>Current back-tee specification.</x:v>
      </x:c>
    </x:row>
    <x:row r="50">
      <x:c r="A50" s="56" t="str">
        <x:v>AE-0024</x:v>
      </x:c>
      <x:c r="B50" s="57" t="str">
        <x:v>Jumeirah Golf Estates — Fire Course</x:v>
      </x:c>
      <x:c r="C50" s="57" t="str">
        <x:v>Coordinates</x:v>
      </x:c>
      <x:c r="D50" s="57" t="str">
        <x:v>https://www.where2golf.com/uae/jumeirah-golf-estates-fire-course/</x:v>
      </x:c>
      <x:c r="E50" s="57" t="str">
        <x:v>Mapped golf course or club feature</x:v>
      </x:c>
      <x:c r="F50" s="57" t="str">
        <x:v>2026-08-15</x:v>
      </x:c>
      <x:c r="G50" s="14" t="str">
        <x:v>WGS84 course/facility point; exact layout rows at one facility may share the facility coordinate.</x:v>
      </x:c>
    </x:row>
    <x:row r="51">
      <x:c r="A51" s="56" t="str">
        <x:v>AE-0025</x:v>
      </x:c>
      <x:c r="B51" s="57" t="str">
        <x:v>Montgomerie Golf Club Dubai — Championship Course</x:v>
      </x:c>
      <x:c r="C51" s="57" t="str">
        <x:v>Course identity/specification</x:v>
      </x:c>
      <x:c r="D51" s="57" t="str">
        <x:v>https://www.where2golf.com/uae/montgomerie-golf-club-dubai/</x:v>
      </x:c>
      <x:c r="E51" s="57" t="str">
        <x:v>Official club/governing/tourism source where available; otherwise a current exact course directory</x:v>
      </x:c>
      <x:c r="F51" s="57" t="str">
        <x:v>2026-08-15</x:v>
      </x:c>
      <x:c r="G51" s="14" t="str">
        <x:v>Current back-tee specification.</x:v>
      </x:c>
    </x:row>
    <x:row r="52">
      <x:c r="A52" s="56" t="str">
        <x:v>AE-0025</x:v>
      </x:c>
      <x:c r="B52" s="57" t="str">
        <x:v>Montgomerie Golf Club Dubai — Championship Course</x:v>
      </x:c>
      <x:c r="C52" s="57" t="str">
        <x:v>Coordinates</x:v>
      </x:c>
      <x:c r="D52" s="57" t="str">
        <x:v>https://www.where2golf.com/uae/montgomerie-golf-club-dubai/</x:v>
      </x:c>
      <x:c r="E52" s="57" t="str">
        <x:v>Mapped golf course or club feature</x:v>
      </x:c>
      <x:c r="F52" s="57" t="str">
        <x:v>2026-08-15</x:v>
      </x:c>
      <x:c r="G52" s="14" t="str">
        <x:v>WGS84 course/facility point; exact layout rows at one facility may share the facility coordinate.</x:v>
      </x:c>
    </x:row>
    <x:row r="53">
      <x:c r="A53" s="56" t="str">
        <x:v>AE-0026</x:v>
      </x:c>
      <x:c r="B53" s="57" t="str">
        <x:v>Montgomerie Golf Club Dubai — Par 3 Course</x:v>
      </x:c>
      <x:c r="C53" s="57" t="str">
        <x:v>Course identity/specification</x:v>
      </x:c>
      <x:c r="D53" s="57" t="str">
        <x:v>https://www.montgomeriegolfclubdubai.com/academy-facilities/</x:v>
      </x:c>
      <x:c r="E53" s="57" t="str">
        <x:v>Official club/governing/tourism source where available; otherwise a current exact course directory</x:v>
      </x:c>
      <x:c r="F53" s="57" t="str">
        <x:v>2026-08-15</x:v>
      </x:c>
      <x:c r="G53" s="14" t="str">
        <x:v>Redesigned short course reopened in 2024; 616-yard total independently corroborated by the cited current report in Source_Records.</x:v>
      </x:c>
    </x:row>
    <x:row r="54">
      <x:c r="A54" s="56" t="str">
        <x:v>AE-0026</x:v>
      </x:c>
      <x:c r="B54" s="57" t="str">
        <x:v>Montgomerie Golf Club Dubai — Par 3 Course</x:v>
      </x:c>
      <x:c r="C54" s="57" t="str">
        <x:v>Coordinates</x:v>
      </x:c>
      <x:c r="D54" s="57" t="str">
        <x:v>https://www.where2golf.com/uae/montgomerie-golf-club-dubai/</x:v>
      </x:c>
      <x:c r="E54" s="57" t="str">
        <x:v>Mapped golf course or club feature</x:v>
      </x:c>
      <x:c r="F54" s="57" t="str">
        <x:v>2026-08-15</x:v>
      </x:c>
      <x:c r="G54" s="14" t="str">
        <x:v>WGS84 course/facility point; exact layout rows at one facility may share the facility coordinate.</x:v>
      </x:c>
    </x:row>
    <x:row r="55">
      <x:c r="A55" s="56" t="str">
        <x:v>AE-0027</x:v>
      </x:c>
      <x:c r="B55" s="57" t="str">
        <x:v>The Els Club Dubai</x:v>
      </x:c>
      <x:c r="C55" s="57" t="str">
        <x:v>Course identity/specification</x:v>
      </x:c>
      <x:c r="D55" s="57" t="str">
        <x:v>https://www.where2golf.com/uae/the-els-club-dubai-sports-city/</x:v>
      </x:c>
      <x:c r="E55" s="57" t="str">
        <x:v>Official club/governing/tourism source where available; otherwise a current exact course directory</x:v>
      </x:c>
      <x:c r="F55" s="57" t="str">
        <x:v>2026-08-15</x:v>
      </x:c>
      <x:c r="G55" s="14" t="str">
        <x:v>Current back-tee specification.</x:v>
      </x:c>
    </x:row>
    <x:row r="56">
      <x:c r="A56" s="56" t="str">
        <x:v>AE-0027</x:v>
      </x:c>
      <x:c r="B56" s="57" t="str">
        <x:v>The Els Club Dubai</x:v>
      </x:c>
      <x:c r="C56" s="57" t="str">
        <x:v>Coordinates</x:v>
      </x:c>
      <x:c r="D56" s="57" t="str">
        <x:v>https://www.where2golf.com/uae/the-els-club-dubai-sports-city/</x:v>
      </x:c>
      <x:c r="E56" s="57" t="str">
        <x:v>Mapped golf course or club feature</x:v>
      </x:c>
      <x:c r="F56" s="57" t="str">
        <x:v>2026-08-15</x:v>
      </x:c>
      <x:c r="G56" s="14" t="str">
        <x:v>WGS84 course/facility point; exact layout rows at one facility may share the facility coordinate.</x:v>
      </x:c>
    </x:row>
    <x:row r="57">
      <x:c r="A57" s="56" t="str">
        <x:v>AE-0028</x:v>
      </x:c>
      <x:c r="B57" s="57" t="str">
        <x:v>The Track, Meydan Golf</x:v>
      </x:c>
      <x:c r="C57" s="57" t="str">
        <x:v>Course identity/specification</x:v>
      </x:c>
      <x:c r="D57" s="57" t="str">
        <x:v>https://www.meydangolf.com/play/</x:v>
      </x:c>
      <x:c r="E57" s="57" t="str">
        <x:v>Official club/governing/tourism source where available; otherwise a current exact course directory</x:v>
      </x:c>
      <x:c r="F57" s="57" t="str">
        <x:v>2026-08-15</x:v>
      </x:c>
      <x:c r="G57" s="14" t="str">
        <x:v>Current official course specification.</x:v>
      </x:c>
    </x:row>
    <x:row r="58">
      <x:c r="A58" s="56" t="str">
        <x:v>AE-0028</x:v>
      </x:c>
      <x:c r="B58" s="57" t="str">
        <x:v>The Track, Meydan Golf</x:v>
      </x:c>
      <x:c r="C58" s="57" t="str">
        <x:v>Coordinates</x:v>
      </x:c>
      <x:c r="D58" s="57" t="str">
        <x:v>https://www.where2golf.com/uae/the-track-meydan-golf/</x:v>
      </x:c>
      <x:c r="E58" s="57" t="str">
        <x:v>Mapped golf course or club feature</x:v>
      </x:c>
      <x:c r="F58" s="57" t="str">
        <x:v>2026-08-15</x:v>
      </x:c>
      <x:c r="G58" s="14" t="str">
        <x:v>WGS84 course/facility point; exact layout rows at one facility may share the facility coordinate.</x:v>
      </x:c>
    </x:row>
    <x:row r="59">
      <x:c r="A59" s="56" t="str">
        <x:v>AE-0029</x:v>
      </x:c>
      <x:c r="B59" s="57" t="str">
        <x:v>Trump International Golf Club Dubai — Championship Course</x:v>
      </x:c>
      <x:c r="C59" s="57" t="str">
        <x:v>Course identity/specification</x:v>
      </x:c>
      <x:c r="D59" s="57" t="str">
        <x:v>https://www.where2golf.com/uae/trump-international-golf-club-dubai/</x:v>
      </x:c>
      <x:c r="E59" s="57" t="str">
        <x:v>Official club/governing/tourism source where available; otherwise a current exact course directory</x:v>
      </x:c>
      <x:c r="F59" s="57" t="str">
        <x:v>2026-08-15</x:v>
      </x:c>
      <x:c r="G59" s="14" t="str">
        <x:v>Current back-tee specification.</x:v>
      </x:c>
    </x:row>
    <x:row r="60">
      <x:c r="A60" s="56" t="str">
        <x:v>AE-0029</x:v>
      </x:c>
      <x:c r="B60" s="57" t="str">
        <x:v>Trump International Golf Club Dubai — Championship Course</x:v>
      </x:c>
      <x:c r="C60" s="57" t="str">
        <x:v>Coordinates</x:v>
      </x:c>
      <x:c r="D60" s="57" t="str">
        <x:v>https://www.where2golf.com/uae/trump-international-golf-club-dubai/</x:v>
      </x:c>
      <x:c r="E60" s="57" t="str">
        <x:v>Mapped golf course or club feature</x:v>
      </x:c>
      <x:c r="F60" s="57" t="str">
        <x:v>2026-08-15</x:v>
      </x:c>
      <x:c r="G60" s="14" t="str">
        <x:v>WGS84 course/facility point; exact layout rows at one facility may share the facility coordinate.</x:v>
      </x:c>
    </x:row>
    <x:row r="61">
      <x:c r="A61" s="56" t="str">
        <x:v>AE-0030</x:v>
      </x:c>
      <x:c r="B61" s="57" t="str">
        <x:v>Trump International Golf Club Dubai — Academy Par 3 Course</x:v>
      </x:c>
      <x:c r="C61" s="57" t="str">
        <x:v>Course identity/specification</x:v>
      </x:c>
      <x:c r="D61" s="57" t="str">
        <x:v>https://www.where2golf.com/uae/trump-international-golf-club-dubai/</x:v>
      </x:c>
      <x:c r="E61" s="57" t="str">
        <x:v>Official club/governing/tourism source where available; otherwise a current exact course directory</x:v>
      </x:c>
      <x:c r="F61" s="57" t="str">
        <x:v>2026-08-15</x:v>
      </x:c>
      <x:c r="G61" s="14" t="str">
        <x:v>Separate academy layout; exact current directory total.</x:v>
      </x:c>
    </x:row>
    <x:row r="62">
      <x:c r="A62" s="56" t="str">
        <x:v>AE-0030</x:v>
      </x:c>
      <x:c r="B62" s="57" t="str">
        <x:v>Trump International Golf Club Dubai — Academy Par 3 Course</x:v>
      </x:c>
      <x:c r="C62" s="57" t="str">
        <x:v>Coordinates</x:v>
      </x:c>
      <x:c r="D62" s="57" t="str">
        <x:v>https://www.where2golf.com/uae/trump-international-golf-club-dubai/</x:v>
      </x:c>
      <x:c r="E62" s="57" t="str">
        <x:v>Mapped golf course or club feature</x:v>
      </x:c>
      <x:c r="F62" s="57" t="str">
        <x:v>2026-08-15</x:v>
      </x:c>
      <x:c r="G62" s="14" t="str">
        <x:v>WGS84 course/facility point; exact layout rows at one facility may share the facility coordinate.</x:v>
      </x:c>
    </x:row>
    <x:row r="63">
      <x:c r="A63" s="56" t="str">
        <x:v>AE-0031</x:v>
      </x:c>
      <x:c r="B63" s="57" t="str">
        <x:v>Sharjah Golf &amp; Shooting Club</x:v>
      </x:c>
      <x:c r="C63" s="57" t="str">
        <x:v>Course identity/specification</x:v>
      </x:c>
      <x:c r="D63" s="57" t="str">
        <x:v>https://www.1golf.eu/en/club/sharjah-golf-and-shooting-club/</x:v>
      </x:c>
      <x:c r="E63" s="57" t="str">
        <x:v>Official club/governing/tourism source where available; otherwise a current exact course directory</x:v>
      </x:c>
      <x:c r="F63" s="57" t="str">
        <x:v>2026-08-15</x:v>
      </x:c>
      <x:c r="G63" s="14" t="str">
        <x:v>Physical nine-hole layout. Some sources publish the twice-around 18-hole total; this record stores the single-loop specification.</x:v>
      </x:c>
    </x:row>
    <x:row r="64">
      <x:c r="A64" s="56" t="str">
        <x:v>AE-0031</x:v>
      </x:c>
      <x:c r="B64" s="57" t="str">
        <x:v>Sharjah Golf &amp; Shooting Club</x:v>
      </x:c>
      <x:c r="C64" s="57" t="str">
        <x:v>Coordinates</x:v>
      </x:c>
      <x:c r="D64" s="57" t="str">
        <x:v>https://mapcarta.com/W235818093</x:v>
      </x:c>
      <x:c r="E64" s="57" t="str">
        <x:v>Mapped golf course or club feature</x:v>
      </x:c>
      <x:c r="F64" s="57" t="str">
        <x:v>2026-08-15</x:v>
      </x:c>
      <x:c r="G64" s="14" t="str">
        <x:v>WGS84 course/facility point; exact layout rows at one facility may share the facility coordinate.</x:v>
      </x:c>
    </x:row>
    <x:row r="65">
      <x:c r="A65" s="56" t="str">
        <x:v>AE-0032</x:v>
      </x:c>
      <x:c r="B65" s="57" t="str">
        <x:v>Al Hamra Golf Club</x:v>
      </x:c>
      <x:c r="C65" s="57" t="str">
        <x:v>Course identity/specification</x:v>
      </x:c>
      <x:c r="D65" s="57" t="str">
        <x:v>https://www.alhamragolf.com/golf-course</x:v>
      </x:c>
      <x:c r="E65" s="57" t="str">
        <x:v>Official club/governing/tourism source where available; otherwise a current exact course directory</x:v>
      </x:c>
      <x:c r="F65" s="57" t="str">
        <x:v>2026-08-15</x:v>
      </x:c>
      <x:c r="G65" s="14" t="str">
        <x:v>Current official club specification.</x:v>
      </x:c>
    </x:row>
    <x:row r="66">
      <x:c r="A66" s="56" t="str">
        <x:v>AE-0032</x:v>
      </x:c>
      <x:c r="B66" s="57" t="str">
        <x:v>Al Hamra Golf Club</x:v>
      </x:c>
      <x:c r="C66" s="57" t="str">
        <x:v>Coordinates</x:v>
      </x:c>
      <x:c r="D66" s="57" t="str">
        <x:v>https://www.where2golf.com/uae/al-hamra-golf-club/</x:v>
      </x:c>
      <x:c r="E66" s="57" t="str">
        <x:v>Mapped golf course or club feature</x:v>
      </x:c>
      <x:c r="F66" s="57" t="str">
        <x:v>2026-08-15</x:v>
      </x:c>
      <x:c r="G66" s="14" t="str">
        <x:v>WGS84 course/facility point; exact layout rows at one facility may share the facility coordinate.</x:v>
      </x:c>
    </x:row>
    <x:row r="67">
      <x:c r="A67" s="56" t="str">
        <x:v>AE-0033</x:v>
      </x:c>
      <x:c r="B67" s="57" t="str">
        <x:v>Tower Links Golf Club</x:v>
      </x:c>
      <x:c r="C67" s="57" t="str">
        <x:v>Course identity/specification</x:v>
      </x:c>
      <x:c r="D67" s="57" t="str">
        <x:v>https://www.where2golf.com/uae/tower-links-golf-club/</x:v>
      </x:c>
      <x:c r="E67" s="57" t="str">
        <x:v>Official club/governing/tourism source where available; otherwise a current exact course directory</x:v>
      </x:c>
      <x:c r="F67" s="57" t="str">
        <x:v>2026-08-15</x:v>
      </x:c>
      <x:c r="G67" s="14" t="str">
        <x:v>Current course-directory specification; opening year left blank because a sufficiently authoritative exact value was not located.</x:v>
      </x:c>
    </x:row>
    <x:row r="68">
      <x:c r="A68" s="58" t="str">
        <x:v>AE-0033</x:v>
      </x:c>
      <x:c r="B68" s="59" t="str">
        <x:v>Tower Links Golf Club</x:v>
      </x:c>
      <x:c r="C68" s="59" t="str">
        <x:v>Coordinates</x:v>
      </x:c>
      <x:c r="D68" s="59" t="str">
        <x:v>https://www.where2golf.com/uae/tower-links-golf-club/</x:v>
      </x:c>
      <x:c r="E68" s="59" t="str">
        <x:v>Mapped golf course or club feature</x:v>
      </x:c>
      <x:c r="F68" s="59" t="str">
        <x:v>2026-08-15</x:v>
      </x:c>
      <x:c r="G68" s="16" t="str">
        <x:v>WGS84 course/facility point; exact layout rows at one facility may share the facility coordinate.</x:v>
      </x:c>
    </x:row>
  </x:sheetData>
  <x:mergeCells>
    <x:mergeCell ref="A1:G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70" hidden="0" customWidth="1"/>
    <x:col min="3" max="3" width="90" hidden="0" customWidth="1"/>
  </x:cols>
  <x:sheetData>
    <x:row r="1">
      <x:c r="A1" s="4" t="str">
        <x:v>SOURCES AND ATTRIBUTION</x:v>
      </x:c>
      <x:c r="B1" s="4"/>
      <x:c r="C1" s="4"/>
    </x:row>
    <x:row r="2">
      <x:c r="A2" s="25" t="str">
        <x:v>Source group</x:v>
      </x:c>
      <x:c r="B2" s="26" t="str">
        <x:v>Use</x:v>
      </x:c>
      <x:c r="C2" s="27" t="str">
        <x:v>Policy / URL</x:v>
      </x:c>
    </x:row>
    <x:row r="3">
      <x:c r="A3" s="53" t="str">
        <x:v>Official club websites</x:v>
      </x:c>
      <x:c r="B3" s="54" t="str">
        <x:v>Current identity, status, access, course specifications and booking evidence</x:v>
      </x:c>
      <x:c r="C3" s="55" t="str">
        <x:v>Individual URLs are retained in Course_Master and Source_Records</x:v>
      </x:c>
    </x:row>
    <x:row r="4">
      <x:c r="A4" s="56" t="str">
        <x:v>Experience Abu Dhabi / Abu Dhabi Sports Council</x:v>
      </x:c>
      <x:c r="B4" s="57" t="str">
        <x:v>Government-backed confirmation of active Abu Dhabi layouts</x:v>
      </x:c>
      <x:c r="C4" s="14" t="str">
        <x:v>https://visitabudhabi.ae/ and https://adsc.gov.ae/</x:v>
      </x:c>
    </x:row>
    <x:row r="5">
      <x:c r="A5" s="56" t="str">
        <x:v>Where2Golf</x:v>
      </x:c>
      <x:c r="B5" s="57" t="str">
        <x:v>Current course specifications, designers and WGS84 course/facility points</x:v>
      </x:c>
      <x:c r="C5" s="14" t="str">
        <x:v>https://www.where2golf.com/uae/</x:v>
      </x:c>
    </x:row>
    <x:row r="6">
      <x:c r="A6" s="56" t="str">
        <x:v>Mapcarta / OpenStreetMap-derived features / 2GIS</x:v>
      </x:c>
      <x:c r="B6" s="57" t="str">
        <x:v>Course/facility coordinates or named access points where an exact mapped feature was available</x:v>
      </x:c>
      <x:c r="C6" s="14" t="str">
        <x:v>Direct record URLs are retained in Source_Records; OpenStreetMap data attribution: https://www.openstreetmap.org/copyright</x:v>
      </x:c>
    </x:row>
    <x:row r="7">
      <x:c r="A7" s="56" t="str">
        <x:v>Current exact scorecard/directories</x:v>
      </x:c>
      <x:c r="B7" s="57" t="str">
        <x:v>Used only when official pages omitted a specific numeric total; retained per record</x:v>
      </x:c>
      <x:c r="C7" s="14" t="str">
        <x:v>1golf.eu, Golfscape, Hole19 and Par3 Executive links are recorded in Source_Records</x:v>
      </x:c>
    </x:row>
    <x:row r="8">
      <x:c r="A8" s="56" t="str">
        <x:v>Source precedence</x:v>
      </x:c>
      <x:c r="B8" s="57" t="str">
        <x:v>Current official/government source first; current exact directory second; conflicting promotional values not silently combined</x:v>
      </x:c>
      <x:c r="C8" s="14" t="str">
        <x:v>2026-08-15</x:v>
      </x:c>
    </x:row>
    <x:row r="9">
      <x:c r="A9" s="58" t="str">
        <x:v>Uncertainty rule</x:v>
      </x:c>
      <x:c r="B9" s="59" t="str">
        <x:v>If a value could not be verified confidently it remains blank; no synthetic coordinates, pars or lengths were created</x:v>
      </x:c>
      <x:c r="C9" s="16" t="str">
        <x:v>2026-08-15</x:v>
      </x:c>
    </x:row>
  </x:sheetData>
  <x:mergeCells>
    <x:mergeCell ref="A1:C1"/>
  </x:mergeCells>
  <x:pageMargins left="0.7" right="0.7" top="0.75" bottom="0.75" header="0.3" footer="0.3"/>
</x:worksheet>
</file>